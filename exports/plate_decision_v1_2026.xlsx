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e0f9e2c50841d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efdfc275ee534c7c"/>
    <x:sheet xmlns:r="http://schemas.openxmlformats.org/officeDocument/2006/relationships" name="Final Metrics" sheetId="2" r:id="R650226fbf98d4fa0"/>
    <x:sheet xmlns:r="http://schemas.openxmlformats.org/officeDocument/2006/relationships" name="Movement Comparison" sheetId="3" r:id="R962e4ad735de4ef7"/>
    <x:sheet xmlns:r="http://schemas.openxmlformats.org/officeDocument/2006/relationships" name="Diagnostics" sheetId="4" r:id="R4caa291607e044bc"/>
    <x:sheet xmlns:r="http://schemas.openxmlformats.org/officeDocument/2006/relationships" name="Regressions" sheetId="5" r:id="R5fe526b2a9e74aec"/>
    <x:sheet xmlns:r="http://schemas.openxmlformats.org/officeDocument/2006/relationships" name="Clusters Outliers" sheetId="6" r:id="R0a4cfb12413a46bb"/>
    <x:sheet xmlns:r="http://schemas.openxmlformats.org/officeDocument/2006/relationships" name="Scatter" sheetId="7" r:id="Rd3f8324776664b5c"/>
    <x:sheet xmlns:r="http://schemas.openxmlformats.org/officeDocument/2006/relationships" name="Methodology" sheetId="8" r:id="Rf6267e0d1c47406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#,##0"/>
    <x:numFmt numFmtId="201" formatCode="0.00%"/>
    <x:numFmt numFmtId="202" formatCode="0.000000"/>
    <x:numFmt numFmtId="203" formatCode="+0.000;-0.000;0.000"/>
    <x:numFmt numFmtId="204" formatCode="0.0%"/>
    <x:numFmt numFmtId="205" formatCode="0.000"/>
    <x:numFmt numFmtId="206" formatCode="0.000%"/>
  </x:numFmts>
  <x:fonts count="10">
    <x:font>
      <x:sz val="11"/>
      <x:name val="Carlito"/>
    </x:font>
    <x:font>
      <x:b/>
      <x:sz val="16"/>
      <x:color rgb="FFFFFFFF"/>
      <x:name val="Noto Sans CJK KR"/>
    </x:font>
    <x:font>
      <x:b/>
      <x:sz val="10"/>
      <x:color rgb="FF17324D"/>
      <x:name val="Noto Sans CJK KR"/>
    </x:font>
    <x:font>
      <x:b/>
      <x:sz val="15"/>
      <x:color rgb="FF17324D"/>
      <x:name val="Noto Sans CJK KR"/>
    </x:font>
    <x:font>
      <x:b/>
      <x:sz val="11"/>
      <x:color rgb="FF17324D"/>
      <x:name val="Noto Sans CJK KR"/>
    </x:font>
    <x:font>
      <x:b/>
      <x:sz val="10"/>
      <x:color rgb="FFFFFFFF"/>
      <x:name val="Noto Sans CJK KR"/>
    </x:font>
    <x:font>
      <x:sz val="9"/>
      <x:color rgb="FF1F2937"/>
      <x:name val="Noto Sans CJK KR"/>
    </x:font>
    <x:font>
      <x:sz val="11"/>
      <x:color rgb="FF3D3320"/>
      <x:name val="Noto Sans CJK KR"/>
    </x:font>
    <x:font>
      <x:sz val="10"/>
      <x:color rgb="FF1F2937"/>
      <x:name val="Noto Sans CJK KR"/>
    </x:font>
    <x:font>
      <x:sz val="9"/>
      <x:color rgb="FF667085"/>
      <x:name val="Noto Sans CJK KR"/>
    </x:font>
  </x:fonts>
  <x:fills count="8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5F7FA"/>
      </x:patternFill>
    </x:fill>
    <x:fill>
      <x:patternFill patternType="solid">
        <x:fgColor rgb="FF2E75B6"/>
      </x:patternFill>
    </x:fill>
    <x:fill>
      <x:patternFill patternType="solid">
        <x:fgColor rgb="FFFFFFFF"/>
      </x:patternFill>
    </x:fill>
    <x:fill>
      <x:patternFill patternType="solid">
        <x:fgColor rgb="FFFFF2CC"/>
      </x:patternFill>
    </x:fill>
  </x:fills>
  <x:borders count="21">
    <x:border/>
    <x:border>
      <x:left style="thin">
        <x:color rgb="FFCAD3DD"/>
      </x:left>
      <x:top style="thin">
        <x:color rgb="FFCAD3DD"/>
      </x:top>
    </x:border>
    <x:border>
      <x:top style="thin">
        <x:color rgb="FFCAD3DD"/>
      </x:top>
    </x:border>
    <x:border>
      <x:right style="thin">
        <x:color rgb="FFCAD3DD"/>
      </x:right>
      <x:top style="thin">
        <x:color rgb="FFCAD3DD"/>
      </x:top>
    </x:border>
    <x:border>
      <x:left style="thin">
        <x:color rgb="FFCAD3DD"/>
      </x:left>
      <x:bottom style="thin">
        <x:color rgb="FFCAD3DD"/>
      </x:bottom>
    </x:border>
    <x:border>
      <x:bottom style="thin">
        <x:color rgb="FFCAD3DD"/>
      </x:bottom>
    </x:border>
    <x:border>
      <x:right style="thin">
        <x:color rgb="FFCAD3DD"/>
      </x:right>
      <x:bottom style="thin">
        <x:color rgb="FFCAD3DD"/>
      </x:bottom>
    </x:border>
    <x:border>
      <x:right style="thin">
        <x:color rgb="FFC9D3DF"/>
      </x:right>
    </x:border>
    <x:border>
      <x:left style="thin">
        <x:color rgb="FFC9D3DF"/>
      </x:left>
      <x:right style="thin">
        <x:color rgb="FFC9D3DF"/>
      </x:right>
    </x:border>
    <x:border>
      <x:left style="thin">
        <x:color rgb="FFC9D3DF"/>
      </x:left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</x:border>
    <x:border>
      <x:left style="thin">
        <x:color rgb="FFD6B656"/>
      </x:left>
      <x:top style="thin">
        <x:color rgb="FFD6B656"/>
      </x:top>
    </x:border>
    <x:border>
      <x:top style="thin">
        <x:color rgb="FFD6B656"/>
      </x:top>
    </x:border>
    <x:border>
      <x:right style="thin">
        <x:color rgb="FFD6B656"/>
      </x:right>
      <x:top style="thin">
        <x:color rgb="FFD6B656"/>
      </x:top>
    </x:border>
    <x:border>
      <x:left style="thin">
        <x:color rgb="FFD6B656"/>
      </x:left>
    </x:border>
    <x:border>
      <x:right style="thin">
        <x:color rgb="FFD6B656"/>
      </x:right>
    </x:border>
    <x:border>
      <x:left style="thin">
        <x:color rgb="FFD6B656"/>
      </x:left>
      <x:bottom style="thin">
        <x:color rgb="FFD6B656"/>
      </x:bottom>
    </x:border>
    <x:border>
      <x:bottom style="thin">
        <x:color rgb="FFD6B656"/>
      </x:bottom>
    </x:border>
    <x:border>
      <x:right style="thin">
        <x:color rgb="FFD6B656"/>
      </x:right>
      <x:bottom style="thin">
        <x:color rgb="FFD6B656"/>
      </x:bottom>
    </x:border>
  </x:borders>
  <x:cellStyleXfs count="1">
    <x:xf numFmtId="0" fontId="0" fillId="0" borderId="0"/>
  </x:cellStyleXfs>
  <x:cellXfs count="13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4" xfId="0" applyNumberFormat="1" applyFont="1" applyFill="1" applyBorder="1"/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3" fillId="4" borderId="2" xfId="0" applyNumberFormat="1" applyFont="1" applyFill="1" applyBorder="1" applyAlignment="1">
      <x:alignment horizontal="center"/>
    </x:xf>
    <x:xf numFmtId="0" fontId="3" fillId="4" borderId="3" xfId="0" applyNumberFormat="1" applyFont="1" applyFill="1" applyBorder="1" applyAlignment="1">
      <x:alignment horizontal="center"/>
    </x:xf>
    <x:xf numFmtId="0" fontId="3" fillId="4" borderId="4" xfId="0" applyNumberFormat="1" applyFont="1" applyFill="1" applyBorder="1" applyAlignment="1">
      <x:alignment horizontal="center"/>
    </x:xf>
    <x:xf numFmtId="0" fontId="3" fillId="4" borderId="5" xfId="0" applyNumberFormat="1" applyFont="1" applyFill="1" applyBorder="1" applyAlignment="1">
      <x:alignment horizontal="center"/>
    </x:xf>
    <x:xf numFmtId="0" fontId="3" fillId="4" borderId="6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 vertical="center"/>
    </x:xf>
    <x:xf numFmtId="0" fontId="3" fillId="4" borderId="2" xfId="0" applyNumberFormat="1" applyFont="1" applyFill="1" applyBorder="1" applyAlignment="1">
      <x:alignment horizontal="center" vertical="center"/>
    </x:xf>
    <x:xf numFmtId="0" fontId="3" fillId="4" borderId="3" xfId="0" applyNumberFormat="1" applyFont="1" applyFill="1" applyBorder="1" applyAlignment="1">
      <x:alignment horizontal="center" vertical="center"/>
    </x:xf>
    <x:xf numFmtId="0" fontId="3" fillId="4" borderId="4" xfId="0" applyNumberFormat="1" applyFont="1" applyFill="1" applyBorder="1" applyAlignment="1">
      <x:alignment horizontal="center" vertical="center"/>
    </x:xf>
    <x:xf numFmtId="0" fontId="3" fillId="4" borderId="5" xfId="0" applyNumberFormat="1" applyFont="1" applyFill="1" applyBorder="1" applyAlignment="1">
      <x:alignment horizontal="center" vertical="center"/>
    </x:xf>
    <x:xf numFmtId="0" fontId="3" fillId="4" borderId="6" xfId="0" applyNumberFormat="1" applyFont="1" applyFill="1" applyBorder="1" applyAlignment="1">
      <x:alignment horizontal="center" vertical="center"/>
    </x:xf>
    <x:xf numFmtId="200" fontId="3" fillId="4" borderId="1" xfId="0" applyNumberFormat="1" applyFont="1" applyFill="1" applyBorder="1" applyAlignment="1">
      <x:alignment horizontal="center" vertical="center"/>
    </x:xf>
    <x:xf numFmtId="200" fontId="3" fillId="4" borderId="2" xfId="0" applyNumberFormat="1" applyFont="1" applyFill="1" applyBorder="1" applyAlignment="1">
      <x:alignment horizontal="center" vertical="center"/>
    </x:xf>
    <x:xf numFmtId="200" fontId="3" fillId="4" borderId="4" xfId="0" applyNumberFormat="1" applyFont="1" applyFill="1" applyBorder="1" applyAlignment="1">
      <x:alignment horizontal="center" vertical="center"/>
    </x:xf>
    <x:xf numFmtId="200" fontId="3" fillId="4" borderId="5" xfId="0" applyNumberFormat="1" applyFont="1" applyFill="1" applyBorder="1" applyAlignment="1">
      <x:alignment horizontal="center" vertical="center"/>
    </x:xf>
    <x:xf numFmtId="201" fontId="3" fillId="4" borderId="2" xfId="0" applyNumberFormat="1" applyFont="1" applyFill="1" applyBorder="1" applyAlignment="1">
      <x:alignment horizontal="center" vertical="center"/>
    </x:xf>
    <x:xf numFmtId="201" fontId="3" fillId="4" borderId="3" xfId="0" applyNumberFormat="1" applyFont="1" applyFill="1" applyBorder="1" applyAlignment="1">
      <x:alignment horizontal="center" vertical="center"/>
    </x:xf>
    <x:xf numFmtId="201" fontId="3" fillId="4" borderId="5" xfId="0" applyNumberFormat="1" applyFont="1" applyFill="1" applyBorder="1" applyAlignment="1">
      <x:alignment horizontal="center" vertical="center"/>
    </x:xf>
    <x:xf numFmtId="201" fontId="3" fillId="4" borderId="6" xfId="0" applyNumberFormat="1" applyFont="1" applyFill="1" applyBorder="1" applyAlignment="1">
      <x:alignment horizontal="center" vertical="center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7" xfId="0" applyNumberFormat="1" applyFont="1" applyFill="1" applyBorder="1"/>
    <x:xf numFmtId="0" fontId="5" fillId="5" borderId="8" xfId="0" applyNumberFormat="1" applyFont="1" applyFill="1" applyBorder="1"/>
    <x:xf numFmtId="0" fontId="5" fillId="5" borderId="9" xfId="0" applyNumberFormat="1" applyFont="1" applyFill="1" applyBorder="1"/>
    <x:xf numFmtId="0" fontId="5" fillId="5" borderId="7" xfId="0" applyNumberFormat="1" applyFont="1" applyFill="1" applyBorder="1" applyAlignment="1">
      <x:alignment wrapText="1"/>
    </x:xf>
    <x:xf numFmtId="0" fontId="5" fillId="5" borderId="8" xfId="0" applyNumberFormat="1" applyFont="1" applyFill="1" applyBorder="1" applyAlignment="1">
      <x:alignment wrapText="1"/>
    </x:xf>
    <x:xf numFmtId="0" fontId="5" fillId="5" borderId="9" xfId="0" applyNumberFormat="1" applyFont="1" applyFill="1" applyBorder="1" applyAlignment="1">
      <x:alignment wrapText="1"/>
    </x:xf>
    <x:xf numFmtId="0" fontId="5" fillId="5" borderId="7" xfId="0" applyNumberFormat="1" applyFont="1" applyFill="1" applyBorder="1" applyAlignment="1">
      <x:alignment horizontal="center" wrapText="1"/>
    </x:xf>
    <x:xf numFmtId="0" fontId="5" fillId="5" borderId="8" xfId="0" applyNumberFormat="1" applyFont="1" applyFill="1" applyBorder="1" applyAlignment="1">
      <x:alignment horizontal="center" wrapText="1"/>
    </x:xf>
    <x:xf numFmtId="0" fontId="5" fillId="5" borderId="9" xfId="0" applyNumberFormat="1" applyFont="1" applyFill="1" applyBorder="1" applyAlignment="1">
      <x:alignment horizontal="center" wrapText="1"/>
    </x:xf>
    <x:xf numFmtId="0" fontId="5" fillId="5" borderId="7" xfId="0" applyNumberFormat="1" applyFont="1" applyFill="1" applyBorder="1" applyAlignment="1">
      <x:alignment horizontal="center" vertical="center" wrapText="1"/>
    </x:xf>
    <x:xf numFmtId="0" fontId="5" fillId="5" borderId="8" xfId="0" applyNumberFormat="1" applyFont="1" applyFill="1" applyBorder="1" applyAlignment="1">
      <x:alignment horizontal="center" vertical="center" wrapText="1"/>
    </x:xf>
    <x:xf numFmtId="0" fontId="5" fillId="5" borderId="9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10" xfId="0" applyNumberFormat="1" applyFont="1" applyFill="1" applyBorder="1"/>
    <x:xf numFmtId="0" fontId="6" fillId="6" borderId="11" xfId="0" applyNumberFormat="1" applyFont="1" applyFill="1" applyBorder="1"/>
    <x:xf numFmtId="0" fontId="6" fillId="6" borderId="12" xfId="0" applyNumberFormat="1" applyFont="1" applyFill="1" applyBorder="1"/>
    <x:xf numFmtId="202" fontId="6" fillId="6" borderId="10" xfId="0" applyNumberFormat="1" applyFont="1" applyFill="1" applyBorder="1"/>
    <x:xf numFmtId="202" fontId="6" fillId="6" borderId="11" xfId="0" applyNumberFormat="1" applyFont="1" applyFill="1" applyBorder="1"/>
    <x:xf numFmtId="202" fontId="6" fillId="6" borderId="12" xfId="0" applyNumberFormat="1" applyFont="1" applyFill="1" applyBorder="1"/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13" xfId="0" applyNumberFormat="1" applyFont="1" applyFill="1" applyBorder="1"/>
    <x:xf numFmtId="0" fontId="7" fillId="7" borderId="14" xfId="0" applyNumberFormat="1" applyFont="1" applyFill="1" applyBorder="1"/>
    <x:xf numFmtId="0" fontId="7" fillId="7" borderId="15" xfId="0" applyNumberFormat="1" applyFont="1" applyFill="1" applyBorder="1"/>
    <x:xf numFmtId="0" fontId="7" fillId="7" borderId="16" xfId="0" applyNumberFormat="1" applyFont="1" applyFill="1" applyBorder="1"/>
    <x:xf numFmtId="0" fontId="7" fillId="7" borderId="17" xfId="0" applyNumberFormat="1" applyFont="1" applyFill="1" applyBorder="1"/>
    <x:xf numFmtId="0" fontId="7" fillId="7" borderId="18" xfId="0" applyNumberFormat="1" applyFont="1" applyFill="1" applyBorder="1"/>
    <x:xf numFmtId="0" fontId="7" fillId="7" borderId="19" xfId="0" applyNumberFormat="1" applyFont="1" applyFill="1" applyBorder="1"/>
    <x:xf numFmtId="0" fontId="7" fillId="7" borderId="20" xfId="0" applyNumberFormat="1" applyFont="1" applyFill="1" applyBorder="1"/>
    <x:xf numFmtId="0" fontId="7" fillId="7" borderId="13" xfId="0" applyNumberFormat="1" applyFont="1" applyFill="1" applyBorder="1" applyAlignment="1">
      <x:alignment wrapText="1"/>
    </x:xf>
    <x:xf numFmtId="0" fontId="7" fillId="7" borderId="14" xfId="0" applyNumberFormat="1" applyFont="1" applyFill="1" applyBorder="1" applyAlignment="1">
      <x:alignment wrapText="1"/>
    </x:xf>
    <x:xf numFmtId="0" fontId="7" fillId="7" borderId="15" xfId="0" applyNumberFormat="1" applyFont="1" applyFill="1" applyBorder="1" applyAlignment="1">
      <x:alignment wrapText="1"/>
    </x:xf>
    <x:xf numFmtId="0" fontId="7" fillId="7" borderId="16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wrapText="1"/>
    </x:xf>
    <x:xf numFmtId="0" fontId="7" fillId="7" borderId="17" xfId="0" applyNumberFormat="1" applyFont="1" applyFill="1" applyBorder="1" applyAlignment="1">
      <x:alignment wrapText="1"/>
    </x:xf>
    <x:xf numFmtId="0" fontId="7" fillId="7" borderId="18" xfId="0" applyNumberFormat="1" applyFont="1" applyFill="1" applyBorder="1" applyAlignment="1">
      <x:alignment wrapText="1"/>
    </x:xf>
    <x:xf numFmtId="0" fontId="7" fillId="7" borderId="19" xfId="0" applyNumberFormat="1" applyFont="1" applyFill="1" applyBorder="1" applyAlignment="1">
      <x:alignment wrapText="1"/>
    </x:xf>
    <x:xf numFmtId="0" fontId="7" fillId="7" borderId="20" xfId="0" applyNumberFormat="1" applyFont="1" applyFill="1" applyBorder="1" applyAlignment="1">
      <x:alignment wrapText="1"/>
    </x:xf>
    <x:xf numFmtId="0" fontId="7" fillId="7" borderId="13" xfId="0" applyNumberFormat="1" applyFont="1" applyFill="1" applyBorder="1" applyAlignment="1">
      <x:alignment vertical="center" wrapText="1"/>
    </x:xf>
    <x:xf numFmtId="0" fontId="7" fillId="7" borderId="14" xfId="0" applyNumberFormat="1" applyFont="1" applyFill="1" applyBorder="1" applyAlignment="1">
      <x:alignment vertical="center" wrapText="1"/>
    </x:xf>
    <x:xf numFmtId="0" fontId="7" fillId="7" borderId="15" xfId="0" applyNumberFormat="1" applyFont="1" applyFill="1" applyBorder="1" applyAlignment="1">
      <x:alignment vertical="center" wrapText="1"/>
    </x:xf>
    <x:xf numFmtId="0" fontId="7" fillId="7" borderId="16" xfId="0" applyNumberFormat="1" applyFont="1" applyFill="1" applyBorder="1" applyAlignment="1">
      <x:alignment vertical="center" wrapText="1"/>
    </x:xf>
    <x:xf numFmtId="0" fontId="7" fillId="7" borderId="0" xfId="0" applyNumberFormat="1" applyFont="1" applyFill="1" applyBorder="1" applyAlignment="1">
      <x:alignment vertical="center" wrapText="1"/>
    </x:xf>
    <x:xf numFmtId="0" fontId="7" fillId="7" borderId="17" xfId="0" applyNumberFormat="1" applyFont="1" applyFill="1" applyBorder="1" applyAlignment="1">
      <x:alignment vertical="center" wrapText="1"/>
    </x:xf>
    <x:xf numFmtId="0" fontId="7" fillId="7" borderId="18" xfId="0" applyNumberFormat="1" applyFont="1" applyFill="1" applyBorder="1" applyAlignment="1">
      <x:alignment vertical="center" wrapText="1"/>
    </x:xf>
    <x:xf numFmtId="0" fontId="7" fillId="7" borderId="19" xfId="0" applyNumberFormat="1" applyFont="1" applyFill="1" applyBorder="1" applyAlignment="1">
      <x:alignment vertical="center" wrapText="1"/>
    </x:xf>
    <x:xf numFmtId="0" fontId="7" fillId="7" borderId="20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9" fillId="0" borderId="0" xfId="0" applyNumberFormat="1" applyFont="1" applyFill="1" applyBorder="1"/>
    <x:xf numFmtId="0" fontId="9" fillId="0" borderId="0" xfId="0" applyNumberFormat="1" applyFont="1" applyFill="1" applyBorder="1" applyAlignment="1">
      <x:alignment wrapText="1"/>
    </x:xf>
    <x:xf numFmtId="200" fontId="6" fillId="6" borderId="10" xfId="0" applyNumberFormat="1" applyFont="1" applyFill="1" applyBorder="1"/>
    <x:xf numFmtId="200" fontId="6" fillId="6" borderId="11" xfId="0" applyNumberFormat="1" applyFont="1" applyFill="1" applyBorder="1"/>
    <x:xf numFmtId="200" fontId="6" fillId="6" borderId="12" xfId="0" applyNumberFormat="1" applyFont="1" applyFill="1" applyBorder="1"/>
    <x:xf numFmtId="203" fontId="6" fillId="6" borderId="10" xfId="0" applyNumberFormat="1" applyFont="1" applyFill="1" applyBorder="1"/>
    <x:xf numFmtId="203" fontId="6" fillId="6" borderId="11" xfId="0" applyNumberFormat="1" applyFont="1" applyFill="1" applyBorder="1"/>
    <x:xf numFmtId="203" fontId="6" fillId="6" borderId="12" xfId="0" applyNumberFormat="1" applyFont="1" applyFill="1" applyBorder="1"/>
    <x:xf numFmtId="204" fontId="6" fillId="6" borderId="10" xfId="0" applyNumberFormat="1" applyFont="1" applyFill="1" applyBorder="1"/>
    <x:xf numFmtId="204" fontId="6" fillId="6" borderId="11" xfId="0" applyNumberFormat="1" applyFont="1" applyFill="1" applyBorder="1"/>
    <x:xf numFmtId="204" fontId="6" fillId="6" borderId="12" xfId="0" applyNumberFormat="1" applyFont="1" applyFill="1" applyBorder="1"/>
    <x:xf numFmtId="205" fontId="6" fillId="6" borderId="10" xfId="0" applyNumberFormat="1" applyFont="1" applyFill="1" applyBorder="1"/>
    <x:xf numFmtId="205" fontId="6" fillId="6" borderId="11" xfId="0" applyNumberFormat="1" applyFont="1" applyFill="1" applyBorder="1"/>
    <x:xf numFmtId="205" fontId="6" fillId="6" borderId="12" xfId="0" applyNumberFormat="1" applyFont="1" applyFill="1" applyBorder="1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6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6" borderId="1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6" borderId="1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6" borderId="12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6" fontId="6" fillId="6" borderId="10" xfId="0" applyNumberFormat="1" applyFont="1" applyFill="1" applyBorder="1"/>
    <x:xf numFmtId="206" fontId="6" fillId="6" borderId="11" xfId="0" applyNumberFormat="1" applyFont="1" applyFill="1" applyBorder="1"/>
    <x:xf numFmtId="206" fontId="6" fillId="6" borderId="12" xfId="0" applyNumberFormat="1" applyFont="1" applyFill="1" applyBorder="1"/>
    <x:xf numFmtId="204" fontId="0" fillId="0" borderId="0" xfId="0" applyNumberFormat="1" applyFont="1" applyFill="1" applyBorder="1"/>
    <x:xf numFmtId="205" fontId="0" fillId="0" borderId="0" xfId="0" applyNumberFormat="1" applyFont="1" applyFill="1" applyBorder="1"/>
    <x:xf numFmtId="205" fontId="0" fillId="3" borderId="0" xfId="0" applyNumberFormat="1" applyFont="1" applyFill="1" applyBorder="1"/>
    <x:xf numFmtId="205" fontId="4" fillId="3" borderId="0" xfId="0" applyNumberFormat="1" applyFont="1" applyFill="1" applyBorder="1"/>
    <x:xf numFmtId="205" fontId="4" fillId="3" borderId="0" xfId="0" applyNumberFormat="1" applyFont="1" applyFill="1" applyBorder="1" applyAlignment="1">
      <x:alignment vertical="center"/>
    </x:xf>
    <x:xf numFmtId="205" fontId="0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5" fontId="0" fillId="5" borderId="0" xfId="0" applyNumberFormat="1" applyFont="1" applyFill="1" applyBorder="1"/>
    <x:xf numFmtId="205" fontId="5" fillId="5" borderId="0" xfId="0" applyNumberFormat="1" applyFont="1" applyFill="1" applyBorder="1"/>
    <x:xf numFmtId="205" fontId="5" fillId="5" borderId="8" xfId="0" applyNumberFormat="1" applyFont="1" applyFill="1" applyBorder="1"/>
    <x:xf numFmtId="205" fontId="5" fillId="5" borderId="8" xfId="0" applyNumberFormat="1" applyFont="1" applyFill="1" applyBorder="1" applyAlignment="1">
      <x:alignment wrapText="1"/>
    </x:xf>
    <x:xf numFmtId="205" fontId="5" fillId="5" borderId="8" xfId="0" applyNumberFormat="1" applyFont="1" applyFill="1" applyBorder="1" applyAlignment="1">
      <x:alignment horizontal="center" wrapText="1"/>
    </x:xf>
    <x:xf numFmtId="205" fontId="5" fillId="5" borderId="8" xfId="0" applyNumberFormat="1" applyFont="1" applyFill="1" applyBorder="1" applyAlignment="1">
      <x:alignment horizontal="center" vertical="center" wrapText="1"/>
    </x:xf>
    <x:xf numFmtId="205" fontId="6" fillId="0" borderId="0" xfId="0" applyNumberFormat="1" applyFont="1" applyFill="1" applyBorder="1"/>
    <x:xf numFmtId="205" fontId="6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5" fontId="6" fillId="6" borderId="0" xfId="0" applyNumberFormat="1" applyFont="1" applyFill="1" applyBorder="1"/>
    <x:xf numFmtId="205" fontId="6" fillId="6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5" fontId="6" fillId="6" borderId="1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6" borderId="10" xfId="0" applyNumberFormat="1" applyFont="1" applyFill="1" applyBorder="1" applyAlignment="1">
      <x:alignment wrapText="1"/>
    </x:xf>
    <x:xf numFmtId="0" fontId="6" fillId="6" borderId="11" xfId="0" applyNumberFormat="1" applyFont="1" applyFill="1" applyBorder="1" applyAlignment="1">
      <x:alignment wrapText="1"/>
    </x:xf>
    <x:xf numFmtId="0" fontId="6" fillId="6" borderId="12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6c9fd91ed34edd" /><Relationship Type="http://schemas.openxmlformats.org/officeDocument/2006/relationships/theme" Target="/xl/theme/theme1.xml" Id="Rf54cab306ac846f2" /><Relationship Type="http://schemas.microsoft.com/office/2022/11/relationships/FeaturePropertyBag" Target="/xl/featurePropertyBag/featurePropertyBag.xml" Id="R580f9f46be704933" /><Relationship Type="http://schemas.openxmlformats.org/officeDocument/2006/relationships/sharedStrings" Target="/xl/sharedStrings.xml" Id="Rb41307921a124c6c" /><Relationship Type="http://schemas.openxmlformats.org/officeDocument/2006/relationships/worksheet" Target="/xl/worksheets/sheet1.xml" Id="Refdfc275ee534c7c" /><Relationship Type="http://schemas.openxmlformats.org/officeDocument/2006/relationships/worksheet" Target="/xl/worksheets/sheet2.xml" Id="R650226fbf98d4fa0" /><Relationship Type="http://schemas.openxmlformats.org/officeDocument/2006/relationships/worksheet" Target="/xl/worksheets/sheet3.xml" Id="R962e4ad735de4ef7" /><Relationship Type="http://schemas.openxmlformats.org/officeDocument/2006/relationships/worksheet" Target="/xl/worksheets/sheet4.xml" Id="R4caa291607e044bc" /><Relationship Type="http://schemas.openxmlformats.org/officeDocument/2006/relationships/worksheet" Target="/xl/worksheets/sheet5.xml" Id="R5fe526b2a9e74aec" /><Relationship Type="http://schemas.openxmlformats.org/officeDocument/2006/relationships/worksheet" Target="/xl/worksheets/sheet6.xml" Id="R0a4cfb12413a46bb" /><Relationship Type="http://schemas.openxmlformats.org/officeDocument/2006/relationships/worksheet" Target="/xl/worksheets/sheet7.xml" Id="Rd3f8324776664b5c" /><Relationship Type="http://schemas.openxmlformats.org/officeDocument/2006/relationships/worksheet" Target="/xl/worksheets/sheet8.xml" Id="Rf6267e0d1c47406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f87653cc4bd4548" /><Relationship Type="http://schemas.openxmlformats.org/officeDocument/2006/relationships/chart" Target="/xl/drawings/charts/chart2.xml" Id="R2e379e2b3d104de8" /><Relationship Type="http://schemas.openxmlformats.org/officeDocument/2006/relationships/chart" Target="/xl/drawings/charts/chart3.xml" Id="R83513d4942524214" /><Relationship Type="http://schemas.openxmlformats.org/officeDocument/2006/relationships/chart" Target="/xl/drawings/charts/chart4.xml" Id="R5d8e93ac07d5434e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ZA ↔ Z−O Swing%</a:t>
            </a:r>
          </a:p>
        </c:rich>
      </c:tx>
      <c:overlay val="0"/>
    </c:title>
    <c:plotArea>
      <c:scatterChart>
        <c:scatterStyle val="marker"/>
        <c:ser>
          <c:idx val="0"/>
          <c:order val="0"/>
          <c:tx>
            <c:v>ZA ↔ Z−O Swing%</c:v>
          </c:tx>
          <c:spPr>
            <a:solidFill xmlns:a="http://schemas.openxmlformats.org/drawingml/2006/main">
              <a:srgbClr val="2E75B6"/>
            </a:solidFill>
          </c:spPr>
          <c:xVal>
            <c:numLit>
              <c:formatCode>General</c:formatCode>
              <c:ptCount val="0"/>
            </c:numLit>
          </c:xVal>
          <c:yVal>
            <c:numRef>
              <c:f>'Scatter'!$B$45:$B$203</c:f>
              <c:numCache>
                <c:formatCode>General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Z−O Swing (%p)</a:t>
                </a:r>
              </a:p>
            </c:rich>
          </c:tx>
          <c:overlay val="0"/>
        </c:title>
        <c:numFmt formatCode="General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50112"/>
      </c:valAx>
      <c:val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ZA Raw (%p)</a:t>
                </a:r>
              </a:p>
            </c:rich>
          </c:tx>
          <c:overlay val="0"/>
        </c:title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SA ↔ Swing%</a:t>
            </a:r>
          </a:p>
        </c:rich>
      </c:tx>
      <c:overlay val="0"/>
    </c:title>
    <c:plotArea>
      <c:scatterChart>
        <c:scatterStyle val="marker"/>
        <c:ser>
          <c:idx val="0"/>
          <c:order val="0"/>
          <c:tx>
            <c:v>SA ↔ Swing%</c:v>
          </c:tx>
          <c:spPr>
            <a:solidFill xmlns:a="http://schemas.openxmlformats.org/drawingml/2006/main">
              <a:srgbClr val="2F855A"/>
            </a:solidFill>
          </c:spPr>
          <c:xVal>
            <c:numLit>
              <c:formatCode>General</c:formatCode>
              <c:ptCount val="0"/>
            </c:numLit>
          </c:xVal>
          <c:yVal>
            <c:numRef>
              <c:f>'Scatter'!$D$45:$D$203</c:f>
              <c:numCache>
                <c:formatCode>General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Swing%</a:t>
                </a:r>
              </a:p>
            </c:rich>
          </c:tx>
          <c:overlay val="0"/>
        </c:title>
        <c:numFmt formatCode="General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50112"/>
      </c:valAx>
      <c:val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Swing Aggression (%p)</a:t>
                </a:r>
              </a:p>
            </c:rich>
          </c:tx>
          <c:overlay val="0"/>
        </c:title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DV/100 ↔ ZA</a:t>
            </a:r>
          </a:p>
        </c:rich>
      </c:tx>
      <c:overlay val="0"/>
    </c:title>
    <c:plotArea>
      <c:scatterChart>
        <c:scatterStyle val="marker"/>
        <c:ser>
          <c:idx val="0"/>
          <c:order val="0"/>
          <c:tx>
            <c:v>DV/100 ↔ ZA</c:v>
          </c:tx>
          <c:spPr>
            <a:solidFill xmlns:a="http://schemas.openxmlformats.org/drawingml/2006/main">
              <a:srgbClr val="C53030"/>
            </a:solidFill>
          </c:spPr>
          <c:xVal>
            <c:numLit>
              <c:formatCode>General</c:formatCode>
              <c:ptCount val="0"/>
            </c:numLit>
          </c:xVal>
          <c:yVal>
            <c:numRef>
              <c:f>'Scatter'!$F$45:$F$203</c:f>
              <c:numCache>
                <c:formatCode>General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DV/100</a:t>
                </a:r>
              </a:p>
            </c:rich>
          </c:tx>
          <c:overlay val="0"/>
        </c:title>
        <c:numFmt formatCode="General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50112"/>
      </c:valAx>
      <c:val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ZA Raw (%p)</a:t>
                </a:r>
              </a:p>
            </c:rich>
          </c:tx>
          <c:overlay val="0"/>
        </c:title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DV/100 ↔ SA</a:t>
            </a:r>
          </a:p>
        </c:rich>
      </c:tx>
      <c:overlay val="0"/>
    </c:title>
    <c:plotArea>
      <c:scatterChart>
        <c:scatterStyle val="marker"/>
        <c:ser>
          <c:idx val="0"/>
          <c:order val="0"/>
          <c:tx>
            <c:v>DV/100 ↔ SA</c:v>
          </c:tx>
          <c:spPr>
            <a:solidFill xmlns:a="http://schemas.openxmlformats.org/drawingml/2006/main">
              <a:srgbClr val="805AD5"/>
            </a:solidFill>
          </c:spPr>
          <c:xVal>
            <c:numLit>
              <c:formatCode>General</c:formatCode>
              <c:ptCount val="0"/>
            </c:numLit>
          </c:xVal>
          <c:yVal>
            <c:numRef>
              <c:f>'Scatter'!$H$45:$H$203</c:f>
              <c:numCache>
                <c:formatCode>General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DV/100</a:t>
                </a:r>
              </a:p>
            </c:rich>
          </c:tx>
          <c:overlay val="0"/>
        </c:title>
        <c:numFmt formatCode="General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50112"/>
      </c:valAx>
      <c:val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Swing Aggression (%p)</a:t>
                </a:r>
              </a:p>
            </c:rich>
          </c:tx>
          <c:overlay val="0"/>
        </c:title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</xdr:row>
      <xdr:rowOff>0</xdr:rowOff>
    </xdr:from>
    <xdr:to>
      <xdr:col>8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f87653cc4bd4548"/>
        </a:graphicData>
      </a:graphic>
    </xdr:graphicFrame>
    <xdr:clientData/>
  </xdr:twoCellAnchor>
  <xdr:twoCellAnchor>
    <xdr:from>
      <xdr:col>9</xdr:col>
      <xdr:colOff>0</xdr:colOff>
      <xdr:row>2</xdr:row>
      <xdr:rowOff>0</xdr:rowOff>
    </xdr:from>
    <xdr:to>
      <xdr:col>17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e379e2b3d104de8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8</xdr:col>
      <xdr:colOff>0</xdr:colOff>
      <xdr:row>39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3513d4942524214"/>
        </a:graphicData>
      </a:graphic>
    </xdr:graphicFrame>
    <xdr:clientData/>
  </xdr:twoCellAnchor>
  <xdr:twoCellAnchor>
    <xdr:from>
      <xdr:col>9</xdr:col>
      <xdr:colOff>0</xdr:colOff>
      <xdr:row>21</xdr:row>
      <xdr:rowOff>0</xdr:rowOff>
    </xdr:from>
    <xdr:to>
      <xdr:col>17</xdr:col>
      <xdr:colOff>0</xdr:colOff>
      <xdr:row>39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d8e93ac07d5434e"/>
        </a:graphicData>
      </a:graphic>
    </xdr:graphicFrame>
    <xdr:clientData/>
  </xdr:twoCellAnchor>
</xdr:wsDr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1.xml" Id="R6ae779075a3b4e6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20" hidden="0" customWidth="1"/>
  </x:cols>
  <x:sheetData>
    <x:row r="1" ht="30" customHeight="1">
      <x:c r="A1" s="3" t="str">
        <x:v>2026 KBO Plate Decision v1 — 1차 모델 브리핑</x:v>
      </x:c>
      <x:c r="B1" s="3" t="str">
        <x:v>2026 KBO Plate Decision v1 — 1차 모델 브리핑</x:v>
      </x:c>
      <x:c r="C1" s="3" t="str">
        <x:v>2026 KBO Plate Decision v1 — 1차 모델 브리핑</x:v>
      </x:c>
      <x:c r="D1" s="3" t="str">
        <x:v>2026 KBO Plate Decision v1 — 1차 모델 브리핑</x:v>
      </x:c>
      <x:c r="E1" s="3" t="str">
        <x:v>2026 KBO Plate Decision v1 — 1차 모델 브리핑</x:v>
      </x:c>
      <x:c r="F1" s="3" t="str">
        <x:v>2026 KBO Plate Decision v1 — 1차 모델 브리핑</x:v>
      </x:c>
      <x:c r="G1" s="3" t="str">
        <x:v>2026 KBO Plate Decision v1 — 1차 모델 브리핑</x:v>
      </x:c>
      <x:c r="H1" s="3" t="str">
        <x:v>2026 KBO Plate Decision v1 — 1차 모델 브리핑</x:v>
      </x:c>
    </x:row>
    <x:row r="2" ht="30" customHeight="1">
      <x:c r="A2" s="3" t="str">
        <x:v>2026 KBO Plate Decision v1 — 1차 모델 브리핑</x:v>
      </x:c>
      <x:c r="B2" s="3" t="str">
        <x:v>2026 KBO Plate Decision v1 — 1차 모델 브리핑</x:v>
      </x:c>
      <x:c r="C2" s="3" t="str">
        <x:v>2026 KBO Plate Decision v1 — 1차 모델 브리핑</x:v>
      </x:c>
      <x:c r="D2" s="3" t="str">
        <x:v>2026 KBO Plate Decision v1 — 1차 모델 브리핑</x:v>
      </x:c>
      <x:c r="E2" s="3" t="str">
        <x:v>2026 KBO Plate Decision v1 — 1차 모델 브리핑</x:v>
      </x:c>
      <x:c r="F2" s="3" t="str">
        <x:v>2026 KBO Plate Decision v1 — 1차 모델 브리핑</x:v>
      </x:c>
      <x:c r="G2" s="3" t="str">
        <x:v>2026 KBO Plate Decision v1 — 1차 모델 브리핑</x:v>
      </x:c>
      <x:c r="H2" s="3" t="str">
        <x:v>2026 KBO Plate Decision v1 — 1차 모델 브리핑</x:v>
      </x:c>
    </x:row>
    <x:row r="4">
      <x:c r="A4" s="6" t="str">
        <x:v>유효 투구</x:v>
      </x:c>
      <x:c r="B4" s="6" t="str">
        <x:v>유효 투구</x:v>
      </x:c>
      <x:c r="C4" s="6" t="str">
        <x:v>300구 이상 타자</x:v>
      </x:c>
      <x:c r="D4" s="6" t="str">
        <x:v>300구 이상 타자</x:v>
      </x:c>
      <x:c r="E4" s="6" t="str">
        <x:v>채택 모델</x:v>
      </x:c>
      <x:c r="F4" s="6" t="str">
        <x:v>채택 모델</x:v>
      </x:c>
      <x:c r="G4" s="6" t="str">
        <x:v>Movement 적용률</x:v>
      </x:c>
      <x:c r="H4" s="6" t="str">
        <x:v>Movement 적용률</x:v>
      </x:c>
    </x:row>
    <x:row r="5">
      <x:c r="A5" s="27" t="n">
        <x:v>180261</x:v>
      </x:c>
      <x:c r="B5" s="28" t="n">
        <x:v>180261</x:v>
      </x:c>
      <x:c r="C5" s="28" t="n">
        <x:v>159</x:v>
      </x:c>
      <x:c r="D5" s="28" t="n">
        <x:v>159</x:v>
      </x:c>
      <x:c r="E5" s="22" t="str">
        <x:v>Movement O</x:v>
      </x:c>
      <x:c r="F5" s="22" t="str">
        <x:v>Movement O</x:v>
      </x:c>
      <x:c r="G5" s="31" t="n">
        <x:v>0.9965550000000001</x:v>
      </x:c>
      <x:c r="H5" s="32" t="n">
        <x:v>0.9965550000000001</x:v>
      </x:c>
    </x:row>
    <x:row r="6">
      <x:c r="A6" s="29" t="n">
        <x:v>180261</x:v>
      </x:c>
      <x:c r="B6" s="30" t="n">
        <x:v>180261</x:v>
      </x:c>
      <x:c r="C6" s="30" t="n">
        <x:v>159</x:v>
      </x:c>
      <x:c r="D6" s="30" t="n">
        <x:v>159</x:v>
      </x:c>
      <x:c r="E6" s="25" t="str">
        <x:v>Movement O</x:v>
      </x:c>
      <x:c r="F6" s="25" t="str">
        <x:v>Movement O</x:v>
      </x:c>
      <x:c r="G6" s="33" t="n">
        <x:v>0.9965550000000001</x:v>
      </x:c>
      <x:c r="H6" s="34" t="n">
        <x:v>0.9965550000000001</x:v>
      </x:c>
    </x:row>
    <x:row r="8">
      <x:c r="A8" s="36" t="str">
        <x:v>Movement X/O 비교</x:v>
      </x:c>
      <x:c r="B8" s="36" t="str">
        <x:v>Movement X/O 비교</x:v>
      </x:c>
      <x:c r="C8" s="36" t="str">
        <x:v>Movement X/O 비교</x:v>
      </x:c>
      <x:c r="D8" s="36" t="str">
        <x:v>Movement X/O 비교</x:v>
      </x:c>
      <x:c r="E8" s="36" t="str">
        <x:v>Movement X/O 비교</x:v>
      </x:c>
      <x:c r="F8" s="36" t="str">
        <x:v>Movement X/O 비교</x:v>
      </x:c>
      <x:c r="G8" s="36" t="str">
        <x:v>Movement X/O 비교</x:v>
      </x:c>
      <x:c r="H8" s="36" t="str">
        <x:v>Movement X/O 비교</x:v>
      </x:c>
    </x:row>
    <x:row r="9" ht="30" customHeight="1">
      <x:c r="A9" s="48" t="str">
        <x:v>모델</x:v>
      </x:c>
      <x:c r="B9" s="49" t="str">
        <x:v>Log loss</x:v>
      </x:c>
      <x:c r="C9" s="49" t="str">
        <x:v>Brier</x:v>
      </x:c>
      <x:c r="D9" s="50" t="str">
        <x:v>ROC AUC</x:v>
      </x:c>
      <x:c r="F9" s="48" t="str">
        <x:v>판정</x:v>
      </x:c>
      <x:c r="G9" s="49" t="str">
        <x:v>값</x:v>
      </x:c>
      <x:c r="H9" s="50" t="str">
        <x:v>해석</x:v>
      </x:c>
    </x:row>
    <x:row r="10">
      <x:c r="A10" s="53" t="str">
        <x:v>Movement X</x:v>
      </x:c>
      <x:c r="B10" s="56" t="n">
        <x:v>0.45851486</x:v>
      </x:c>
      <x:c r="C10" s="56" t="n">
        <x:v>0.15122763</x:v>
      </x:c>
      <x:c r="D10" s="56" t="n">
        <x:v>0.86101969</x:v>
      </x:c>
      <x:c r="F10" s="53" t="str">
        <x:v>Bootstrap 95% CI 하한</x:v>
      </x:c>
      <x:c r="G10" s="56" t="n">
        <x:v>0.01171352</x:v>
      </x:c>
      <x:c r="H10" s="53" t="str">
        <x:v>0보다 큼</x:v>
      </x:c>
    </x:row>
    <x:row r="11">
      <x:c r="A11" s="54" t="str">
        <x:v>Movement O</x:v>
      </x:c>
      <x:c r="B11" s="57" t="n">
        <x:v>0.44592095</x:v>
      </x:c>
      <x:c r="C11" s="57" t="n">
        <x:v>0.14645453</x:v>
      </x:c>
      <x:c r="D11" s="57" t="n">
        <x:v>0.86971847</x:v>
      </x:c>
      <x:c r="F11" s="54" t="str">
        <x:v>Bootstrap 95% CI 상한</x:v>
      </x:c>
      <x:c r="G11" s="57" t="n">
        <x:v>0.01344319</x:v>
      </x:c>
      <x:c r="H11" s="54" t="str">
        <x:v>0보다 큼</x:v>
      </x:c>
    </x:row>
    <x:row r="12">
      <x:c r="A12" s="55" t="str">
        <x:v>O 개선 (X−O)</x:v>
      </x:c>
      <x:c r="B12" s="58" t="n">
        <x:v>0.01259391</x:v>
      </x:c>
      <x:c r="C12" s="58"/>
      <x:c r="D12" s="58"/>
      <x:c r="F12" s="55" t="str">
        <x:v>결론</x:v>
      </x:c>
      <x:c r="G12" s="55" t="str">
        <x:v>Movement O</x:v>
      </x:c>
      <x:c r="H12" s="55" t="str">
        <x:v>보정 IVB/HB 채택</x:v>
      </x:c>
    </x:row>
    <x:row r="14">
      <x:c r="A14" s="36" t="str">
        <x:v>추가 보정 판단</x:v>
      </x:c>
      <x:c r="B14" s="36" t="str">
        <x:v>추가 보정 판단</x:v>
      </x:c>
      <x:c r="C14" s="36" t="str">
        <x:v>추가 보정 판단</x:v>
      </x:c>
      <x:c r="D14" s="36" t="str">
        <x:v>추가 보정 판단</x:v>
      </x:c>
      <x:c r="E14" s="36" t="str">
        <x:v>추가 보정 판단</x:v>
      </x:c>
      <x:c r="F14" s="36" t="str">
        <x:v>추가 보정 판단</x:v>
      </x:c>
      <x:c r="G14" s="36" t="str">
        <x:v>추가 보정 판단</x:v>
      </x:c>
      <x:c r="H14" s="36" t="str">
        <x:v>추가 보정 판단</x:v>
      </x:c>
    </x:row>
    <x:row r="15">
      <x:c r="A15" s="78" t="str">
        <x:v>현재는 ZA와 DV 모두 추가 보정을 하지 않는 것이 적절합니다. 잔차 클러스터는 별도의 오류군보다 Swing Aggression의 적극/소극 축을 다시 분리했습니다. DV/100을 ZA Raw와 SA로 함께 설명한 뒤 군집별 평균 잔차는 -0.015와 +0.017 runs/100에 그쳐 추가 군집 편향이 남지 않았습니다. 클러스터별 보정은 공격성을 ZA에 재주입할 위험이 있으므로 적용하지 않았습니다.</x:v>
      </x:c>
      <x:c r="B15" s="79" t="str">
        <x:v>현재는 ZA와 DV 모두 추가 보정을 하지 않는 것이 적절합니다. 잔차 클러스터는 별도의 오류군보다 Swing Aggression의 적극/소극 축을 다시 분리했습니다. DV/100을 ZA Raw와 SA로 함께 설명한 뒤 군집별 평균 잔차는 -0.015와 +0.017 runs/100에 그쳐 추가 군집 편향이 남지 않았습니다. 클러스터별 보정은 공격성을 ZA에 재주입할 위험이 있으므로 적용하지 않았습니다.</x:v>
      </x:c>
      <x:c r="C15" s="79" t="str">
        <x:v>현재는 ZA와 DV 모두 추가 보정을 하지 않는 것이 적절합니다. 잔차 클러스터는 별도의 오류군보다 Swing Aggression의 적극/소극 축을 다시 분리했습니다. DV/100을 ZA Raw와 SA로 함께 설명한 뒤 군집별 평균 잔차는 -0.015와 +0.017 runs/100에 그쳐 추가 군집 편향이 남지 않았습니다. 클러스터별 보정은 공격성을 ZA에 재주입할 위험이 있으므로 적용하지 않았습니다.</x:v>
      </x:c>
      <x:c r="D15" s="79" t="str">
        <x:v>현재는 ZA와 DV 모두 추가 보정을 하지 않는 것이 적절합니다. 잔차 클러스터는 별도의 오류군보다 Swing Aggression의 적극/소극 축을 다시 분리했습니다. DV/100을 ZA Raw와 SA로 함께 설명한 뒤 군집별 평균 잔차는 -0.015와 +0.017 runs/100에 그쳐 추가 군집 편향이 남지 않았습니다. 클러스터별 보정은 공격성을 ZA에 재주입할 위험이 있으므로 적용하지 않았습니다.</x:v>
      </x:c>
      <x:c r="E15" s="79" t="str">
        <x:v>현재는 ZA와 DV 모두 추가 보정을 하지 않는 것이 적절합니다. 잔차 클러스터는 별도의 오류군보다 Swing Aggression의 적극/소극 축을 다시 분리했습니다. DV/100을 ZA Raw와 SA로 함께 설명한 뒤 군집별 평균 잔차는 -0.015와 +0.017 runs/100에 그쳐 추가 군집 편향이 남지 않았습니다. 클러스터별 보정은 공격성을 ZA에 재주입할 위험이 있으므로 적용하지 않았습니다.</x:v>
      </x:c>
      <x:c r="F15" s="79" t="str">
        <x:v>현재는 ZA와 DV 모두 추가 보정을 하지 않는 것이 적절합니다. 잔차 클러스터는 별도의 오류군보다 Swing Aggression의 적극/소극 축을 다시 분리했습니다. DV/100을 ZA Raw와 SA로 함께 설명한 뒤 군집별 평균 잔차는 -0.015와 +0.017 runs/100에 그쳐 추가 군집 편향이 남지 않았습니다. 클러스터별 보정은 공격성을 ZA에 재주입할 위험이 있으므로 적용하지 않았습니다.</x:v>
      </x:c>
      <x:c r="G15" s="79" t="str">
        <x:v>현재는 ZA와 DV 모두 추가 보정을 하지 않는 것이 적절합니다. 잔차 클러스터는 별도의 오류군보다 Swing Aggression의 적극/소극 축을 다시 분리했습니다. DV/100을 ZA Raw와 SA로 함께 설명한 뒤 군집별 평균 잔차는 -0.015와 +0.017 runs/100에 그쳐 추가 군집 편향이 남지 않았습니다. 클러스터별 보정은 공격성을 ZA에 재주입할 위험이 있으므로 적용하지 않았습니다.</x:v>
      </x:c>
      <x:c r="H15" s="80" t="str">
        <x:v>현재는 ZA와 DV 모두 추가 보정을 하지 않는 것이 적절합니다. 잔차 클러스터는 별도의 오류군보다 Swing Aggression의 적극/소극 축을 다시 분리했습니다. DV/100을 ZA Raw와 SA로 함께 설명한 뒤 군집별 평균 잔차는 -0.015와 +0.017 runs/100에 그쳐 추가 군집 편향이 남지 않았습니다. 클러스터별 보정은 공격성을 ZA에 재주입할 위험이 있으므로 적용하지 않았습니다.</x:v>
      </x:c>
    </x:row>
    <x:row r="16">
      <x:c r="A16" s="81" t="str">
        <x:v>현재는 ZA와 DV 모두 추가 보정을 하지 않는 것이 적절합니다. 잔차 클러스터는 별도의 오류군보다 Swing Aggression의 적극/소극 축을 다시 분리했습니다. DV/100을 ZA Raw와 SA로 함께 설명한 뒤 군집별 평균 잔차는 -0.015와 +0.017 runs/100에 그쳐 추가 군집 편향이 남지 않았습니다. 클러스터별 보정은 공격성을 ZA에 재주입할 위험이 있으므로 적용하지 않았습니다.</x:v>
      </x:c>
      <x:c r="B16" s="82" t="str">
        <x:v>현재는 ZA와 DV 모두 추가 보정을 하지 않는 것이 적절합니다. 잔차 클러스터는 별도의 오류군보다 Swing Aggression의 적극/소극 축을 다시 분리했습니다. DV/100을 ZA Raw와 SA로 함께 설명한 뒤 군집별 평균 잔차는 -0.015와 +0.017 runs/100에 그쳐 추가 군집 편향이 남지 않았습니다. 클러스터별 보정은 공격성을 ZA에 재주입할 위험이 있으므로 적용하지 않았습니다.</x:v>
      </x:c>
      <x:c r="C16" s="82" t="str">
        <x:v>현재는 ZA와 DV 모두 추가 보정을 하지 않는 것이 적절합니다. 잔차 클러스터는 별도의 오류군보다 Swing Aggression의 적극/소극 축을 다시 분리했습니다. DV/100을 ZA Raw와 SA로 함께 설명한 뒤 군집별 평균 잔차는 -0.015와 +0.017 runs/100에 그쳐 추가 군집 편향이 남지 않았습니다. 클러스터별 보정은 공격성을 ZA에 재주입할 위험이 있으므로 적용하지 않았습니다.</x:v>
      </x:c>
      <x:c r="D16" s="82" t="str">
        <x:v>현재는 ZA와 DV 모두 추가 보정을 하지 않는 것이 적절합니다. 잔차 클러스터는 별도의 오류군보다 Swing Aggression의 적극/소극 축을 다시 분리했습니다. DV/100을 ZA Raw와 SA로 함께 설명한 뒤 군집별 평균 잔차는 -0.015와 +0.017 runs/100에 그쳐 추가 군집 편향이 남지 않았습니다. 클러스터별 보정은 공격성을 ZA에 재주입할 위험이 있으므로 적용하지 않았습니다.</x:v>
      </x:c>
      <x:c r="E16" s="82" t="str">
        <x:v>현재는 ZA와 DV 모두 추가 보정을 하지 않는 것이 적절합니다. 잔차 클러스터는 별도의 오류군보다 Swing Aggression의 적극/소극 축을 다시 분리했습니다. DV/100을 ZA Raw와 SA로 함께 설명한 뒤 군집별 평균 잔차는 -0.015와 +0.017 runs/100에 그쳐 추가 군집 편향이 남지 않았습니다. 클러스터별 보정은 공격성을 ZA에 재주입할 위험이 있으므로 적용하지 않았습니다.</x:v>
      </x:c>
      <x:c r="F16" s="82" t="str">
        <x:v>현재는 ZA와 DV 모두 추가 보정을 하지 않는 것이 적절합니다. 잔차 클러스터는 별도의 오류군보다 Swing Aggression의 적극/소극 축을 다시 분리했습니다. DV/100을 ZA Raw와 SA로 함께 설명한 뒤 군집별 평균 잔차는 -0.015와 +0.017 runs/100에 그쳐 추가 군집 편향이 남지 않았습니다. 클러스터별 보정은 공격성을 ZA에 재주입할 위험이 있으므로 적용하지 않았습니다.</x:v>
      </x:c>
      <x:c r="G16" s="82" t="str">
        <x:v>현재는 ZA와 DV 모두 추가 보정을 하지 않는 것이 적절합니다. 잔차 클러스터는 별도의 오류군보다 Swing Aggression의 적극/소극 축을 다시 분리했습니다. DV/100을 ZA Raw와 SA로 함께 설명한 뒤 군집별 평균 잔차는 -0.015와 +0.017 runs/100에 그쳐 추가 군집 편향이 남지 않았습니다. 클러스터별 보정은 공격성을 ZA에 재주입할 위험이 있으므로 적용하지 않았습니다.</x:v>
      </x:c>
      <x:c r="H16" s="83" t="str">
        <x:v>현재는 ZA와 DV 모두 추가 보정을 하지 않는 것이 적절합니다. 잔차 클러스터는 별도의 오류군보다 Swing Aggression의 적극/소극 축을 다시 분리했습니다. DV/100을 ZA Raw와 SA로 함께 설명한 뒤 군집별 평균 잔차는 -0.015와 +0.017 runs/100에 그쳐 추가 군집 편향이 남지 않았습니다. 클러스터별 보정은 공격성을 ZA에 재주입할 위험이 있으므로 적용하지 않았습니다.</x:v>
      </x:c>
    </x:row>
    <x:row r="17">
      <x:c r="A17" s="81" t="str">
        <x:v>현재는 ZA와 DV 모두 추가 보정을 하지 않는 것이 적절합니다. 잔차 클러스터는 별도의 오류군보다 Swing Aggression의 적극/소극 축을 다시 분리했습니다. DV/100을 ZA Raw와 SA로 함께 설명한 뒤 군집별 평균 잔차는 -0.015와 +0.017 runs/100에 그쳐 추가 군집 편향이 남지 않았습니다. 클러스터별 보정은 공격성을 ZA에 재주입할 위험이 있으므로 적용하지 않았습니다.</x:v>
      </x:c>
      <x:c r="B17" s="82" t="str">
        <x:v>현재는 ZA와 DV 모두 추가 보정을 하지 않는 것이 적절합니다. 잔차 클러스터는 별도의 오류군보다 Swing Aggression의 적극/소극 축을 다시 분리했습니다. DV/100을 ZA Raw와 SA로 함께 설명한 뒤 군집별 평균 잔차는 -0.015와 +0.017 runs/100에 그쳐 추가 군집 편향이 남지 않았습니다. 클러스터별 보정은 공격성을 ZA에 재주입할 위험이 있으므로 적용하지 않았습니다.</x:v>
      </x:c>
      <x:c r="C17" s="82" t="str">
        <x:v>현재는 ZA와 DV 모두 추가 보정을 하지 않는 것이 적절합니다. 잔차 클러스터는 별도의 오류군보다 Swing Aggression의 적극/소극 축을 다시 분리했습니다. DV/100을 ZA Raw와 SA로 함께 설명한 뒤 군집별 평균 잔차는 -0.015와 +0.017 runs/100에 그쳐 추가 군집 편향이 남지 않았습니다. 클러스터별 보정은 공격성을 ZA에 재주입할 위험이 있으므로 적용하지 않았습니다.</x:v>
      </x:c>
      <x:c r="D17" s="82" t="str">
        <x:v>현재는 ZA와 DV 모두 추가 보정을 하지 않는 것이 적절합니다. 잔차 클러스터는 별도의 오류군보다 Swing Aggression의 적극/소극 축을 다시 분리했습니다. DV/100을 ZA Raw와 SA로 함께 설명한 뒤 군집별 평균 잔차는 -0.015와 +0.017 runs/100에 그쳐 추가 군집 편향이 남지 않았습니다. 클러스터별 보정은 공격성을 ZA에 재주입할 위험이 있으므로 적용하지 않았습니다.</x:v>
      </x:c>
      <x:c r="E17" s="82" t="str">
        <x:v>현재는 ZA와 DV 모두 추가 보정을 하지 않는 것이 적절합니다. 잔차 클러스터는 별도의 오류군보다 Swing Aggression의 적극/소극 축을 다시 분리했습니다. DV/100을 ZA Raw와 SA로 함께 설명한 뒤 군집별 평균 잔차는 -0.015와 +0.017 runs/100에 그쳐 추가 군집 편향이 남지 않았습니다. 클러스터별 보정은 공격성을 ZA에 재주입할 위험이 있으므로 적용하지 않았습니다.</x:v>
      </x:c>
      <x:c r="F17" s="82" t="str">
        <x:v>현재는 ZA와 DV 모두 추가 보정을 하지 않는 것이 적절합니다. 잔차 클러스터는 별도의 오류군보다 Swing Aggression의 적극/소극 축을 다시 분리했습니다. DV/100을 ZA Raw와 SA로 함께 설명한 뒤 군집별 평균 잔차는 -0.015와 +0.017 runs/100에 그쳐 추가 군집 편향이 남지 않았습니다. 클러스터별 보정은 공격성을 ZA에 재주입할 위험이 있으므로 적용하지 않았습니다.</x:v>
      </x:c>
      <x:c r="G17" s="82" t="str">
        <x:v>현재는 ZA와 DV 모두 추가 보정을 하지 않는 것이 적절합니다. 잔차 클러스터는 별도의 오류군보다 Swing Aggression의 적극/소극 축을 다시 분리했습니다. DV/100을 ZA Raw와 SA로 함께 설명한 뒤 군집별 평균 잔차는 -0.015와 +0.017 runs/100에 그쳐 추가 군집 편향이 남지 않았습니다. 클러스터별 보정은 공격성을 ZA에 재주입할 위험이 있으므로 적용하지 않았습니다.</x:v>
      </x:c>
      <x:c r="H17" s="83" t="str">
        <x:v>현재는 ZA와 DV 모두 추가 보정을 하지 않는 것이 적절합니다. 잔차 클러스터는 별도의 오류군보다 Swing Aggression의 적극/소극 축을 다시 분리했습니다. DV/100을 ZA Raw와 SA로 함께 설명한 뒤 군집별 평균 잔차는 -0.015와 +0.017 runs/100에 그쳐 추가 군집 편향이 남지 않았습니다. 클러스터별 보정은 공격성을 ZA에 재주입할 위험이 있으므로 적용하지 않았습니다.</x:v>
      </x:c>
    </x:row>
    <x:row r="18">
      <x:c r="A18" s="81" t="str">
        <x:v>현재는 ZA와 DV 모두 추가 보정을 하지 않는 것이 적절합니다. 잔차 클러스터는 별도의 오류군보다 Swing Aggression의 적극/소극 축을 다시 분리했습니다. DV/100을 ZA Raw와 SA로 함께 설명한 뒤 군집별 평균 잔차는 -0.015와 +0.017 runs/100에 그쳐 추가 군집 편향이 남지 않았습니다. 클러스터별 보정은 공격성을 ZA에 재주입할 위험이 있으므로 적용하지 않았습니다.</x:v>
      </x:c>
      <x:c r="B18" s="82" t="str">
        <x:v>현재는 ZA와 DV 모두 추가 보정을 하지 않는 것이 적절합니다. 잔차 클러스터는 별도의 오류군보다 Swing Aggression의 적극/소극 축을 다시 분리했습니다. DV/100을 ZA Raw와 SA로 함께 설명한 뒤 군집별 평균 잔차는 -0.015와 +0.017 runs/100에 그쳐 추가 군집 편향이 남지 않았습니다. 클러스터별 보정은 공격성을 ZA에 재주입할 위험이 있으므로 적용하지 않았습니다.</x:v>
      </x:c>
      <x:c r="C18" s="82" t="str">
        <x:v>현재는 ZA와 DV 모두 추가 보정을 하지 않는 것이 적절합니다. 잔차 클러스터는 별도의 오류군보다 Swing Aggression의 적극/소극 축을 다시 분리했습니다. DV/100을 ZA Raw와 SA로 함께 설명한 뒤 군집별 평균 잔차는 -0.015와 +0.017 runs/100에 그쳐 추가 군집 편향이 남지 않았습니다. 클러스터별 보정은 공격성을 ZA에 재주입할 위험이 있으므로 적용하지 않았습니다.</x:v>
      </x:c>
      <x:c r="D18" s="82" t="str">
        <x:v>현재는 ZA와 DV 모두 추가 보정을 하지 않는 것이 적절합니다. 잔차 클러스터는 별도의 오류군보다 Swing Aggression의 적극/소극 축을 다시 분리했습니다. DV/100을 ZA Raw와 SA로 함께 설명한 뒤 군집별 평균 잔차는 -0.015와 +0.017 runs/100에 그쳐 추가 군집 편향이 남지 않았습니다. 클러스터별 보정은 공격성을 ZA에 재주입할 위험이 있으므로 적용하지 않았습니다.</x:v>
      </x:c>
      <x:c r="E18" s="82" t="str">
        <x:v>현재는 ZA와 DV 모두 추가 보정을 하지 않는 것이 적절합니다. 잔차 클러스터는 별도의 오류군보다 Swing Aggression의 적극/소극 축을 다시 분리했습니다. DV/100을 ZA Raw와 SA로 함께 설명한 뒤 군집별 평균 잔차는 -0.015와 +0.017 runs/100에 그쳐 추가 군집 편향이 남지 않았습니다. 클러스터별 보정은 공격성을 ZA에 재주입할 위험이 있으므로 적용하지 않았습니다.</x:v>
      </x:c>
      <x:c r="F18" s="82" t="str">
        <x:v>현재는 ZA와 DV 모두 추가 보정을 하지 않는 것이 적절합니다. 잔차 클러스터는 별도의 오류군보다 Swing Aggression의 적극/소극 축을 다시 분리했습니다. DV/100을 ZA Raw와 SA로 함께 설명한 뒤 군집별 평균 잔차는 -0.015와 +0.017 runs/100에 그쳐 추가 군집 편향이 남지 않았습니다. 클러스터별 보정은 공격성을 ZA에 재주입할 위험이 있으므로 적용하지 않았습니다.</x:v>
      </x:c>
      <x:c r="G18" s="82" t="str">
        <x:v>현재는 ZA와 DV 모두 추가 보정을 하지 않는 것이 적절합니다. 잔차 클러스터는 별도의 오류군보다 Swing Aggression의 적극/소극 축을 다시 분리했습니다. DV/100을 ZA Raw와 SA로 함께 설명한 뒤 군집별 평균 잔차는 -0.015와 +0.017 runs/100에 그쳐 추가 군집 편향이 남지 않았습니다. 클러스터별 보정은 공격성을 ZA에 재주입할 위험이 있으므로 적용하지 않았습니다.</x:v>
      </x:c>
      <x:c r="H18" s="83" t="str">
        <x:v>현재는 ZA와 DV 모두 추가 보정을 하지 않는 것이 적절합니다. 잔차 클러스터는 별도의 오류군보다 Swing Aggression의 적극/소극 축을 다시 분리했습니다. DV/100을 ZA Raw와 SA로 함께 설명한 뒤 군집별 평균 잔차는 -0.015와 +0.017 runs/100에 그쳐 추가 군집 편향이 남지 않았습니다. 클러스터별 보정은 공격성을 ZA에 재주입할 위험이 있으므로 적용하지 않았습니다.</x:v>
      </x:c>
    </x:row>
    <x:row r="19">
      <x:c r="A19" s="84" t="str">
        <x:v>현재는 ZA와 DV 모두 추가 보정을 하지 않는 것이 적절합니다. 잔차 클러스터는 별도의 오류군보다 Swing Aggression의 적극/소극 축을 다시 분리했습니다. DV/100을 ZA Raw와 SA로 함께 설명한 뒤 군집별 평균 잔차는 -0.015와 +0.017 runs/100에 그쳐 추가 군집 편향이 남지 않았습니다. 클러스터별 보정은 공격성을 ZA에 재주입할 위험이 있으므로 적용하지 않았습니다.</x:v>
      </x:c>
      <x:c r="B19" s="85" t="str">
        <x:v>현재는 ZA와 DV 모두 추가 보정을 하지 않는 것이 적절합니다. 잔차 클러스터는 별도의 오류군보다 Swing Aggression의 적극/소극 축을 다시 분리했습니다. DV/100을 ZA Raw와 SA로 함께 설명한 뒤 군집별 평균 잔차는 -0.015와 +0.017 runs/100에 그쳐 추가 군집 편향이 남지 않았습니다. 클러스터별 보정은 공격성을 ZA에 재주입할 위험이 있으므로 적용하지 않았습니다.</x:v>
      </x:c>
      <x:c r="C19" s="85" t="str">
        <x:v>현재는 ZA와 DV 모두 추가 보정을 하지 않는 것이 적절합니다. 잔차 클러스터는 별도의 오류군보다 Swing Aggression의 적극/소극 축을 다시 분리했습니다. DV/100을 ZA Raw와 SA로 함께 설명한 뒤 군집별 평균 잔차는 -0.015와 +0.017 runs/100에 그쳐 추가 군집 편향이 남지 않았습니다. 클러스터별 보정은 공격성을 ZA에 재주입할 위험이 있으므로 적용하지 않았습니다.</x:v>
      </x:c>
      <x:c r="D19" s="85" t="str">
        <x:v>현재는 ZA와 DV 모두 추가 보정을 하지 않는 것이 적절합니다. 잔차 클러스터는 별도의 오류군보다 Swing Aggression의 적극/소극 축을 다시 분리했습니다. DV/100을 ZA Raw와 SA로 함께 설명한 뒤 군집별 평균 잔차는 -0.015와 +0.017 runs/100에 그쳐 추가 군집 편향이 남지 않았습니다. 클러스터별 보정은 공격성을 ZA에 재주입할 위험이 있으므로 적용하지 않았습니다.</x:v>
      </x:c>
      <x:c r="E19" s="85" t="str">
        <x:v>현재는 ZA와 DV 모두 추가 보정을 하지 않는 것이 적절합니다. 잔차 클러스터는 별도의 오류군보다 Swing Aggression의 적극/소극 축을 다시 분리했습니다. DV/100을 ZA Raw와 SA로 함께 설명한 뒤 군집별 평균 잔차는 -0.015와 +0.017 runs/100에 그쳐 추가 군집 편향이 남지 않았습니다. 클러스터별 보정은 공격성을 ZA에 재주입할 위험이 있으므로 적용하지 않았습니다.</x:v>
      </x:c>
      <x:c r="F19" s="85" t="str">
        <x:v>현재는 ZA와 DV 모두 추가 보정을 하지 않는 것이 적절합니다. 잔차 클러스터는 별도의 오류군보다 Swing Aggression의 적극/소극 축을 다시 분리했습니다. DV/100을 ZA Raw와 SA로 함께 설명한 뒤 군집별 평균 잔차는 -0.015와 +0.017 runs/100에 그쳐 추가 군집 편향이 남지 않았습니다. 클러스터별 보정은 공격성을 ZA에 재주입할 위험이 있으므로 적용하지 않았습니다.</x:v>
      </x:c>
      <x:c r="G19" s="85" t="str">
        <x:v>현재는 ZA와 DV 모두 추가 보정을 하지 않는 것이 적절합니다. 잔차 클러스터는 별도의 오류군보다 Swing Aggression의 적극/소극 축을 다시 분리했습니다. DV/100을 ZA Raw와 SA로 함께 설명한 뒤 군집별 평균 잔차는 -0.015와 +0.017 runs/100에 그쳐 추가 군집 편향이 남지 않았습니다. 클러스터별 보정은 공격성을 ZA에 재주입할 위험이 있으므로 적용하지 않았습니다.</x:v>
      </x:c>
      <x:c r="H19" s="86" t="str">
        <x:v>현재는 ZA와 DV 모두 추가 보정을 하지 않는 것이 적절합니다. 잔차 클러스터는 별도의 오류군보다 Swing Aggression의 적극/소극 축을 다시 분리했습니다. DV/100을 ZA Raw와 SA로 함께 설명한 뒤 군집별 평균 잔차는 -0.015와 +0.017 runs/100에 그쳐 추가 군집 편향이 남지 않았습니다. 클러스터별 보정은 공격성을 ZA에 재주입할 위험이 있으므로 적용하지 않았습니다.</x:v>
      </x:c>
    </x:row>
    <x:row r="21">
      <x:c r="A21" s="36" t="str">
        <x:v>핵심 해석</x:v>
      </x:c>
      <x:c r="B21" s="36" t="str">
        <x:v>핵심 해석</x:v>
      </x:c>
      <x:c r="C21" s="36" t="str">
        <x:v>핵심 해석</x:v>
      </x:c>
      <x:c r="D21" s="36" t="str">
        <x:v>핵심 해석</x:v>
      </x:c>
      <x:c r="E21" s="36" t="str">
        <x:v>핵심 해석</x:v>
      </x:c>
      <x:c r="F21" s="36" t="str">
        <x:v>핵심 해석</x:v>
      </x:c>
      <x:c r="G21" s="36" t="str">
        <x:v>핵심 해석</x:v>
      </x:c>
      <x:c r="H21" s="36" t="str">
        <x:v>핵심 해석</x:v>
      </x:c>
    </x:row>
    <x:row r="22">
      <x:c r="A22" s="89" t="str">
        <x:v>• Movement O: log loss 0.445921, X 대비 0.012594 개선; 경기 단위 bootstrap 95% CI 0.011714~0.013443.
• ZA는 Heart Swing%(r=0.635), Z-Swing%(r=0.536)와 양의 관계이고 Waste Swing%(r=-0.476), O-Swing%(r=-0.342)와 음의 관계입니다.
• SA와 Swing%는 r=0.948이지만 동일 지표는 아닙니다. 받은 공의 조건을 보정한 적극성 잔차입니다.
• k=2 클러스터는 전 구역 적극형(85명)과 소극형(74명)으로 갈렸습니다. 군집 번호는 등급이 아닙니다.
• 2026-09-02 경기까지의 단일 시즌 중간 결과이므로, 다음 단계는 시즌 외부검증이 우선입니다.</x:v>
      </x:c>
      <x:c r="B22" s="89" t="str">
        <x:v>• Movement O: log loss 0.445921, X 대비 0.012594 개선; 경기 단위 bootstrap 95% CI 0.011714~0.013443.
• ZA는 Heart Swing%(r=0.635), Z-Swing%(r=0.536)와 양의 관계이고 Waste Swing%(r=-0.476), O-Swing%(r=-0.342)와 음의 관계입니다.
• SA와 Swing%는 r=0.948이지만 동일 지표는 아닙니다. 받은 공의 조건을 보정한 적극성 잔차입니다.
• k=2 클러스터는 전 구역 적극형(85명)과 소극형(74명)으로 갈렸습니다. 군집 번호는 등급이 아닙니다.
• 2026-09-02 경기까지의 단일 시즌 중간 결과이므로, 다음 단계는 시즌 외부검증이 우선입니다.</x:v>
      </x:c>
      <x:c r="C22" s="89" t="str">
        <x:v>• Movement O: log loss 0.445921, X 대비 0.012594 개선; 경기 단위 bootstrap 95% CI 0.011714~0.013443.
• ZA는 Heart Swing%(r=0.635), Z-Swing%(r=0.536)와 양의 관계이고 Waste Swing%(r=-0.476), O-Swing%(r=-0.342)와 음의 관계입니다.
• SA와 Swing%는 r=0.948이지만 동일 지표는 아닙니다. 받은 공의 조건을 보정한 적극성 잔차입니다.
• k=2 클러스터는 전 구역 적극형(85명)과 소극형(74명)으로 갈렸습니다. 군집 번호는 등급이 아닙니다.
• 2026-09-02 경기까지의 단일 시즌 중간 결과이므로, 다음 단계는 시즌 외부검증이 우선입니다.</x:v>
      </x:c>
      <x:c r="D22" s="89" t="str">
        <x:v>• Movement O: log loss 0.445921, X 대비 0.012594 개선; 경기 단위 bootstrap 95% CI 0.011714~0.013443.
• ZA는 Heart Swing%(r=0.635), Z-Swing%(r=0.536)와 양의 관계이고 Waste Swing%(r=-0.476), O-Swing%(r=-0.342)와 음의 관계입니다.
• SA와 Swing%는 r=0.948이지만 동일 지표는 아닙니다. 받은 공의 조건을 보정한 적극성 잔차입니다.
• k=2 클러스터는 전 구역 적극형(85명)과 소극형(74명)으로 갈렸습니다. 군집 번호는 등급이 아닙니다.
• 2026-09-02 경기까지의 단일 시즌 중간 결과이므로, 다음 단계는 시즌 외부검증이 우선입니다.</x:v>
      </x:c>
      <x:c r="E22" s="89" t="str">
        <x:v>• Movement O: log loss 0.445921, X 대비 0.012594 개선; 경기 단위 bootstrap 95% CI 0.011714~0.013443.
• ZA는 Heart Swing%(r=0.635), Z-Swing%(r=0.536)와 양의 관계이고 Waste Swing%(r=-0.476), O-Swing%(r=-0.342)와 음의 관계입니다.
• SA와 Swing%는 r=0.948이지만 동일 지표는 아닙니다. 받은 공의 조건을 보정한 적극성 잔차입니다.
• k=2 클러스터는 전 구역 적극형(85명)과 소극형(74명)으로 갈렸습니다. 군집 번호는 등급이 아닙니다.
• 2026-09-02 경기까지의 단일 시즌 중간 결과이므로, 다음 단계는 시즌 외부검증이 우선입니다.</x:v>
      </x:c>
      <x:c r="F22" s="89" t="str">
        <x:v>• Movement O: log loss 0.445921, X 대비 0.012594 개선; 경기 단위 bootstrap 95% CI 0.011714~0.013443.
• ZA는 Heart Swing%(r=0.635), Z-Swing%(r=0.536)와 양의 관계이고 Waste Swing%(r=-0.476), O-Swing%(r=-0.342)와 음의 관계입니다.
• SA와 Swing%는 r=0.948이지만 동일 지표는 아닙니다. 받은 공의 조건을 보정한 적극성 잔차입니다.
• k=2 클러스터는 전 구역 적극형(85명)과 소극형(74명)으로 갈렸습니다. 군집 번호는 등급이 아닙니다.
• 2026-09-02 경기까지의 단일 시즌 중간 결과이므로, 다음 단계는 시즌 외부검증이 우선입니다.</x:v>
      </x:c>
      <x:c r="G22" s="89" t="str">
        <x:v>• Movement O: log loss 0.445921, X 대비 0.012594 개선; 경기 단위 bootstrap 95% CI 0.011714~0.013443.
• ZA는 Heart Swing%(r=0.635), Z-Swing%(r=0.536)와 양의 관계이고 Waste Swing%(r=-0.476), O-Swing%(r=-0.342)와 음의 관계입니다.
• SA와 Swing%는 r=0.948이지만 동일 지표는 아닙니다. 받은 공의 조건을 보정한 적극성 잔차입니다.
• k=2 클러스터는 전 구역 적극형(85명)과 소극형(74명)으로 갈렸습니다. 군집 번호는 등급이 아닙니다.
• 2026-09-02 경기까지의 단일 시즌 중간 결과이므로, 다음 단계는 시즌 외부검증이 우선입니다.</x:v>
      </x:c>
      <x:c r="H22" s="89" t="str">
        <x:v>• Movement O: log loss 0.445921, X 대비 0.012594 개선; 경기 단위 bootstrap 95% CI 0.011714~0.013443.
• ZA는 Heart Swing%(r=0.635), Z-Swing%(r=0.536)와 양의 관계이고 Waste Swing%(r=-0.476), O-Swing%(r=-0.342)와 음의 관계입니다.
• SA와 Swing%는 r=0.948이지만 동일 지표는 아닙니다. 받은 공의 조건을 보정한 적극성 잔차입니다.
• k=2 클러스터는 전 구역 적극형(85명)과 소극형(74명)으로 갈렸습니다. 군집 번호는 등급이 아닙니다.
• 2026-09-02 경기까지의 단일 시즌 중간 결과이므로, 다음 단계는 시즌 외부검증이 우선입니다.</x:v>
      </x:c>
    </x:row>
    <x:row r="23">
      <x:c r="A23" s="89" t="str">
        <x:v>• Movement O: log loss 0.445921, X 대비 0.012594 개선; 경기 단위 bootstrap 95% CI 0.011714~0.013443.
• ZA는 Heart Swing%(r=0.635), Z-Swing%(r=0.536)와 양의 관계이고 Waste Swing%(r=-0.476), O-Swing%(r=-0.342)와 음의 관계입니다.
• SA와 Swing%는 r=0.948이지만 동일 지표는 아닙니다. 받은 공의 조건을 보정한 적극성 잔차입니다.
• k=2 클러스터는 전 구역 적극형(85명)과 소극형(74명)으로 갈렸습니다. 군집 번호는 등급이 아닙니다.
• 2026-09-02 경기까지의 단일 시즌 중간 결과이므로, 다음 단계는 시즌 외부검증이 우선입니다.</x:v>
      </x:c>
      <x:c r="B23" s="89" t="str">
        <x:v>• Movement O: log loss 0.445921, X 대비 0.012594 개선; 경기 단위 bootstrap 95% CI 0.011714~0.013443.
• ZA는 Heart Swing%(r=0.635), Z-Swing%(r=0.536)와 양의 관계이고 Waste Swing%(r=-0.476), O-Swing%(r=-0.342)와 음의 관계입니다.
• SA와 Swing%는 r=0.948이지만 동일 지표는 아닙니다. 받은 공의 조건을 보정한 적극성 잔차입니다.
• k=2 클러스터는 전 구역 적극형(85명)과 소극형(74명)으로 갈렸습니다. 군집 번호는 등급이 아닙니다.
• 2026-09-02 경기까지의 단일 시즌 중간 결과이므로, 다음 단계는 시즌 외부검증이 우선입니다.</x:v>
      </x:c>
      <x:c r="C23" s="89" t="str">
        <x:v>• Movement O: log loss 0.445921, X 대비 0.012594 개선; 경기 단위 bootstrap 95% CI 0.011714~0.013443.
• ZA는 Heart Swing%(r=0.635), Z-Swing%(r=0.536)와 양의 관계이고 Waste Swing%(r=-0.476), O-Swing%(r=-0.342)와 음의 관계입니다.
• SA와 Swing%는 r=0.948이지만 동일 지표는 아닙니다. 받은 공의 조건을 보정한 적극성 잔차입니다.
• k=2 클러스터는 전 구역 적극형(85명)과 소극형(74명)으로 갈렸습니다. 군집 번호는 등급이 아닙니다.
• 2026-09-02 경기까지의 단일 시즌 중간 결과이므로, 다음 단계는 시즌 외부검증이 우선입니다.</x:v>
      </x:c>
      <x:c r="D23" s="89" t="str">
        <x:v>• Movement O: log loss 0.445921, X 대비 0.012594 개선; 경기 단위 bootstrap 95% CI 0.011714~0.013443.
• ZA는 Heart Swing%(r=0.635), Z-Swing%(r=0.536)와 양의 관계이고 Waste Swing%(r=-0.476), O-Swing%(r=-0.342)와 음의 관계입니다.
• SA와 Swing%는 r=0.948이지만 동일 지표는 아닙니다. 받은 공의 조건을 보정한 적극성 잔차입니다.
• k=2 클러스터는 전 구역 적극형(85명)과 소극형(74명)으로 갈렸습니다. 군집 번호는 등급이 아닙니다.
• 2026-09-02 경기까지의 단일 시즌 중간 결과이므로, 다음 단계는 시즌 외부검증이 우선입니다.</x:v>
      </x:c>
      <x:c r="E23" s="89" t="str">
        <x:v>• Movement O: log loss 0.445921, X 대비 0.012594 개선; 경기 단위 bootstrap 95% CI 0.011714~0.013443.
• ZA는 Heart Swing%(r=0.635), Z-Swing%(r=0.536)와 양의 관계이고 Waste Swing%(r=-0.476), O-Swing%(r=-0.342)와 음의 관계입니다.
• SA와 Swing%는 r=0.948이지만 동일 지표는 아닙니다. 받은 공의 조건을 보정한 적극성 잔차입니다.
• k=2 클러스터는 전 구역 적극형(85명)과 소극형(74명)으로 갈렸습니다. 군집 번호는 등급이 아닙니다.
• 2026-09-02 경기까지의 단일 시즌 중간 결과이므로, 다음 단계는 시즌 외부검증이 우선입니다.</x:v>
      </x:c>
      <x:c r="F23" s="89" t="str">
        <x:v>• Movement O: log loss 0.445921, X 대비 0.012594 개선; 경기 단위 bootstrap 95% CI 0.011714~0.013443.
• ZA는 Heart Swing%(r=0.635), Z-Swing%(r=0.536)와 양의 관계이고 Waste Swing%(r=-0.476), O-Swing%(r=-0.342)와 음의 관계입니다.
• SA와 Swing%는 r=0.948이지만 동일 지표는 아닙니다. 받은 공의 조건을 보정한 적극성 잔차입니다.
• k=2 클러스터는 전 구역 적극형(85명)과 소극형(74명)으로 갈렸습니다. 군집 번호는 등급이 아닙니다.
• 2026-09-02 경기까지의 단일 시즌 중간 결과이므로, 다음 단계는 시즌 외부검증이 우선입니다.</x:v>
      </x:c>
      <x:c r="G23" s="89" t="str">
        <x:v>• Movement O: log loss 0.445921, X 대비 0.012594 개선; 경기 단위 bootstrap 95% CI 0.011714~0.013443.
• ZA는 Heart Swing%(r=0.635), Z-Swing%(r=0.536)와 양의 관계이고 Waste Swing%(r=-0.476), O-Swing%(r=-0.342)와 음의 관계입니다.
• SA와 Swing%는 r=0.948이지만 동일 지표는 아닙니다. 받은 공의 조건을 보정한 적극성 잔차입니다.
• k=2 클러스터는 전 구역 적극형(85명)과 소극형(74명)으로 갈렸습니다. 군집 번호는 등급이 아닙니다.
• 2026-09-02 경기까지의 단일 시즌 중간 결과이므로, 다음 단계는 시즌 외부검증이 우선입니다.</x:v>
      </x:c>
      <x:c r="H23" s="89" t="str">
        <x:v>• Movement O: log loss 0.445921, X 대비 0.012594 개선; 경기 단위 bootstrap 95% CI 0.011714~0.013443.
• ZA는 Heart Swing%(r=0.635), Z-Swing%(r=0.536)와 양의 관계이고 Waste Swing%(r=-0.476), O-Swing%(r=-0.342)와 음의 관계입니다.
• SA와 Swing%는 r=0.948이지만 동일 지표는 아닙니다. 받은 공의 조건을 보정한 적극성 잔차입니다.
• k=2 클러스터는 전 구역 적극형(85명)과 소극형(74명)으로 갈렸습니다. 군집 번호는 등급이 아닙니다.
• 2026-09-02 경기까지의 단일 시즌 중간 결과이므로, 다음 단계는 시즌 외부검증이 우선입니다.</x:v>
      </x:c>
    </x:row>
    <x:row r="24">
      <x:c r="A24" s="89" t="str">
        <x:v>• Movement O: log loss 0.445921, X 대비 0.012594 개선; 경기 단위 bootstrap 95% CI 0.011714~0.013443.
• ZA는 Heart Swing%(r=0.635), Z-Swing%(r=0.536)와 양의 관계이고 Waste Swing%(r=-0.476), O-Swing%(r=-0.342)와 음의 관계입니다.
• SA와 Swing%는 r=0.948이지만 동일 지표는 아닙니다. 받은 공의 조건을 보정한 적극성 잔차입니다.
• k=2 클러스터는 전 구역 적극형(85명)과 소극형(74명)으로 갈렸습니다. 군집 번호는 등급이 아닙니다.
• 2026-09-02 경기까지의 단일 시즌 중간 결과이므로, 다음 단계는 시즌 외부검증이 우선입니다.</x:v>
      </x:c>
      <x:c r="B24" s="89" t="str">
        <x:v>• Movement O: log loss 0.445921, X 대비 0.012594 개선; 경기 단위 bootstrap 95% CI 0.011714~0.013443.
• ZA는 Heart Swing%(r=0.635), Z-Swing%(r=0.536)와 양의 관계이고 Waste Swing%(r=-0.476), O-Swing%(r=-0.342)와 음의 관계입니다.
• SA와 Swing%는 r=0.948이지만 동일 지표는 아닙니다. 받은 공의 조건을 보정한 적극성 잔차입니다.
• k=2 클러스터는 전 구역 적극형(85명)과 소극형(74명)으로 갈렸습니다. 군집 번호는 등급이 아닙니다.
• 2026-09-02 경기까지의 단일 시즌 중간 결과이므로, 다음 단계는 시즌 외부검증이 우선입니다.</x:v>
      </x:c>
      <x:c r="C24" s="89" t="str">
        <x:v>• Movement O: log loss 0.445921, X 대비 0.012594 개선; 경기 단위 bootstrap 95% CI 0.011714~0.013443.
• ZA는 Heart Swing%(r=0.635), Z-Swing%(r=0.536)와 양의 관계이고 Waste Swing%(r=-0.476), O-Swing%(r=-0.342)와 음의 관계입니다.
• SA와 Swing%는 r=0.948이지만 동일 지표는 아닙니다. 받은 공의 조건을 보정한 적극성 잔차입니다.
• k=2 클러스터는 전 구역 적극형(85명)과 소극형(74명)으로 갈렸습니다. 군집 번호는 등급이 아닙니다.
• 2026-09-02 경기까지의 단일 시즌 중간 결과이므로, 다음 단계는 시즌 외부검증이 우선입니다.</x:v>
      </x:c>
      <x:c r="D24" s="89" t="str">
        <x:v>• Movement O: log loss 0.445921, X 대비 0.012594 개선; 경기 단위 bootstrap 95% CI 0.011714~0.013443.
• ZA는 Heart Swing%(r=0.635), Z-Swing%(r=0.536)와 양의 관계이고 Waste Swing%(r=-0.476), O-Swing%(r=-0.342)와 음의 관계입니다.
• SA와 Swing%는 r=0.948이지만 동일 지표는 아닙니다. 받은 공의 조건을 보정한 적극성 잔차입니다.
• k=2 클러스터는 전 구역 적극형(85명)과 소극형(74명)으로 갈렸습니다. 군집 번호는 등급이 아닙니다.
• 2026-09-02 경기까지의 단일 시즌 중간 결과이므로, 다음 단계는 시즌 외부검증이 우선입니다.</x:v>
      </x:c>
      <x:c r="E24" s="89" t="str">
        <x:v>• Movement O: log loss 0.445921, X 대비 0.012594 개선; 경기 단위 bootstrap 95% CI 0.011714~0.013443.
• ZA는 Heart Swing%(r=0.635), Z-Swing%(r=0.536)와 양의 관계이고 Waste Swing%(r=-0.476), O-Swing%(r=-0.342)와 음의 관계입니다.
• SA와 Swing%는 r=0.948이지만 동일 지표는 아닙니다. 받은 공의 조건을 보정한 적극성 잔차입니다.
• k=2 클러스터는 전 구역 적극형(85명)과 소극형(74명)으로 갈렸습니다. 군집 번호는 등급이 아닙니다.
• 2026-09-02 경기까지의 단일 시즌 중간 결과이므로, 다음 단계는 시즌 외부검증이 우선입니다.</x:v>
      </x:c>
      <x:c r="F24" s="89" t="str">
        <x:v>• Movement O: log loss 0.445921, X 대비 0.012594 개선; 경기 단위 bootstrap 95% CI 0.011714~0.013443.
• ZA는 Heart Swing%(r=0.635), Z-Swing%(r=0.536)와 양의 관계이고 Waste Swing%(r=-0.476), O-Swing%(r=-0.342)와 음의 관계입니다.
• SA와 Swing%는 r=0.948이지만 동일 지표는 아닙니다. 받은 공의 조건을 보정한 적극성 잔차입니다.
• k=2 클러스터는 전 구역 적극형(85명)과 소극형(74명)으로 갈렸습니다. 군집 번호는 등급이 아닙니다.
• 2026-09-02 경기까지의 단일 시즌 중간 결과이므로, 다음 단계는 시즌 외부검증이 우선입니다.</x:v>
      </x:c>
      <x:c r="G24" s="89" t="str">
        <x:v>• Movement O: log loss 0.445921, X 대비 0.012594 개선; 경기 단위 bootstrap 95% CI 0.011714~0.013443.
• ZA는 Heart Swing%(r=0.635), Z-Swing%(r=0.536)와 양의 관계이고 Waste Swing%(r=-0.476), O-Swing%(r=-0.342)와 음의 관계입니다.
• SA와 Swing%는 r=0.948이지만 동일 지표는 아닙니다. 받은 공의 조건을 보정한 적극성 잔차입니다.
• k=2 클러스터는 전 구역 적극형(85명)과 소극형(74명)으로 갈렸습니다. 군집 번호는 등급이 아닙니다.
• 2026-09-02 경기까지의 단일 시즌 중간 결과이므로, 다음 단계는 시즌 외부검증이 우선입니다.</x:v>
      </x:c>
      <x:c r="H24" s="89" t="str">
        <x:v>• Movement O: log loss 0.445921, X 대비 0.012594 개선; 경기 단위 bootstrap 95% CI 0.011714~0.013443.
• ZA는 Heart Swing%(r=0.635), Z-Swing%(r=0.536)와 양의 관계이고 Waste Swing%(r=-0.476), O-Swing%(r=-0.342)와 음의 관계입니다.
• SA와 Swing%는 r=0.948이지만 동일 지표는 아닙니다. 받은 공의 조건을 보정한 적극성 잔차입니다.
• k=2 클러스터는 전 구역 적극형(85명)과 소극형(74명)으로 갈렸습니다. 군집 번호는 등급이 아닙니다.
• 2026-09-02 경기까지의 단일 시즌 중간 결과이므로, 다음 단계는 시즌 외부검증이 우선입니다.</x:v>
      </x:c>
    </x:row>
    <x:row r="25">
      <x:c r="A25" s="89" t="str">
        <x:v>• Movement O: log loss 0.445921, X 대비 0.012594 개선; 경기 단위 bootstrap 95% CI 0.011714~0.013443.
• ZA는 Heart Swing%(r=0.635), Z-Swing%(r=0.536)와 양의 관계이고 Waste Swing%(r=-0.476), O-Swing%(r=-0.342)와 음의 관계입니다.
• SA와 Swing%는 r=0.948이지만 동일 지표는 아닙니다. 받은 공의 조건을 보정한 적극성 잔차입니다.
• k=2 클러스터는 전 구역 적극형(85명)과 소극형(74명)으로 갈렸습니다. 군집 번호는 등급이 아닙니다.
• 2026-09-02 경기까지의 단일 시즌 중간 결과이므로, 다음 단계는 시즌 외부검증이 우선입니다.</x:v>
      </x:c>
      <x:c r="B25" s="89" t="str">
        <x:v>• Movement O: log loss 0.445921, X 대비 0.012594 개선; 경기 단위 bootstrap 95% CI 0.011714~0.013443.
• ZA는 Heart Swing%(r=0.635), Z-Swing%(r=0.536)와 양의 관계이고 Waste Swing%(r=-0.476), O-Swing%(r=-0.342)와 음의 관계입니다.
• SA와 Swing%는 r=0.948이지만 동일 지표는 아닙니다. 받은 공의 조건을 보정한 적극성 잔차입니다.
• k=2 클러스터는 전 구역 적극형(85명)과 소극형(74명)으로 갈렸습니다. 군집 번호는 등급이 아닙니다.
• 2026-09-02 경기까지의 단일 시즌 중간 결과이므로, 다음 단계는 시즌 외부검증이 우선입니다.</x:v>
      </x:c>
      <x:c r="C25" s="89" t="str">
        <x:v>• Movement O: log loss 0.445921, X 대비 0.012594 개선; 경기 단위 bootstrap 95% CI 0.011714~0.013443.
• ZA는 Heart Swing%(r=0.635), Z-Swing%(r=0.536)와 양의 관계이고 Waste Swing%(r=-0.476), O-Swing%(r=-0.342)와 음의 관계입니다.
• SA와 Swing%는 r=0.948이지만 동일 지표는 아닙니다. 받은 공의 조건을 보정한 적극성 잔차입니다.
• k=2 클러스터는 전 구역 적극형(85명)과 소극형(74명)으로 갈렸습니다. 군집 번호는 등급이 아닙니다.
• 2026-09-02 경기까지의 단일 시즌 중간 결과이므로, 다음 단계는 시즌 외부검증이 우선입니다.</x:v>
      </x:c>
      <x:c r="D25" s="89" t="str">
        <x:v>• Movement O: log loss 0.445921, X 대비 0.012594 개선; 경기 단위 bootstrap 95% CI 0.011714~0.013443.
• ZA는 Heart Swing%(r=0.635), Z-Swing%(r=0.536)와 양의 관계이고 Waste Swing%(r=-0.476), O-Swing%(r=-0.342)와 음의 관계입니다.
• SA와 Swing%는 r=0.948이지만 동일 지표는 아닙니다. 받은 공의 조건을 보정한 적극성 잔차입니다.
• k=2 클러스터는 전 구역 적극형(85명)과 소극형(74명)으로 갈렸습니다. 군집 번호는 등급이 아닙니다.
• 2026-09-02 경기까지의 단일 시즌 중간 결과이므로, 다음 단계는 시즌 외부검증이 우선입니다.</x:v>
      </x:c>
      <x:c r="E25" s="89" t="str">
        <x:v>• Movement O: log loss 0.445921, X 대비 0.012594 개선; 경기 단위 bootstrap 95% CI 0.011714~0.013443.
• ZA는 Heart Swing%(r=0.635), Z-Swing%(r=0.536)와 양의 관계이고 Waste Swing%(r=-0.476), O-Swing%(r=-0.342)와 음의 관계입니다.
• SA와 Swing%는 r=0.948이지만 동일 지표는 아닙니다. 받은 공의 조건을 보정한 적극성 잔차입니다.
• k=2 클러스터는 전 구역 적극형(85명)과 소극형(74명)으로 갈렸습니다. 군집 번호는 등급이 아닙니다.
• 2026-09-02 경기까지의 단일 시즌 중간 결과이므로, 다음 단계는 시즌 외부검증이 우선입니다.</x:v>
      </x:c>
      <x:c r="F25" s="89" t="str">
        <x:v>• Movement O: log loss 0.445921, X 대비 0.012594 개선; 경기 단위 bootstrap 95% CI 0.011714~0.013443.
• ZA는 Heart Swing%(r=0.635), Z-Swing%(r=0.536)와 양의 관계이고 Waste Swing%(r=-0.476), O-Swing%(r=-0.342)와 음의 관계입니다.
• SA와 Swing%는 r=0.948이지만 동일 지표는 아닙니다. 받은 공의 조건을 보정한 적극성 잔차입니다.
• k=2 클러스터는 전 구역 적극형(85명)과 소극형(74명)으로 갈렸습니다. 군집 번호는 등급이 아닙니다.
• 2026-09-02 경기까지의 단일 시즌 중간 결과이므로, 다음 단계는 시즌 외부검증이 우선입니다.</x:v>
      </x:c>
      <x:c r="G25" s="89" t="str">
        <x:v>• Movement O: log loss 0.445921, X 대비 0.012594 개선; 경기 단위 bootstrap 95% CI 0.011714~0.013443.
• ZA는 Heart Swing%(r=0.635), Z-Swing%(r=0.536)와 양의 관계이고 Waste Swing%(r=-0.476), O-Swing%(r=-0.342)와 음의 관계입니다.
• SA와 Swing%는 r=0.948이지만 동일 지표는 아닙니다. 받은 공의 조건을 보정한 적극성 잔차입니다.
• k=2 클러스터는 전 구역 적극형(85명)과 소극형(74명)으로 갈렸습니다. 군집 번호는 등급이 아닙니다.
• 2026-09-02 경기까지의 단일 시즌 중간 결과이므로, 다음 단계는 시즌 외부검증이 우선입니다.</x:v>
      </x:c>
      <x:c r="H25" s="89" t="str">
        <x:v>• Movement O: log loss 0.445921, X 대비 0.012594 개선; 경기 단위 bootstrap 95% CI 0.011714~0.013443.
• ZA는 Heart Swing%(r=0.635), Z-Swing%(r=0.536)와 양의 관계이고 Waste Swing%(r=-0.476), O-Swing%(r=-0.342)와 음의 관계입니다.
• SA와 Swing%는 r=0.948이지만 동일 지표는 아닙니다. 받은 공의 조건을 보정한 적극성 잔차입니다.
• k=2 클러스터는 전 구역 적극형(85명)과 소극형(74명)으로 갈렸습니다. 군집 번호는 등급이 아닙니다.
• 2026-09-02 경기까지의 단일 시즌 중간 결과이므로, 다음 단계는 시즌 외부검증이 우선입니다.</x:v>
      </x:c>
    </x:row>
    <x:row r="26">
      <x:c r="A26" s="89" t="str">
        <x:v>• Movement O: log loss 0.445921, X 대비 0.012594 개선; 경기 단위 bootstrap 95% CI 0.011714~0.013443.
• ZA는 Heart Swing%(r=0.635), Z-Swing%(r=0.536)와 양의 관계이고 Waste Swing%(r=-0.476), O-Swing%(r=-0.342)와 음의 관계입니다.
• SA와 Swing%는 r=0.948이지만 동일 지표는 아닙니다. 받은 공의 조건을 보정한 적극성 잔차입니다.
• k=2 클러스터는 전 구역 적극형(85명)과 소극형(74명)으로 갈렸습니다. 군집 번호는 등급이 아닙니다.
• 2026-09-02 경기까지의 단일 시즌 중간 결과이므로, 다음 단계는 시즌 외부검증이 우선입니다.</x:v>
      </x:c>
      <x:c r="B26" s="89" t="str">
        <x:v>• Movement O: log loss 0.445921, X 대비 0.012594 개선; 경기 단위 bootstrap 95% CI 0.011714~0.013443.
• ZA는 Heart Swing%(r=0.635), Z-Swing%(r=0.536)와 양의 관계이고 Waste Swing%(r=-0.476), O-Swing%(r=-0.342)와 음의 관계입니다.
• SA와 Swing%는 r=0.948이지만 동일 지표는 아닙니다. 받은 공의 조건을 보정한 적극성 잔차입니다.
• k=2 클러스터는 전 구역 적극형(85명)과 소극형(74명)으로 갈렸습니다. 군집 번호는 등급이 아닙니다.
• 2026-09-02 경기까지의 단일 시즌 중간 결과이므로, 다음 단계는 시즌 외부검증이 우선입니다.</x:v>
      </x:c>
      <x:c r="C26" s="89" t="str">
        <x:v>• Movement O: log loss 0.445921, X 대비 0.012594 개선; 경기 단위 bootstrap 95% CI 0.011714~0.013443.
• ZA는 Heart Swing%(r=0.635), Z-Swing%(r=0.536)와 양의 관계이고 Waste Swing%(r=-0.476), O-Swing%(r=-0.342)와 음의 관계입니다.
• SA와 Swing%는 r=0.948이지만 동일 지표는 아닙니다. 받은 공의 조건을 보정한 적극성 잔차입니다.
• k=2 클러스터는 전 구역 적극형(85명)과 소극형(74명)으로 갈렸습니다. 군집 번호는 등급이 아닙니다.
• 2026-09-02 경기까지의 단일 시즌 중간 결과이므로, 다음 단계는 시즌 외부검증이 우선입니다.</x:v>
      </x:c>
      <x:c r="D26" s="89" t="str">
        <x:v>• Movement O: log loss 0.445921, X 대비 0.012594 개선; 경기 단위 bootstrap 95% CI 0.011714~0.013443.
• ZA는 Heart Swing%(r=0.635), Z-Swing%(r=0.536)와 양의 관계이고 Waste Swing%(r=-0.476), O-Swing%(r=-0.342)와 음의 관계입니다.
• SA와 Swing%는 r=0.948이지만 동일 지표는 아닙니다. 받은 공의 조건을 보정한 적극성 잔차입니다.
• k=2 클러스터는 전 구역 적극형(85명)과 소극형(74명)으로 갈렸습니다. 군집 번호는 등급이 아닙니다.
• 2026-09-02 경기까지의 단일 시즌 중간 결과이므로, 다음 단계는 시즌 외부검증이 우선입니다.</x:v>
      </x:c>
      <x:c r="E26" s="89" t="str">
        <x:v>• Movement O: log loss 0.445921, X 대비 0.012594 개선; 경기 단위 bootstrap 95% CI 0.011714~0.013443.
• ZA는 Heart Swing%(r=0.635), Z-Swing%(r=0.536)와 양의 관계이고 Waste Swing%(r=-0.476), O-Swing%(r=-0.342)와 음의 관계입니다.
• SA와 Swing%는 r=0.948이지만 동일 지표는 아닙니다. 받은 공의 조건을 보정한 적극성 잔차입니다.
• k=2 클러스터는 전 구역 적극형(85명)과 소극형(74명)으로 갈렸습니다. 군집 번호는 등급이 아닙니다.
• 2026-09-02 경기까지의 단일 시즌 중간 결과이므로, 다음 단계는 시즌 외부검증이 우선입니다.</x:v>
      </x:c>
      <x:c r="F26" s="89" t="str">
        <x:v>• Movement O: log loss 0.445921, X 대비 0.012594 개선; 경기 단위 bootstrap 95% CI 0.011714~0.013443.
• ZA는 Heart Swing%(r=0.635), Z-Swing%(r=0.536)와 양의 관계이고 Waste Swing%(r=-0.476), O-Swing%(r=-0.342)와 음의 관계입니다.
• SA와 Swing%는 r=0.948이지만 동일 지표는 아닙니다. 받은 공의 조건을 보정한 적극성 잔차입니다.
• k=2 클러스터는 전 구역 적극형(85명)과 소극형(74명)으로 갈렸습니다. 군집 번호는 등급이 아닙니다.
• 2026-09-02 경기까지의 단일 시즌 중간 결과이므로, 다음 단계는 시즌 외부검증이 우선입니다.</x:v>
      </x:c>
      <x:c r="G26" s="89" t="str">
        <x:v>• Movement O: log loss 0.445921, X 대비 0.012594 개선; 경기 단위 bootstrap 95% CI 0.011714~0.013443.
• ZA는 Heart Swing%(r=0.635), Z-Swing%(r=0.536)와 양의 관계이고 Waste Swing%(r=-0.476), O-Swing%(r=-0.342)와 음의 관계입니다.
• SA와 Swing%는 r=0.948이지만 동일 지표는 아닙니다. 받은 공의 조건을 보정한 적극성 잔차입니다.
• k=2 클러스터는 전 구역 적극형(85명)과 소극형(74명)으로 갈렸습니다. 군집 번호는 등급이 아닙니다.
• 2026-09-02 경기까지의 단일 시즌 중간 결과이므로, 다음 단계는 시즌 외부검증이 우선입니다.</x:v>
      </x:c>
      <x:c r="H26" s="89" t="str">
        <x:v>• Movement O: log loss 0.445921, X 대비 0.012594 개선; 경기 단위 bootstrap 95% CI 0.011714~0.013443.
• ZA는 Heart Swing%(r=0.635), Z-Swing%(r=0.536)와 양의 관계이고 Waste Swing%(r=-0.476), O-Swing%(r=-0.342)와 음의 관계입니다.
• SA와 Swing%는 r=0.948이지만 동일 지표는 아닙니다. 받은 공의 조건을 보정한 적극성 잔차입니다.
• k=2 클러스터는 전 구역 적극형(85명)과 소극형(74명)으로 갈렸습니다. 군집 번호는 등급이 아닙니다.
• 2026-09-02 경기까지의 단일 시즌 중간 결과이므로, 다음 단계는 시즌 외부검증이 우선입니다.</x:v>
      </x:c>
    </x:row>
    <x:row r="27">
      <x:c r="A27" s="89" t="str">
        <x:v>• Movement O: log loss 0.445921, X 대비 0.012594 개선; 경기 단위 bootstrap 95% CI 0.011714~0.013443.
• ZA는 Heart Swing%(r=0.635), Z-Swing%(r=0.536)와 양의 관계이고 Waste Swing%(r=-0.476), O-Swing%(r=-0.342)와 음의 관계입니다.
• SA와 Swing%는 r=0.948이지만 동일 지표는 아닙니다. 받은 공의 조건을 보정한 적극성 잔차입니다.
• k=2 클러스터는 전 구역 적극형(85명)과 소극형(74명)으로 갈렸습니다. 군집 번호는 등급이 아닙니다.
• 2026-09-02 경기까지의 단일 시즌 중간 결과이므로, 다음 단계는 시즌 외부검증이 우선입니다.</x:v>
      </x:c>
      <x:c r="B27" s="89" t="str">
        <x:v>• Movement O: log loss 0.445921, X 대비 0.012594 개선; 경기 단위 bootstrap 95% CI 0.011714~0.013443.
• ZA는 Heart Swing%(r=0.635), Z-Swing%(r=0.536)와 양의 관계이고 Waste Swing%(r=-0.476), O-Swing%(r=-0.342)와 음의 관계입니다.
• SA와 Swing%는 r=0.948이지만 동일 지표는 아닙니다. 받은 공의 조건을 보정한 적극성 잔차입니다.
• k=2 클러스터는 전 구역 적극형(85명)과 소극형(74명)으로 갈렸습니다. 군집 번호는 등급이 아닙니다.
• 2026-09-02 경기까지의 단일 시즌 중간 결과이므로, 다음 단계는 시즌 외부검증이 우선입니다.</x:v>
      </x:c>
      <x:c r="C27" s="89" t="str">
        <x:v>• Movement O: log loss 0.445921, X 대비 0.012594 개선; 경기 단위 bootstrap 95% CI 0.011714~0.013443.
• ZA는 Heart Swing%(r=0.635), Z-Swing%(r=0.536)와 양의 관계이고 Waste Swing%(r=-0.476), O-Swing%(r=-0.342)와 음의 관계입니다.
• SA와 Swing%는 r=0.948이지만 동일 지표는 아닙니다. 받은 공의 조건을 보정한 적극성 잔차입니다.
• k=2 클러스터는 전 구역 적극형(85명)과 소극형(74명)으로 갈렸습니다. 군집 번호는 등급이 아닙니다.
• 2026-09-02 경기까지의 단일 시즌 중간 결과이므로, 다음 단계는 시즌 외부검증이 우선입니다.</x:v>
      </x:c>
      <x:c r="D27" s="89" t="str">
        <x:v>• Movement O: log loss 0.445921, X 대비 0.012594 개선; 경기 단위 bootstrap 95% CI 0.011714~0.013443.
• ZA는 Heart Swing%(r=0.635), Z-Swing%(r=0.536)와 양의 관계이고 Waste Swing%(r=-0.476), O-Swing%(r=-0.342)와 음의 관계입니다.
• SA와 Swing%는 r=0.948이지만 동일 지표는 아닙니다. 받은 공의 조건을 보정한 적극성 잔차입니다.
• k=2 클러스터는 전 구역 적극형(85명)과 소극형(74명)으로 갈렸습니다. 군집 번호는 등급이 아닙니다.
• 2026-09-02 경기까지의 단일 시즌 중간 결과이므로, 다음 단계는 시즌 외부검증이 우선입니다.</x:v>
      </x:c>
      <x:c r="E27" s="89" t="str">
        <x:v>• Movement O: log loss 0.445921, X 대비 0.012594 개선; 경기 단위 bootstrap 95% CI 0.011714~0.013443.
• ZA는 Heart Swing%(r=0.635), Z-Swing%(r=0.536)와 양의 관계이고 Waste Swing%(r=-0.476), O-Swing%(r=-0.342)와 음의 관계입니다.
• SA와 Swing%는 r=0.948이지만 동일 지표는 아닙니다. 받은 공의 조건을 보정한 적극성 잔차입니다.
• k=2 클러스터는 전 구역 적극형(85명)과 소극형(74명)으로 갈렸습니다. 군집 번호는 등급이 아닙니다.
• 2026-09-02 경기까지의 단일 시즌 중간 결과이므로, 다음 단계는 시즌 외부검증이 우선입니다.</x:v>
      </x:c>
      <x:c r="F27" s="89" t="str">
        <x:v>• Movement O: log loss 0.445921, X 대비 0.012594 개선; 경기 단위 bootstrap 95% CI 0.011714~0.013443.
• ZA는 Heart Swing%(r=0.635), Z-Swing%(r=0.536)와 양의 관계이고 Waste Swing%(r=-0.476), O-Swing%(r=-0.342)와 음의 관계입니다.
• SA와 Swing%는 r=0.948이지만 동일 지표는 아닙니다. 받은 공의 조건을 보정한 적극성 잔차입니다.
• k=2 클러스터는 전 구역 적극형(85명)과 소극형(74명)으로 갈렸습니다. 군집 번호는 등급이 아닙니다.
• 2026-09-02 경기까지의 단일 시즌 중간 결과이므로, 다음 단계는 시즌 외부검증이 우선입니다.</x:v>
      </x:c>
      <x:c r="G27" s="89" t="str">
        <x:v>• Movement O: log loss 0.445921, X 대비 0.012594 개선; 경기 단위 bootstrap 95% CI 0.011714~0.013443.
• ZA는 Heart Swing%(r=0.635), Z-Swing%(r=0.536)와 양의 관계이고 Waste Swing%(r=-0.476), O-Swing%(r=-0.342)와 음의 관계입니다.
• SA와 Swing%는 r=0.948이지만 동일 지표는 아닙니다. 받은 공의 조건을 보정한 적극성 잔차입니다.
• k=2 클러스터는 전 구역 적극형(85명)과 소극형(74명)으로 갈렸습니다. 군집 번호는 등급이 아닙니다.
• 2026-09-02 경기까지의 단일 시즌 중간 결과이므로, 다음 단계는 시즌 외부검증이 우선입니다.</x:v>
      </x:c>
      <x:c r="H27" s="89" t="str">
        <x:v>• Movement O: log loss 0.445921, X 대비 0.012594 개선; 경기 단위 bootstrap 95% CI 0.011714~0.013443.
• ZA는 Heart Swing%(r=0.635), Z-Swing%(r=0.536)와 양의 관계이고 Waste Swing%(r=-0.476), O-Swing%(r=-0.342)와 음의 관계입니다.
• SA와 Swing%는 r=0.948이지만 동일 지표는 아닙니다. 받은 공의 조건을 보정한 적극성 잔차입니다.
• k=2 클러스터는 전 구역 적극형(85명)과 소극형(74명)으로 갈렸습니다. 군집 번호는 등급이 아닙니다.
• 2026-09-02 경기까지의 단일 시즌 중간 결과이므로, 다음 단계는 시즌 외부검증이 우선입니다.</x:v>
      </x:c>
    </x:row>
    <x:row r="29">
      <x:c r="A29" s="91" t="str">
        <x:v>원자료: https://visualbaseball.com/schedule#2026
프로젝트: https://github.com/seoyeonwoo1223/KBO-Savant-Visual-Project</x:v>
      </x:c>
      <x:c r="B29" s="91" t="str">
        <x:v>원자료: https://visualbaseball.com/schedule#2026
프로젝트: https://github.com/seoyeonwoo1223/KBO-Savant-Visual-Project</x:v>
      </x:c>
      <x:c r="C29" s="91" t="str">
        <x:v>원자료: https://visualbaseball.com/schedule#2026
프로젝트: https://github.com/seoyeonwoo1223/KBO-Savant-Visual-Project</x:v>
      </x:c>
      <x:c r="D29" s="91" t="str">
        <x:v>원자료: https://visualbaseball.com/schedule#2026
프로젝트: https://github.com/seoyeonwoo1223/KBO-Savant-Visual-Project</x:v>
      </x:c>
      <x:c r="E29" s="91" t="str">
        <x:v>원자료: https://visualbaseball.com/schedule#2026
프로젝트: https://github.com/seoyeonwoo1223/KBO-Savant-Visual-Project</x:v>
      </x:c>
      <x:c r="F29" s="91" t="str">
        <x:v>원자료: https://visualbaseball.com/schedule#2026
프로젝트: https://github.com/seoyeonwoo1223/KBO-Savant-Visual-Project</x:v>
      </x:c>
      <x:c r="G29" s="91" t="str">
        <x:v>원자료: https://visualbaseball.com/schedule#2026
프로젝트: https://github.com/seoyeonwoo1223/KBO-Savant-Visual-Project</x:v>
      </x:c>
      <x:c r="H29" s="91" t="str">
        <x:v>원자료: https://visualbaseball.com/schedule#2026
프로젝트: https://github.com/seoyeonwoo1223/KBO-Savant-Visual-Project</x:v>
      </x:c>
    </x:row>
    <x:row r="30">
      <x:c r="A30" s="91" t="str">
        <x:v>원자료: https://visualbaseball.com/schedule#2026
프로젝트: https://github.com/seoyeonwoo1223/KBO-Savant-Visual-Project</x:v>
      </x:c>
      <x:c r="B30" s="91" t="str">
        <x:v>원자료: https://visualbaseball.com/schedule#2026
프로젝트: https://github.com/seoyeonwoo1223/KBO-Savant-Visual-Project</x:v>
      </x:c>
      <x:c r="C30" s="91" t="str">
        <x:v>원자료: https://visualbaseball.com/schedule#2026
프로젝트: https://github.com/seoyeonwoo1223/KBO-Savant-Visual-Project</x:v>
      </x:c>
      <x:c r="D30" s="91" t="str">
        <x:v>원자료: https://visualbaseball.com/schedule#2026
프로젝트: https://github.com/seoyeonwoo1223/KBO-Savant-Visual-Project</x:v>
      </x:c>
      <x:c r="E30" s="91" t="str">
        <x:v>원자료: https://visualbaseball.com/schedule#2026
프로젝트: https://github.com/seoyeonwoo1223/KBO-Savant-Visual-Project</x:v>
      </x:c>
      <x:c r="F30" s="91" t="str">
        <x:v>원자료: https://visualbaseball.com/schedule#2026
프로젝트: https://github.com/seoyeonwoo1223/KBO-Savant-Visual-Project</x:v>
      </x:c>
      <x:c r="G30" s="91" t="str">
        <x:v>원자료: https://visualbaseball.com/schedule#2026
프로젝트: https://github.com/seoyeonwoo1223/KBO-Savant-Visual-Project</x:v>
      </x:c>
      <x:c r="H30" s="91" t="str">
        <x:v>원자료: https://visualbaseball.com/schedule#2026
프로젝트: https://github.com/seoyeonwoo1223/KBO-Savant-Visual-Project</x:v>
      </x:c>
    </x:row>
  </x:sheetData>
  <x:mergeCells>
    <x:mergeCell ref="A1:H2"/>
    <x:mergeCell ref="A4:B4"/>
    <x:mergeCell ref="C4:D4"/>
    <x:mergeCell ref="E4:F4"/>
    <x:mergeCell ref="G4:H4"/>
    <x:mergeCell ref="A5:B6"/>
    <x:mergeCell ref="C5:D6"/>
    <x:mergeCell ref="E5:F6"/>
    <x:mergeCell ref="G5:H6"/>
    <x:mergeCell ref="A8:H8"/>
    <x:mergeCell ref="A14:H14"/>
    <x:mergeCell ref="A15:H19"/>
    <x:mergeCell ref="A21:H21"/>
    <x:mergeCell ref="A22:H27"/>
    <x:mergeCell ref="A29:H3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8" hidden="0" customWidth="1"/>
    <x:col min="3" max="3" width="18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</x:cols>
  <x:sheetData>
    <x:row r="1" ht="30" customHeight="1">
      <x:c r="A1" s="3" t="str">
        <x:v>최종 산출 지표 — 2026 KBO</x:v>
      </x:c>
      <x:c r="B1" s="3" t="str">
        <x:v>최종 산출 지표 — 2026 KBO</x:v>
      </x:c>
      <x:c r="C1" s="3" t="str">
        <x:v>최종 산출 지표 — 2026 KBO</x:v>
      </x:c>
      <x:c r="D1" s="3" t="str">
        <x:v>최종 산출 지표 — 2026 KBO</x:v>
      </x:c>
      <x:c r="E1" s="3" t="str">
        <x:v>최종 산출 지표 — 2026 KBO</x:v>
      </x:c>
      <x:c r="F1" s="3" t="str">
        <x:v>최종 산출 지표 — 2026 KBO</x:v>
      </x:c>
      <x:c r="G1" s="3" t="str">
        <x:v>최종 산출 지표 — 2026 KBO</x:v>
      </x:c>
      <x:c r="H1" s="3" t="str">
        <x:v>최종 산출 지표 — 2026 KBO</x:v>
      </x:c>
      <x:c r="I1" s="3" t="str">
        <x:v>최종 산출 지표 — 2026 KBO</x:v>
      </x:c>
    </x:row>
    <x:row r="2" ht="30" customHeight="1">
      <x:c r="A2" s="3" t="str">
        <x:v>최종 산출 지표 — 2026 KBO</x:v>
      </x:c>
      <x:c r="B2" s="3" t="str">
        <x:v>최종 산출 지표 — 2026 KBO</x:v>
      </x:c>
      <x:c r="C2" s="3" t="str">
        <x:v>최종 산출 지표 — 2026 KBO</x:v>
      </x:c>
      <x:c r="D2" s="3" t="str">
        <x:v>최종 산출 지표 — 2026 KBO</x:v>
      </x:c>
      <x:c r="E2" s="3" t="str">
        <x:v>최종 산출 지표 — 2026 KBO</x:v>
      </x:c>
      <x:c r="F2" s="3" t="str">
        <x:v>최종 산출 지표 — 2026 KBO</x:v>
      </x:c>
      <x:c r="G2" s="3" t="str">
        <x:v>최종 산출 지표 — 2026 KBO</x:v>
      </x:c>
      <x:c r="H2" s="3" t="str">
        <x:v>최종 산출 지표 — 2026 KBO</x:v>
      </x:c>
      <x:c r="I2" s="3" t="str">
        <x:v>최종 산출 지표 — 2026 KBO</x:v>
      </x:c>
    </x:row>
    <x:row r="4" ht="30" customHeight="1">
      <x:c r="A4" s="48" t="str">
        <x:v>순위</x:v>
      </x:c>
      <x:c r="B4" s="49" t="str">
        <x:v>선수</x:v>
      </x:c>
      <x:c r="C4" s="49" t="str">
        <x:v>팀</x:v>
      </x:c>
      <x:c r="D4" s="49" t="str">
        <x:v>타석 방향</x:v>
      </x:c>
      <x:c r="E4" s="49" t="str">
        <x:v>투구 수</x:v>
      </x:c>
      <x:c r="F4" s="49" t="str">
        <x:v>Swing Aggression (%p)</x:v>
      </x:c>
      <x:c r="G4" s="49" t="str">
        <x:v>ZA Raw (%p)</x:v>
      </x:c>
      <x:c r="H4" s="49" t="str">
        <x:v>ZA Percentile</x:v>
      </x:c>
      <x:c r="I4" s="50" t="str">
        <x:v>DV/100 (runs)</x:v>
      </x:c>
    </x:row>
    <x:row r="5">
      <x:c r="A5" s="53" t="n">
        <x:v>1</x:v>
      </x:c>
      <x:c r="B5" s="53" t="str">
        <x:v>박건우</x:v>
      </x:c>
      <x:c r="C5" s="53" t="str">
        <x:v>NC</x:v>
      </x:c>
      <x:c r="D5" s="53" t="str">
        <x:v>R</x:v>
      </x:c>
      <x:c r="E5" s="92" t="n">
        <x:v>1591</x:v>
      </x:c>
      <x:c r="F5" s="95" t="n">
        <x:v>3.366831</x:v>
      </x:c>
      <x:c r="G5" s="95" t="n">
        <x:v>6.606401</x:v>
      </x:c>
      <x:c r="H5" s="98" t="n">
        <x:v>0.9968600000000001</x:v>
      </x:c>
      <x:c r="I5" s="101" t="n">
        <x:v>7.495069</x:v>
      </x:c>
    </x:row>
    <x:row r="6">
      <x:c r="A6" s="54" t="n">
        <x:v>2</x:v>
      </x:c>
      <x:c r="B6" s="54" t="str">
        <x:v>김도영</x:v>
      </x:c>
      <x:c r="C6" s="54" t="str">
        <x:v>KIA</x:v>
      </x:c>
      <x:c r="D6" s="54" t="str">
        <x:v>R</x:v>
      </x:c>
      <x:c r="E6" s="93" t="n">
        <x:v>1908</x:v>
      </x:c>
      <x:c r="F6" s="96" t="n">
        <x:v>0.454297</x:v>
      </x:c>
      <x:c r="G6" s="96" t="n">
        <x:v>6.504004</x:v>
      </x:c>
      <x:c r="H6" s="99" t="n">
        <x:v>0.9905700000000001</x:v>
      </x:c>
      <x:c r="I6" s="102" t="n">
        <x:v>6.782493</x:v>
      </x:c>
    </x:row>
    <x:row r="7">
      <x:c r="A7" s="54" t="n">
        <x:v>3</x:v>
      </x:c>
      <x:c r="B7" s="54" t="str">
        <x:v>에레디아</x:v>
      </x:c>
      <x:c r="C7" s="54" t="str">
        <x:v>SSG</x:v>
      </x:c>
      <x:c r="D7" s="54" t="str">
        <x:v>R</x:v>
      </x:c>
      <x:c r="E7" s="93" t="n">
        <x:v>1376</x:v>
      </x:c>
      <x:c r="F7" s="96" t="n">
        <x:v>12.151973</x:v>
      </x:c>
      <x:c r="G7" s="96" t="n">
        <x:v>5.959846</x:v>
      </x:c>
      <x:c r="H7" s="99" t="n">
        <x:v>0.9842799999999999</x:v>
      </x:c>
      <x:c r="I7" s="102" t="n">
        <x:v>5.845645</x:v>
      </x:c>
    </x:row>
    <x:row r="8">
      <x:c r="A8" s="54" t="n">
        <x:v>4</x:v>
      </x:c>
      <x:c r="B8" s="54" t="str">
        <x:v>오명진</x:v>
      </x:c>
      <x:c r="C8" s="54" t="str">
        <x:v>DOO</x:v>
      </x:c>
      <x:c r="D8" s="54" t="str">
        <x:v>L</x:v>
      </x:c>
      <x:c r="E8" s="93" t="n">
        <x:v>564</x:v>
      </x:c>
      <x:c r="F8" s="96" t="n">
        <x:v>0.325134</x:v>
      </x:c>
      <x:c r="G8" s="96" t="n">
        <x:v>5.607505</x:v>
      </x:c>
      <x:c r="H8" s="99" t="n">
        <x:v>0.97799</x:v>
      </x:c>
      <x:c r="I8" s="102" t="n">
        <x:v>7.959456</x:v>
      </x:c>
    </x:row>
    <x:row r="9">
      <x:c r="A9" s="54" t="n">
        <x:v>5</x:v>
      </x:c>
      <x:c r="B9" s="54" t="str">
        <x:v>박동원</x:v>
      </x:c>
      <x:c r="C9" s="54" t="str">
        <x:v>LG</x:v>
      </x:c>
      <x:c r="D9" s="54" t="str">
        <x:v>R</x:v>
      </x:c>
      <x:c r="E9" s="93" t="n">
        <x:v>1380</x:v>
      </x:c>
      <x:c r="F9" s="96" t="n">
        <x:v>2.83555</x:v>
      </x:c>
      <x:c r="G9" s="96" t="n">
        <x:v>5.119768</x:v>
      </x:c>
      <x:c r="H9" s="99" t="n">
        <x:v>0.9717</x:v>
      </x:c>
      <x:c r="I9" s="102" t="n">
        <x:v>7.242552</x:v>
      </x:c>
    </x:row>
    <x:row r="10">
      <x:c r="A10" s="54" t="n">
        <x:v>6</x:v>
      </x:c>
      <x:c r="B10" s="54" t="str">
        <x:v>나성범</x:v>
      </x:c>
      <x:c r="C10" s="54" t="str">
        <x:v>KIA</x:v>
      </x:c>
      <x:c r="D10" s="54" t="str">
        <x:v>L</x:v>
      </x:c>
      <x:c r="E10" s="93" t="n">
        <x:v>1785</x:v>
      </x:c>
      <x:c r="F10" s="96" t="n">
        <x:v>8.764955</x:v>
      </x:c>
      <x:c r="G10" s="96" t="n">
        <x:v>5.101016</x:v>
      </x:c>
      <x:c r="H10" s="99" t="n">
        <x:v>0.96541</x:v>
      </x:c>
      <x:c r="I10" s="102" t="n">
        <x:v>6.483873</x:v>
      </x:c>
    </x:row>
    <x:row r="11">
      <x:c r="A11" s="54" t="n">
        <x:v>7</x:v>
      </x:c>
      <x:c r="B11" s="54" t="str">
        <x:v>한석현</x:v>
      </x:c>
      <x:c r="C11" s="54" t="str">
        <x:v>NC</x:v>
      </x:c>
      <x:c r="D11" s="54" t="str">
        <x:v>L</x:v>
      </x:c>
      <x:c r="E11" s="93" t="n">
        <x:v>486</x:v>
      </x:c>
      <x:c r="F11" s="96" t="n">
        <x:v>7.449454</x:v>
      </x:c>
      <x:c r="G11" s="96" t="n">
        <x:v>4.954603</x:v>
      </x:c>
      <x:c r="H11" s="99" t="n">
        <x:v>0.9591200000000001</x:v>
      </x:c>
      <x:c r="I11" s="102" t="n">
        <x:v>5.779111</x:v>
      </x:c>
    </x:row>
    <x:row r="12">
      <x:c r="A12" s="54" t="n">
        <x:v>8</x:v>
      </x:c>
      <x:c r="B12" s="54" t="str">
        <x:v>이재원</x:v>
      </x:c>
      <x:c r="C12" s="54" t="str">
        <x:v>LG</x:v>
      </x:c>
      <x:c r="D12" s="54" t="str">
        <x:v>R</x:v>
      </x:c>
      <x:c r="E12" s="93" t="n">
        <x:v>404</x:v>
      </x:c>
      <x:c r="F12" s="96" t="n">
        <x:v>2.831271</x:v>
      </x:c>
      <x:c r="G12" s="96" t="n">
        <x:v>4.730493</x:v>
      </x:c>
      <x:c r="H12" s="99" t="n">
        <x:v>0.9528300000000001</x:v>
      </x:c>
      <x:c r="I12" s="102" t="n">
        <x:v>6.945638</x:v>
      </x:c>
    </x:row>
    <x:row r="13">
      <x:c r="A13" s="54" t="n">
        <x:v>9</x:v>
      </x:c>
      <x:c r="B13" s="54" t="str">
        <x:v>송찬의</x:v>
      </x:c>
      <x:c r="C13" s="54" t="str">
        <x:v>LG</x:v>
      </x:c>
      <x:c r="D13" s="54" t="str">
        <x:v>R</x:v>
      </x:c>
      <x:c r="E13" s="93" t="n">
        <x:v>1248</x:v>
      </x:c>
      <x:c r="F13" s="96" t="n">
        <x:v>0.686807</x:v>
      </x:c>
      <x:c r="G13" s="96" t="n">
        <x:v>4.71596</x:v>
      </x:c>
      <x:c r="H13" s="99" t="n">
        <x:v>0.9465399999999999</x:v>
      </x:c>
      <x:c r="I13" s="102" t="n">
        <x:v>6.920849</x:v>
      </x:c>
    </x:row>
    <x:row r="14">
      <x:c r="A14" s="54" t="n">
        <x:v>10</x:v>
      </x:c>
      <x:c r="B14" s="54" t="str">
        <x:v>데일</x:v>
      </x:c>
      <x:c r="C14" s="54" t="str">
        <x:v>KIA</x:v>
      </x:c>
      <x:c r="D14" s="54" t="str">
        <x:v>R</x:v>
      </x:c>
      <x:c r="E14" s="93" t="n">
        <x:v>490</x:v>
      </x:c>
      <x:c r="F14" s="96" t="n">
        <x:v>6.3296</x:v>
      </x:c>
      <x:c r="G14" s="96" t="n">
        <x:v>4.262412</x:v>
      </x:c>
      <x:c r="H14" s="99" t="n">
        <x:v>0.94025</x:v>
      </x:c>
      <x:c r="I14" s="102" t="n">
        <x:v>6.552008</x:v>
      </x:c>
    </x:row>
    <x:row r="15">
      <x:c r="A15" s="54" t="n">
        <x:v>11</x:v>
      </x:c>
      <x:c r="B15" s="54" t="str">
        <x:v>이원석</x:v>
      </x:c>
      <x:c r="C15" s="54" t="str">
        <x:v>HAN</x:v>
      </x:c>
      <x:c r="D15" s="54" t="str">
        <x:v>R</x:v>
      </x:c>
      <x:c r="E15" s="93" t="n">
        <x:v>828</x:v>
      </x:c>
      <x:c r="F15" s="96" t="n">
        <x:v>0.122345</x:v>
      </x:c>
      <x:c r="G15" s="96" t="n">
        <x:v>4.20889</x:v>
      </x:c>
      <x:c r="H15" s="99" t="n">
        <x:v>0.93396</x:v>
      </x:c>
      <x:c r="I15" s="102" t="n">
        <x:v>7.402451</x:v>
      </x:c>
    </x:row>
    <x:row r="16">
      <x:c r="A16" s="54" t="n">
        <x:v>12</x:v>
      </x:c>
      <x:c r="B16" s="54" t="str">
        <x:v>김형준</x:v>
      </x:c>
      <x:c r="C16" s="54" t="str">
        <x:v>NC</x:v>
      </x:c>
      <x:c r="D16" s="54" t="str">
        <x:v>R</x:v>
      </x:c>
      <x:c r="E16" s="93" t="n">
        <x:v>1284</x:v>
      </x:c>
      <x:c r="F16" s="96" t="n">
        <x:v>0.371887</x:v>
      </x:c>
      <x:c r="G16" s="96" t="n">
        <x:v>4.170549</x:v>
      </x:c>
      <x:c r="H16" s="99" t="n">
        <x:v>0.92767</x:v>
      </x:c>
      <x:c r="I16" s="102" t="n">
        <x:v>7.197827</x:v>
      </x:c>
    </x:row>
    <x:row r="17">
      <x:c r="A17" s="54" t="n">
        <x:v>13</x:v>
      </x:c>
      <x:c r="B17" s="54" t="str">
        <x:v>최형우</x:v>
      </x:c>
      <x:c r="C17" s="54" t="str">
        <x:v>SAM</x:v>
      </x:c>
      <x:c r="D17" s="54" t="str">
        <x:v>L</x:v>
      </x:c>
      <x:c r="E17" s="93" t="n">
        <x:v>1889</x:v>
      </x:c>
      <x:c r="F17" s="96" t="n">
        <x:v>2.647976</x:v>
      </x:c>
      <x:c r="G17" s="96" t="n">
        <x:v>4.158819</x:v>
      </x:c>
      <x:c r="H17" s="99" t="n">
        <x:v>0.9213800000000001</x:v>
      </x:c>
      <x:c r="I17" s="102" t="n">
        <x:v>7.900838</x:v>
      </x:c>
    </x:row>
    <x:row r="18">
      <x:c r="A18" s="54" t="n">
        <x:v>14</x:v>
      </x:c>
      <x:c r="B18" s="54" t="str">
        <x:v>김주원</x:v>
      </x:c>
      <x:c r="C18" s="54" t="str">
        <x:v>NC</x:v>
      </x:c>
      <x:c r="D18" s="54" t="str">
        <x:v>L</x:v>
      </x:c>
      <x:c r="E18" s="93" t="n">
        <x:v>1943</x:v>
      </x:c>
      <x:c r="F18" s="96" t="n">
        <x:v>-0.634647</x:v>
      </x:c>
      <x:c r="G18" s="96" t="n">
        <x:v>4.148653</x:v>
      </x:c>
      <x:c r="H18" s="99" t="n">
        <x:v>0.91509</x:v>
      </x:c>
      <x:c r="I18" s="102" t="n">
        <x:v>6.64339</x:v>
      </x:c>
    </x:row>
    <x:row r="19">
      <x:c r="A19" s="54" t="n">
        <x:v>15</x:v>
      </x:c>
      <x:c r="B19" s="54" t="str">
        <x:v>노시환</x:v>
      </x:c>
      <x:c r="C19" s="54" t="str">
        <x:v>HAN</x:v>
      </x:c>
      <x:c r="D19" s="54" t="str">
        <x:v>R</x:v>
      </x:c>
      <x:c r="E19" s="93" t="n">
        <x:v>1948</x:v>
      </x:c>
      <x:c r="F19" s="96" t="n">
        <x:v>0.341805</x:v>
      </x:c>
      <x:c r="G19" s="96" t="n">
        <x:v>4.014689</x:v>
      </x:c>
      <x:c r="H19" s="99" t="n">
        <x:v>0.90881</x:v>
      </x:c>
      <x:c r="I19" s="102" t="n">
        <x:v>6.903593</x:v>
      </x:c>
    </x:row>
    <x:row r="20">
      <x:c r="A20" s="54" t="n">
        <x:v>16</x:v>
      </x:c>
      <x:c r="B20" s="54" t="str">
        <x:v>힐리어드</x:v>
      </x:c>
      <x:c r="C20" s="54" t="str">
        <x:v>KT</x:v>
      </x:c>
      <x:c r="D20" s="54" t="str">
        <x:v>L</x:v>
      </x:c>
      <x:c r="E20" s="93" t="n">
        <x:v>1984</x:v>
      </x:c>
      <x:c r="F20" s="96" t="n">
        <x:v>2.59543</x:v>
      </x:c>
      <x:c r="G20" s="96" t="n">
        <x:v>3.974084</x:v>
      </x:c>
      <x:c r="H20" s="99" t="n">
        <x:v>0.90252</x:v>
      </x:c>
      <x:c r="I20" s="102" t="n">
        <x:v>7.019706</x:v>
      </x:c>
    </x:row>
    <x:row r="21">
      <x:c r="A21" s="54" t="n">
        <x:v>17</x:v>
      </x:c>
      <x:c r="B21" s="54" t="str">
        <x:v>최정</x:v>
      </x:c>
      <x:c r="C21" s="54" t="str">
        <x:v>SSG</x:v>
      </x:c>
      <x:c r="D21" s="54" t="str">
        <x:v>R</x:v>
      </x:c>
      <x:c r="E21" s="93" t="n">
        <x:v>1226</x:v>
      </x:c>
      <x:c r="F21" s="96" t="n">
        <x:v>-0.192022</x:v>
      </x:c>
      <x:c r="G21" s="96" t="n">
        <x:v>3.94665</x:v>
      </x:c>
      <x:c r="H21" s="99" t="n">
        <x:v>0.8962300000000001</x:v>
      </x:c>
      <x:c r="I21" s="102" t="n">
        <x:v>7.360237</x:v>
      </x:c>
    </x:row>
    <x:row r="22">
      <x:c r="A22" s="54" t="n">
        <x:v>18</x:v>
      </x:c>
      <x:c r="B22" s="54" t="str">
        <x:v>조수행</x:v>
      </x:c>
      <x:c r="C22" s="54" t="str">
        <x:v>DOO</x:v>
      </x:c>
      <x:c r="D22" s="54" t="str">
        <x:v>L</x:v>
      </x:c>
      <x:c r="E22" s="93" t="n">
        <x:v>613</x:v>
      </x:c>
      <x:c r="F22" s="96" t="n">
        <x:v>-6.293565</x:v>
      </x:c>
      <x:c r="G22" s="96" t="n">
        <x:v>3.921525</x:v>
      </x:c>
      <x:c r="H22" s="99" t="n">
        <x:v>0.88994</x:v>
      </x:c>
      <x:c r="I22" s="102" t="n">
        <x:v>7.560359</x:v>
      </x:c>
    </x:row>
    <x:row r="23">
      <x:c r="A23" s="54" t="n">
        <x:v>19</x:v>
      </x:c>
      <x:c r="B23" s="54" t="str">
        <x:v>페라자</x:v>
      </x:c>
      <x:c r="C23" s="54" t="str">
        <x:v>HAN</x:v>
      </x:c>
      <x:c r="D23" s="54" t="str">
        <x:v>L</x:v>
      </x:c>
      <x:c r="E23" s="93" t="n">
        <x:v>1989</x:v>
      </x:c>
      <x:c r="F23" s="96" t="n">
        <x:v>1.463401</x:v>
      </x:c>
      <x:c r="G23" s="96" t="n">
        <x:v>3.916739</x:v>
      </x:c>
      <x:c r="H23" s="99" t="n">
        <x:v>0.8836499999999999</x:v>
      </x:c>
      <x:c r="I23" s="102" t="n">
        <x:v>7.48136</x:v>
      </x:c>
    </x:row>
    <x:row r="24">
      <x:c r="A24" s="54" t="n">
        <x:v>20</x:v>
      </x:c>
      <x:c r="B24" s="54" t="str">
        <x:v>안중열</x:v>
      </x:c>
      <x:c r="C24" s="54" t="str">
        <x:v>NC</x:v>
      </x:c>
      <x:c r="D24" s="54" t="str">
        <x:v>R</x:v>
      </x:c>
      <x:c r="E24" s="93" t="n">
        <x:v>477</x:v>
      </x:c>
      <x:c r="F24" s="96" t="n">
        <x:v>0.25011</x:v>
      </x:c>
      <x:c r="G24" s="96" t="n">
        <x:v>3.730276</x:v>
      </x:c>
      <x:c r="H24" s="99" t="n">
        <x:v>0.87736</x:v>
      </x:c>
      <x:c r="I24" s="102" t="n">
        <x:v>6.262603</x:v>
      </x:c>
    </x:row>
    <x:row r="25">
      <x:c r="A25" s="54" t="n">
        <x:v>21</x:v>
      </x:c>
      <x:c r="B25" s="54" t="str">
        <x:v>박상준</x:v>
      </x:c>
      <x:c r="C25" s="54" t="str">
        <x:v>KIA</x:v>
      </x:c>
      <x:c r="D25" s="54" t="str">
        <x:v>L</x:v>
      </x:c>
      <x:c r="E25" s="93" t="n">
        <x:v>552</x:v>
      </x:c>
      <x:c r="F25" s="96" t="n">
        <x:v>3.055057</x:v>
      </x:c>
      <x:c r="G25" s="96" t="n">
        <x:v>3.67461</x:v>
      </x:c>
      <x:c r="H25" s="99" t="n">
        <x:v>0.87107</x:v>
      </x:c>
      <x:c r="I25" s="102" t="n">
        <x:v>7.13425</x:v>
      </x:c>
    </x:row>
    <x:row r="26">
      <x:c r="A26" s="54" t="n">
        <x:v>22</x:v>
      </x:c>
      <x:c r="B26" s="54" t="str">
        <x:v>세베리노</x:v>
      </x:c>
      <x:c r="C26" s="54" t="str">
        <x:v>DOO</x:v>
      </x:c>
      <x:c r="D26" s="54" t="str">
        <x:v>L</x:v>
      </x:c>
      <x:c r="E26" s="93" t="n">
        <x:v>358</x:v>
      </x:c>
      <x:c r="F26" s="96" t="n">
        <x:v>3.649533</x:v>
      </x:c>
      <x:c r="G26" s="96" t="n">
        <x:v>3.62422</x:v>
      </x:c>
      <x:c r="H26" s="99" t="n">
        <x:v>0.86478</x:v>
      </x:c>
      <x:c r="I26" s="102" t="n">
        <x:v>6.636969</x:v>
      </x:c>
    </x:row>
    <x:row r="27">
      <x:c r="A27" s="54" t="n">
        <x:v>23</x:v>
      </x:c>
      <x:c r="B27" s="54" t="str">
        <x:v>윤동희</x:v>
      </x:c>
      <x:c r="C27" s="54" t="str">
        <x:v>LOT</x:v>
      </x:c>
      <x:c r="D27" s="54" t="str">
        <x:v>R</x:v>
      </x:c>
      <x:c r="E27" s="93" t="n">
        <x:v>1136</x:v>
      </x:c>
      <x:c r="F27" s="96" t="n">
        <x:v>-5.045695</x:v>
      </x:c>
      <x:c r="G27" s="96" t="n">
        <x:v>3.517914</x:v>
      </x:c>
      <x:c r="H27" s="99" t="n">
        <x:v>0.8584900000000001</x:v>
      </x:c>
      <x:c r="I27" s="102" t="n">
        <x:v>6.370871</x:v>
      </x:c>
    </x:row>
    <x:row r="28">
      <x:c r="A28" s="54" t="n">
        <x:v>24</x:v>
      </x:c>
      <x:c r="B28" s="54" t="str">
        <x:v>조형우</x:v>
      </x:c>
      <x:c r="C28" s="54" t="str">
        <x:v>SSG</x:v>
      </x:c>
      <x:c r="D28" s="54" t="str">
        <x:v>R</x:v>
      </x:c>
      <x:c r="E28" s="93" t="n">
        <x:v>1193</x:v>
      </x:c>
      <x:c r="F28" s="96" t="n">
        <x:v>5.906734</x:v>
      </x:c>
      <x:c r="G28" s="96" t="n">
        <x:v>3.459536</x:v>
      </x:c>
      <x:c r="H28" s="99" t="n">
        <x:v>0.8522</x:v>
      </x:c>
      <x:c r="I28" s="102" t="n">
        <x:v>6.097375</x:v>
      </x:c>
    </x:row>
    <x:row r="29">
      <x:c r="A29" s="54" t="n">
        <x:v>25</x:v>
      </x:c>
      <x:c r="B29" s="54" t="str">
        <x:v>양의지</x:v>
      </x:c>
      <x:c r="C29" s="54" t="str">
        <x:v>DOO</x:v>
      </x:c>
      <x:c r="D29" s="54" t="str">
        <x:v>R</x:v>
      </x:c>
      <x:c r="E29" s="93" t="n">
        <x:v>1770</x:v>
      </x:c>
      <x:c r="F29" s="96" t="n">
        <x:v>-0.945259</x:v>
      </x:c>
      <x:c r="G29" s="96" t="n">
        <x:v>3.38989</x:v>
      </x:c>
      <x:c r="H29" s="99" t="n">
        <x:v>0.8459099999999999</x:v>
      </x:c>
      <x:c r="I29" s="102" t="n">
        <x:v>7.428148</x:v>
      </x:c>
    </x:row>
    <x:row r="30">
      <x:c r="A30" s="54" t="n">
        <x:v>26</x:v>
      </x:c>
      <x:c r="B30" s="54" t="str">
        <x:v>박승규</x:v>
      </x:c>
      <x:c r="C30" s="54" t="str">
        <x:v>SAM</x:v>
      </x:c>
      <x:c r="D30" s="54" t="str">
        <x:v>R</x:v>
      </x:c>
      <x:c r="E30" s="93" t="n">
        <x:v>1203</x:v>
      </x:c>
      <x:c r="F30" s="96" t="n">
        <x:v>-0.439625</x:v>
      </x:c>
      <x:c r="G30" s="96" t="n">
        <x:v>3.335926</x:v>
      </x:c>
      <x:c r="H30" s="99" t="n">
        <x:v>0.83962</x:v>
      </x:c>
      <x:c r="I30" s="102" t="n">
        <x:v>8.18912</x:v>
      </x:c>
    </x:row>
    <x:row r="31">
      <x:c r="A31" s="54" t="n">
        <x:v>27</x:v>
      </x:c>
      <x:c r="B31" s="54" t="str">
        <x:v>노진혁</x:v>
      </x:c>
      <x:c r="C31" s="54" t="str">
        <x:v>LOT</x:v>
      </x:c>
      <x:c r="D31" s="54" t="str">
        <x:v>L</x:v>
      </x:c>
      <x:c r="E31" s="93" t="n">
        <x:v>826</x:v>
      </x:c>
      <x:c r="F31" s="96" t="n">
        <x:v>0.721591</x:v>
      </x:c>
      <x:c r="G31" s="96" t="n">
        <x:v>3.291302</x:v>
      </x:c>
      <x:c r="H31" s="99" t="n">
        <x:v>0.83333</x:v>
      </x:c>
      <x:c r="I31" s="102" t="n">
        <x:v>6.999488</x:v>
      </x:c>
    </x:row>
    <x:row r="32">
      <x:c r="A32" s="54" t="n">
        <x:v>28</x:v>
      </x:c>
      <x:c r="B32" s="54" t="str">
        <x:v>카메론</x:v>
      </x:c>
      <x:c r="C32" s="54" t="str">
        <x:v>DOO</x:v>
      </x:c>
      <x:c r="D32" s="54" t="str">
        <x:v>R</x:v>
      </x:c>
      <x:c r="E32" s="93" t="n">
        <x:v>1117</x:v>
      </x:c>
      <x:c r="F32" s="96" t="n">
        <x:v>1.514579</x:v>
      </x:c>
      <x:c r="G32" s="96" t="n">
        <x:v>3.258426</x:v>
      </x:c>
      <x:c r="H32" s="99" t="n">
        <x:v>0.8270399999999999</x:v>
      </x:c>
      <x:c r="I32" s="102" t="n">
        <x:v>6.124333</x:v>
      </x:c>
    </x:row>
    <x:row r="33">
      <x:c r="A33" s="54" t="n">
        <x:v>29</x:v>
      </x:c>
      <x:c r="B33" s="54" t="str">
        <x:v>이주형</x:v>
      </x:c>
      <x:c r="C33" s="54" t="str">
        <x:v>KIW</x:v>
      </x:c>
      <x:c r="D33" s="54" t="str">
        <x:v>L</x:v>
      </x:c>
      <x:c r="E33" s="93" t="n">
        <x:v>382</x:v>
      </x:c>
      <x:c r="F33" s="96" t="n">
        <x:v>5.288898</x:v>
      </x:c>
      <x:c r="G33" s="96" t="n">
        <x:v>3.226417</x:v>
      </x:c>
      <x:c r="H33" s="99" t="n">
        <x:v>0.82075</x:v>
      </x:c>
      <x:c r="I33" s="102" t="n">
        <x:v>5.145039</x:v>
      </x:c>
    </x:row>
    <x:row r="34">
      <x:c r="A34" s="54" t="n">
        <x:v>30</x:v>
      </x:c>
      <x:c r="B34" s="54" t="str">
        <x:v>문현빈</x:v>
      </x:c>
      <x:c r="C34" s="54" t="str">
        <x:v>HAN</x:v>
      </x:c>
      <x:c r="D34" s="54" t="str">
        <x:v>L</x:v>
      </x:c>
      <x:c r="E34" s="93" t="n">
        <x:v>1907</x:v>
      </x:c>
      <x:c r="F34" s="96" t="n">
        <x:v>1.83238</x:v>
      </x:c>
      <x:c r="G34" s="96" t="n">
        <x:v>3.16065</x:v>
      </x:c>
      <x:c r="H34" s="99" t="n">
        <x:v>0.81447</x:v>
      </x:c>
      <x:c r="I34" s="102" t="n">
        <x:v>7.373568</x:v>
      </x:c>
    </x:row>
    <x:row r="35">
      <x:c r="A35" s="54" t="n">
        <x:v>31</x:v>
      </x:c>
      <x:c r="B35" s="54" t="str">
        <x:v>구자욱</x:v>
      </x:c>
      <x:c r="C35" s="54" t="str">
        <x:v>SAM</x:v>
      </x:c>
      <x:c r="D35" s="54" t="str">
        <x:v>L</x:v>
      </x:c>
      <x:c r="E35" s="93" t="n">
        <x:v>1681</x:v>
      </x:c>
      <x:c r="F35" s="96" t="n">
        <x:v>0.636933</x:v>
      </x:c>
      <x:c r="G35" s="96" t="n">
        <x:v>3.029522</x:v>
      </x:c>
      <x:c r="H35" s="99" t="n">
        <x:v>0.80818</x:v>
      </x:c>
      <x:c r="I35" s="102" t="n">
        <x:v>7.405988</x:v>
      </x:c>
    </x:row>
    <x:row r="36">
      <x:c r="A36" s="54" t="n">
        <x:v>32</x:v>
      </x:c>
      <x:c r="B36" s="54" t="str">
        <x:v>히우라</x:v>
      </x:c>
      <x:c r="C36" s="54" t="str">
        <x:v>KIW</x:v>
      </x:c>
      <x:c r="D36" s="54" t="str">
        <x:v>R</x:v>
      </x:c>
      <x:c r="E36" s="93" t="n">
        <x:v>927</x:v>
      </x:c>
      <x:c r="F36" s="96" t="n">
        <x:v>3.676316</x:v>
      </x:c>
      <x:c r="G36" s="96" t="n">
        <x:v>2.958021</x:v>
      </x:c>
      <x:c r="H36" s="99" t="n">
        <x:v>0.8018899999999999</x:v>
      </x:c>
      <x:c r="I36" s="102" t="n">
        <x:v>6.640365</x:v>
      </x:c>
    </x:row>
    <x:row r="37">
      <x:c r="A37" s="54" t="n">
        <x:v>33</x:v>
      </x:c>
      <x:c r="B37" s="54" t="str">
        <x:v>김도환</x:v>
      </x:c>
      <x:c r="C37" s="54" t="str">
        <x:v>SAM</x:v>
      </x:c>
      <x:c r="D37" s="54" t="str">
        <x:v>R</x:v>
      </x:c>
      <x:c r="E37" s="93" t="n">
        <x:v>430</x:v>
      </x:c>
      <x:c r="F37" s="96" t="n">
        <x:v>-0.875979</x:v>
      </x:c>
      <x:c r="G37" s="96" t="n">
        <x:v>2.916791</x:v>
      </x:c>
      <x:c r="H37" s="99" t="n">
        <x:v>0.7956</x:v>
      </x:c>
      <x:c r="I37" s="102" t="n">
        <x:v>6.353278</x:v>
      </x:c>
    </x:row>
    <x:row r="38">
      <x:c r="A38" s="54" t="n">
        <x:v>34</x:v>
      </x:c>
      <x:c r="B38" s="54" t="str">
        <x:v>김휘집</x:v>
      </x:c>
      <x:c r="C38" s="54" t="str">
        <x:v>NC</x:v>
      </x:c>
      <x:c r="D38" s="54" t="str">
        <x:v>R</x:v>
      </x:c>
      <x:c r="E38" s="93" t="n">
        <x:v>874</x:v>
      </x:c>
      <x:c r="F38" s="96" t="n">
        <x:v>-1.409506</x:v>
      </x:c>
      <x:c r="G38" s="96" t="n">
        <x:v>2.873772</x:v>
      </x:c>
      <x:c r="H38" s="99" t="n">
        <x:v>0.78931</x:v>
      </x:c>
      <x:c r="I38" s="102" t="n">
        <x:v>7.016045</x:v>
      </x:c>
    </x:row>
    <x:row r="39">
      <x:c r="A39" s="54" t="n">
        <x:v>35</x:v>
      </x:c>
      <x:c r="B39" s="54" t="str">
        <x:v>전의산</x:v>
      </x:c>
      <x:c r="C39" s="54" t="str">
        <x:v>SSG</x:v>
      </x:c>
      <x:c r="D39" s="54" t="str">
        <x:v>L</x:v>
      </x:c>
      <x:c r="E39" s="93" t="n">
        <x:v>1072</x:v>
      </x:c>
      <x:c r="F39" s="96" t="n">
        <x:v>-1.517402</x:v>
      </x:c>
      <x:c r="G39" s="96" t="n">
        <x:v>2.849748</x:v>
      </x:c>
      <x:c r="H39" s="99" t="n">
        <x:v>0.78302</x:v>
      </x:c>
      <x:c r="I39" s="102" t="n">
        <x:v>6.417322</x:v>
      </x:c>
    </x:row>
    <x:row r="40">
      <x:c r="A40" s="54" t="n">
        <x:v>36</x:v>
      </x:c>
      <x:c r="B40" s="54" t="str">
        <x:v>김대한</x:v>
      </x:c>
      <x:c r="C40" s="54" t="str">
        <x:v>DOO</x:v>
      </x:c>
      <x:c r="D40" s="54" t="str">
        <x:v>R</x:v>
      </x:c>
      <x:c r="E40" s="93" t="n">
        <x:v>383</x:v>
      </x:c>
      <x:c r="F40" s="96" t="n">
        <x:v>4.075844</x:v>
      </x:c>
      <x:c r="G40" s="96" t="n">
        <x:v>2.780751</x:v>
      </x:c>
      <x:c r="H40" s="99" t="n">
        <x:v>0.77673</x:v>
      </x:c>
      <x:c r="I40" s="102" t="n">
        <x:v>5.059184</x:v>
      </x:c>
    </x:row>
    <x:row r="41">
      <x:c r="A41" s="54" t="n">
        <x:v>37</x:v>
      </x:c>
      <x:c r="B41" s="54" t="str">
        <x:v>류지혁</x:v>
      </x:c>
      <x:c r="C41" s="54" t="str">
        <x:v>SAM</x:v>
      </x:c>
      <x:c r="D41" s="54" t="str">
        <x:v>L</x:v>
      </x:c>
      <x:c r="E41" s="93" t="n">
        <x:v>1762</x:v>
      </x:c>
      <x:c r="F41" s="96" t="n">
        <x:v>-1.837605</x:v>
      </x:c>
      <x:c r="G41" s="96" t="n">
        <x:v>2.722202</x:v>
      </x:c>
      <x:c r="H41" s="99" t="n">
        <x:v>0.77044</x:v>
      </x:c>
      <x:c r="I41" s="102" t="n">
        <x:v>7.715803</x:v>
      </x:c>
    </x:row>
    <x:row r="42">
      <x:c r="A42" s="54" t="n">
        <x:v>38</x:v>
      </x:c>
      <x:c r="B42" s="54" t="str">
        <x:v>손성빈</x:v>
      </x:c>
      <x:c r="C42" s="54" t="str">
        <x:v>LOT</x:v>
      </x:c>
      <x:c r="D42" s="54" t="str">
        <x:v>R</x:v>
      </x:c>
      <x:c r="E42" s="93" t="n">
        <x:v>1194</x:v>
      </x:c>
      <x:c r="F42" s="96" t="n">
        <x:v>2.4669</x:v>
      </x:c>
      <x:c r="G42" s="96" t="n">
        <x:v>2.63947</x:v>
      </x:c>
      <x:c r="H42" s="99" t="n">
        <x:v>0.7641500000000001</x:v>
      </x:c>
      <x:c r="I42" s="102" t="n">
        <x:v>6.916731</x:v>
      </x:c>
    </x:row>
    <x:row r="43">
      <x:c r="A43" s="54" t="n">
        <x:v>39</x:v>
      </x:c>
      <x:c r="B43" s="54" t="str">
        <x:v>이주헌</x:v>
      </x:c>
      <x:c r="C43" s="54" t="str">
        <x:v>LG</x:v>
      </x:c>
      <x:c r="D43" s="54" t="str">
        <x:v>R</x:v>
      </x:c>
      <x:c r="E43" s="93" t="n">
        <x:v>440</x:v>
      </x:c>
      <x:c r="F43" s="96" t="n">
        <x:v>6.8765</x:v>
      </x:c>
      <x:c r="G43" s="96" t="n">
        <x:v>2.592777</x:v>
      </x:c>
      <x:c r="H43" s="99" t="n">
        <x:v>0.75786</x:v>
      </x:c>
      <x:c r="I43" s="102" t="n">
        <x:v>4.662626</x:v>
      </x:c>
    </x:row>
    <x:row r="44">
      <x:c r="A44" s="54" t="n">
        <x:v>40</x:v>
      </x:c>
      <x:c r="B44" s="54" t="str">
        <x:v>전병우</x:v>
      </x:c>
      <x:c r="C44" s="54" t="str">
        <x:v>SAM</x:v>
      </x:c>
      <x:c r="D44" s="54" t="str">
        <x:v>R</x:v>
      </x:c>
      <x:c r="E44" s="93" t="n">
        <x:v>1401</x:v>
      </x:c>
      <x:c r="F44" s="96" t="n">
        <x:v>-4.074789</x:v>
      </x:c>
      <x:c r="G44" s="96" t="n">
        <x:v>2.546038</x:v>
      </x:c>
      <x:c r="H44" s="99" t="n">
        <x:v>0.75157</x:v>
      </x:c>
      <x:c r="I44" s="102" t="n">
        <x:v>6.348272</x:v>
      </x:c>
    </x:row>
    <x:row r="45">
      <x:c r="A45" s="54" t="n">
        <x:v>41</x:v>
      </x:c>
      <x:c r="B45" s="54" t="str">
        <x:v>이형종</x:v>
      </x:c>
      <x:c r="C45" s="54" t="str">
        <x:v>KIW</x:v>
      </x:c>
      <x:c r="D45" s="54" t="str">
        <x:v>R</x:v>
      </x:c>
      <x:c r="E45" s="93" t="n">
        <x:v>768</x:v>
      </x:c>
      <x:c r="F45" s="96" t="n">
        <x:v>-0.089742</x:v>
      </x:c>
      <x:c r="G45" s="96" t="n">
        <x:v>2.401692</x:v>
      </x:c>
      <x:c r="H45" s="99" t="n">
        <x:v>0.74528</x:v>
      </x:c>
      <x:c r="I45" s="102" t="n">
        <x:v>6.853191</x:v>
      </x:c>
    </x:row>
    <x:row r="46">
      <x:c r="A46" s="54" t="n">
        <x:v>42</x:v>
      </x:c>
      <x:c r="B46" s="54" t="str">
        <x:v>박민우</x:v>
      </x:c>
      <x:c r="C46" s="54" t="str">
        <x:v>NC</x:v>
      </x:c>
      <x:c r="D46" s="54" t="str">
        <x:v>L</x:v>
      </x:c>
      <x:c r="E46" s="93" t="n">
        <x:v>1717</x:v>
      </x:c>
      <x:c r="F46" s="96" t="n">
        <x:v>-2.394945</x:v>
      </x:c>
      <x:c r="G46" s="96" t="n">
        <x:v>2.377299</x:v>
      </x:c>
      <x:c r="H46" s="99" t="n">
        <x:v>0.73899</x:v>
      </x:c>
      <x:c r="I46" s="102" t="n">
        <x:v>6.779077</x:v>
      </x:c>
    </x:row>
    <x:row r="47">
      <x:c r="A47" s="54" t="n">
        <x:v>43</x:v>
      </x:c>
      <x:c r="B47" s="54" t="str">
        <x:v>오지환</x:v>
      </x:c>
      <x:c r="C47" s="54" t="str">
        <x:v>LG</x:v>
      </x:c>
      <x:c r="D47" s="54" t="str">
        <x:v>L</x:v>
      </x:c>
      <x:c r="E47" s="93" t="n">
        <x:v>1521</x:v>
      </x:c>
      <x:c r="F47" s="96" t="n">
        <x:v>0.213639</x:v>
      </x:c>
      <x:c r="G47" s="96" t="n">
        <x:v>2.272851</x:v>
      </x:c>
      <x:c r="H47" s="99" t="n">
        <x:v>0.7326999999999999</x:v>
      </x:c>
      <x:c r="I47" s="102" t="n">
        <x:v>6.493371</x:v>
      </x:c>
    </x:row>
    <x:row r="48">
      <x:c r="A48" s="54" t="n">
        <x:v>44</x:v>
      </x:c>
      <x:c r="B48" s="54" t="str">
        <x:v>김재환</x:v>
      </x:c>
      <x:c r="C48" s="54" t="str">
        <x:v>SSG</x:v>
      </x:c>
      <x:c r="D48" s="54" t="str">
        <x:v>L</x:v>
      </x:c>
      <x:c r="E48" s="93" t="n">
        <x:v>1825</x:v>
      </x:c>
      <x:c r="F48" s="96" t="n">
        <x:v>-1.748235</x:v>
      </x:c>
      <x:c r="G48" s="96" t="n">
        <x:v>2.187813</x:v>
      </x:c>
      <x:c r="H48" s="99" t="n">
        <x:v>0.72642</x:v>
      </x:c>
      <x:c r="I48" s="102" t="n">
        <x:v>6.871705</x:v>
      </x:c>
    </x:row>
    <x:row r="49">
      <x:c r="A49" s="54" t="n">
        <x:v>45</x:v>
      </x:c>
      <x:c r="B49" s="54" t="str">
        <x:v>문보경</x:v>
      </x:c>
      <x:c r="C49" s="54" t="str">
        <x:v>LG</x:v>
      </x:c>
      <x:c r="D49" s="54" t="str">
        <x:v>L</x:v>
      </x:c>
      <x:c r="E49" s="93" t="n">
        <x:v>1510</x:v>
      </x:c>
      <x:c r="F49" s="96" t="n">
        <x:v>-3.85526</x:v>
      </x:c>
      <x:c r="G49" s="96" t="n">
        <x:v>1.869698</x:v>
      </x:c>
      <x:c r="H49" s="99" t="n">
        <x:v>0.72013</x:v>
      </x:c>
      <x:c r="I49" s="102" t="n">
        <x:v>6.925803</x:v>
      </x:c>
    </x:row>
    <x:row r="50">
      <x:c r="A50" s="54" t="n">
        <x:v>46</x:v>
      </x:c>
      <x:c r="B50" s="54" t="str">
        <x:v>신민재</x:v>
      </x:c>
      <x:c r="C50" s="54" t="str">
        <x:v>LG</x:v>
      </x:c>
      <x:c r="D50" s="54" t="str">
        <x:v>L</x:v>
      </x:c>
      <x:c r="E50" s="93" t="n">
        <x:v>1464</x:v>
      </x:c>
      <x:c r="F50" s="96" t="n">
        <x:v>-4.402289</x:v>
      </x:c>
      <x:c r="G50" s="96" t="n">
        <x:v>1.634516</x:v>
      </x:c>
      <x:c r="H50" s="99" t="n">
        <x:v>0.71384</x:v>
      </x:c>
      <x:c r="I50" s="102" t="n">
        <x:v>6.891032</x:v>
      </x:c>
    </x:row>
    <x:row r="51">
      <x:c r="A51" s="54" t="n">
        <x:v>47</x:v>
      </x:c>
      <x:c r="B51" s="54" t="str">
        <x:v>오선우</x:v>
      </x:c>
      <x:c r="C51" s="54" t="str">
        <x:v>KIA</x:v>
      </x:c>
      <x:c r="D51" s="54" t="str">
        <x:v>L</x:v>
      </x:c>
      <x:c r="E51" s="93" t="n">
        <x:v>354</x:v>
      </x:c>
      <x:c r="F51" s="96" t="n">
        <x:v>2.225659</x:v>
      </x:c>
      <x:c r="G51" s="96" t="n">
        <x:v>1.601172</x:v>
      </x:c>
      <x:c r="H51" s="99" t="n">
        <x:v>0.7075499999999999</x:v>
      </x:c>
      <x:c r="I51" s="102" t="n">
        <x:v>7.040127</x:v>
      </x:c>
    </x:row>
    <x:row r="52">
      <x:c r="A52" s="54" t="n">
        <x:v>48</x:v>
      </x:c>
      <x:c r="B52" s="54" t="str">
        <x:v>김현수</x:v>
      </x:c>
      <x:c r="C52" s="54" t="str">
        <x:v>KT</x:v>
      </x:c>
      <x:c r="D52" s="54" t="str">
        <x:v>L</x:v>
      </x:c>
      <x:c r="E52" s="93" t="n">
        <x:v>1937</x:v>
      </x:c>
      <x:c r="F52" s="96" t="n">
        <x:v>-0.762679</x:v>
      </x:c>
      <x:c r="G52" s="96" t="n">
        <x:v>1.575756</x:v>
      </x:c>
      <x:c r="H52" s="99" t="n">
        <x:v>0.70126</x:v>
      </x:c>
      <x:c r="I52" s="102" t="n">
        <x:v>6.707846</x:v>
      </x:c>
    </x:row>
    <x:row r="53">
      <x:c r="A53" s="54" t="n">
        <x:v>49</x:v>
      </x:c>
      <x:c r="B53" s="54" t="str">
        <x:v>박승욱</x:v>
      </x:c>
      <x:c r="C53" s="54" t="str">
        <x:v>LOT</x:v>
      </x:c>
      <x:c r="D53" s="54" t="str">
        <x:v>L</x:v>
      </x:c>
      <x:c r="E53" s="93" t="n">
        <x:v>540</x:v>
      </x:c>
      <x:c r="F53" s="96" t="n">
        <x:v>1.184613</x:v>
      </x:c>
      <x:c r="G53" s="96" t="n">
        <x:v>1.522329</x:v>
      </x:c>
      <x:c r="H53" s="99" t="n">
        <x:v>0.69497</x:v>
      </x:c>
      <x:c r="I53" s="102" t="n">
        <x:v>5.676178</x:v>
      </x:c>
    </x:row>
    <x:row r="54">
      <x:c r="A54" s="54" t="n">
        <x:v>50</x:v>
      </x:c>
      <x:c r="B54" s="54" t="str">
        <x:v>황영묵</x:v>
      </x:c>
      <x:c r="C54" s="54" t="str">
        <x:v>HAN</x:v>
      </x:c>
      <x:c r="D54" s="54" t="str">
        <x:v>L</x:v>
      </x:c>
      <x:c r="E54" s="93" t="n">
        <x:v>513</x:v>
      </x:c>
      <x:c r="F54" s="96" t="n">
        <x:v>2.56367</x:v>
      </x:c>
      <x:c r="G54" s="96" t="n">
        <x:v>1.454437</x:v>
      </x:c>
      <x:c r="H54" s="99" t="n">
        <x:v>0.68868</x:v>
      </x:c>
      <x:c r="I54" s="102" t="n">
        <x:v>6.975149</x:v>
      </x:c>
    </x:row>
    <x:row r="55">
      <x:c r="A55" s="54" t="n">
        <x:v>51</x:v>
      </x:c>
      <x:c r="B55" s="54" t="str">
        <x:v>김성윤</x:v>
      </x:c>
      <x:c r="C55" s="54" t="str">
        <x:v>SAM</x:v>
      </x:c>
      <x:c r="D55" s="54" t="str">
        <x:v>L</x:v>
      </x:c>
      <x:c r="E55" s="93" t="n">
        <x:v>1419</x:v>
      </x:c>
      <x:c r="F55" s="96" t="n">
        <x:v>3.819731</x:v>
      </x:c>
      <x:c r="G55" s="96" t="n">
        <x:v>1.389131</x:v>
      </x:c>
      <x:c r="H55" s="99" t="n">
        <x:v>0.68239</x:v>
      </x:c>
      <x:c r="I55" s="102" t="n">
        <x:v>6.211297</x:v>
      </x:c>
    </x:row>
    <x:row r="56">
      <x:c r="A56" s="54" t="n">
        <x:v>52</x:v>
      </x:c>
      <x:c r="B56" s="54" t="str">
        <x:v>브룩스</x:v>
      </x:c>
      <x:c r="C56" s="54" t="str">
        <x:v>KIW</x:v>
      </x:c>
      <x:c r="D56" s="54" t="str">
        <x:v>L</x:v>
      </x:c>
      <x:c r="E56" s="93" t="n">
        <x:v>619</x:v>
      </x:c>
      <x:c r="F56" s="96" t="n">
        <x:v>4.214344</x:v>
      </x:c>
      <x:c r="G56" s="96" t="n">
        <x:v>1.365529</x:v>
      </x:c>
      <x:c r="H56" s="99" t="n">
        <x:v>0.6761</x:v>
      </x:c>
      <x:c r="I56" s="102" t="n">
        <x:v>5.703959</x:v>
      </x:c>
    </x:row>
    <x:row r="57">
      <x:c r="A57" s="54" t="n">
        <x:v>53</x:v>
      </x:c>
      <x:c r="B57" s="54" t="str">
        <x:v>문정빈</x:v>
      </x:c>
      <x:c r="C57" s="54" t="str">
        <x:v>LG</x:v>
      </x:c>
      <x:c r="D57" s="54" t="str">
        <x:v>R</x:v>
      </x:c>
      <x:c r="E57" s="93" t="n">
        <x:v>979</x:v>
      </x:c>
      <x:c r="F57" s="96" t="n">
        <x:v>-3.212786</x:v>
      </x:c>
      <x:c r="G57" s="96" t="n">
        <x:v>1.30801</x:v>
      </x:c>
      <x:c r="H57" s="99" t="n">
        <x:v>0.6698099999999999</x:v>
      </x:c>
      <x:c r="I57" s="102" t="n">
        <x:v>6.322896</x:v>
      </x:c>
    </x:row>
    <x:row r="58">
      <x:c r="A58" s="54" t="n">
        <x:v>54</x:v>
      </x:c>
      <x:c r="B58" s="54" t="str">
        <x:v>한유섬</x:v>
      </x:c>
      <x:c r="C58" s="54" t="str">
        <x:v>SSG</x:v>
      </x:c>
      <x:c r="D58" s="54" t="str">
        <x:v>L</x:v>
      </x:c>
      <x:c r="E58" s="93" t="n">
        <x:v>676</x:v>
      </x:c>
      <x:c r="F58" s="96" t="n">
        <x:v>-0.02194</x:v>
      </x:c>
      <x:c r="G58" s="96" t="n">
        <x:v>1.298176</x:v>
      </x:c>
      <x:c r="H58" s="99" t="n">
        <x:v>0.66352</x:v>
      </x:c>
      <x:c r="I58" s="102" t="n">
        <x:v>6.537656</x:v>
      </x:c>
    </x:row>
    <x:row r="59">
      <x:c r="A59" s="54" t="n">
        <x:v>55</x:v>
      </x:c>
      <x:c r="B59" s="54" t="str">
        <x:v>이정훈</x:v>
      </x:c>
      <x:c r="C59" s="54" t="str">
        <x:v>KT</x:v>
      </x:c>
      <x:c r="D59" s="54" t="str">
        <x:v>L</x:v>
      </x:c>
      <x:c r="E59" s="93" t="n">
        <x:v>302</x:v>
      </x:c>
      <x:c r="F59" s="96" t="n">
        <x:v>-9.758917</x:v>
      </x:c>
      <x:c r="G59" s="96" t="n">
        <x:v>1.291973</x:v>
      </x:c>
      <x:c r="H59" s="99" t="n">
        <x:v>0.65723</x:v>
      </x:c>
      <x:c r="I59" s="102" t="n">
        <x:v>7.277882</x:v>
      </x:c>
    </x:row>
    <x:row r="60">
      <x:c r="A60" s="54" t="n">
        <x:v>56</x:v>
      </x:c>
      <x:c r="B60" s="54" t="str">
        <x:v>오윤석</x:v>
      </x:c>
      <x:c r="C60" s="54" t="str">
        <x:v>KT</x:v>
      </x:c>
      <x:c r="D60" s="54" t="str">
        <x:v>R</x:v>
      </x:c>
      <x:c r="E60" s="93" t="n">
        <x:v>691</x:v>
      </x:c>
      <x:c r="F60" s="96" t="n">
        <x:v>-1.097565</x:v>
      </x:c>
      <x:c r="G60" s="96" t="n">
        <x:v>1.267367</x:v>
      </x:c>
      <x:c r="H60" s="99" t="n">
        <x:v>0.65094</x:v>
      </x:c>
      <x:c r="I60" s="102" t="n">
        <x:v>6.754086</x:v>
      </x:c>
    </x:row>
    <x:row r="61">
      <x:c r="A61" s="54" t="n">
        <x:v>57</x:v>
      </x:c>
      <x:c r="B61" s="54" t="str">
        <x:v>도태훈</x:v>
      </x:c>
      <x:c r="C61" s="54" t="str">
        <x:v>NC</x:v>
      </x:c>
      <x:c r="D61" s="54" t="str">
        <x:v>L</x:v>
      </x:c>
      <x:c r="E61" s="93" t="n">
        <x:v>343</x:v>
      </x:c>
      <x:c r="F61" s="96" t="n">
        <x:v>-6.016883</x:v>
      </x:c>
      <x:c r="G61" s="96" t="n">
        <x:v>1.192607</x:v>
      </x:c>
      <x:c r="H61" s="99" t="n">
        <x:v>0.6446500000000001</x:v>
      </x:c>
      <x:c r="I61" s="102" t="n">
        <x:v>6.014062</x:v>
      </x:c>
    </x:row>
    <x:row r="62">
      <x:c r="A62" s="54" t="n">
        <x:v>58</x:v>
      </x:c>
      <x:c r="B62" s="54" t="str">
        <x:v>문성주</x:v>
      </x:c>
      <x:c r="C62" s="54" t="str">
        <x:v>LG</x:v>
      </x:c>
      <x:c r="D62" s="54" t="str">
        <x:v>L</x:v>
      </x:c>
      <x:c r="E62" s="93" t="n">
        <x:v>886</x:v>
      </x:c>
      <x:c r="F62" s="96" t="n">
        <x:v>1.184293</x:v>
      </x:c>
      <x:c r="G62" s="96" t="n">
        <x:v>1.169262</x:v>
      </x:c>
      <x:c r="H62" s="99" t="n">
        <x:v>0.63836</x:v>
      </x:c>
      <x:c r="I62" s="102" t="n">
        <x:v>6.290927</x:v>
      </x:c>
    </x:row>
    <x:row r="63">
      <x:c r="A63" s="54" t="n">
        <x:v>59</x:v>
      </x:c>
      <x:c r="B63" s="54" t="str">
        <x:v>한동희</x:v>
      </x:c>
      <x:c r="C63" s="54" t="str">
        <x:v>LOT</x:v>
      </x:c>
      <x:c r="D63" s="54" t="str">
        <x:v>R</x:v>
      </x:c>
      <x:c r="E63" s="93" t="n">
        <x:v>1208</x:v>
      </x:c>
      <x:c r="F63" s="96" t="n">
        <x:v>2.678168</x:v>
      </x:c>
      <x:c r="G63" s="96" t="n">
        <x:v>1.156366</x:v>
      </x:c>
      <x:c r="H63" s="99" t="n">
        <x:v>0.63208</x:v>
      </x:c>
      <x:c r="I63" s="102" t="n">
        <x:v>5.616716</x:v>
      </x:c>
    </x:row>
    <x:row r="64">
      <x:c r="A64" s="54" t="n">
        <x:v>60</x:v>
      </x:c>
      <x:c r="B64" s="54" t="str">
        <x:v>천성호</x:v>
      </x:c>
      <x:c r="C64" s="54" t="str">
        <x:v>LG</x:v>
      </x:c>
      <x:c r="D64" s="54" t="str">
        <x:v>L</x:v>
      </x:c>
      <x:c r="E64" s="93" t="n">
        <x:v>837</x:v>
      </x:c>
      <x:c r="F64" s="96" t="n">
        <x:v>4.61318</x:v>
      </x:c>
      <x:c r="G64" s="96" t="n">
        <x:v>1.120051</x:v>
      </x:c>
      <x:c r="H64" s="99" t="n">
        <x:v>0.62579</x:v>
      </x:c>
      <x:c r="I64" s="102" t="n">
        <x:v>5.27226</x:v>
      </x:c>
    </x:row>
    <x:row r="65">
      <x:c r="A65" s="54" t="n">
        <x:v>61</x:v>
      </x:c>
      <x:c r="B65" s="54" t="str">
        <x:v>오태곤</x:v>
      </x:c>
      <x:c r="C65" s="54" t="str">
        <x:v>SSG</x:v>
      </x:c>
      <x:c r="D65" s="54" t="str">
        <x:v>R</x:v>
      </x:c>
      <x:c r="E65" s="93" t="n">
        <x:v>990</x:v>
      </x:c>
      <x:c r="F65" s="96" t="n">
        <x:v>3.636255</x:v>
      </x:c>
      <x:c r="G65" s="96" t="n">
        <x:v>1.106477</x:v>
      </x:c>
      <x:c r="H65" s="99" t="n">
        <x:v>0.6195</x:v>
      </x:c>
      <x:c r="I65" s="102" t="n">
        <x:v>5.798349</x:v>
      </x:c>
    </x:row>
    <x:row r="66">
      <x:c r="A66" s="54" t="n">
        <x:v>62</x:v>
      </x:c>
      <x:c r="B66" s="54" t="str">
        <x:v>홍창기</x:v>
      </x:c>
      <x:c r="C66" s="54" t="str">
        <x:v>LG</x:v>
      </x:c>
      <x:c r="D66" s="54" t="str">
        <x:v>L</x:v>
      </x:c>
      <x:c r="E66" s="93" t="n">
        <x:v>2053</x:v>
      </x:c>
      <x:c r="F66" s="96" t="n">
        <x:v>-13.330882</x:v>
      </x:c>
      <x:c r="G66" s="96" t="n">
        <x:v>1.079838</x:v>
      </x:c>
      <x:c r="H66" s="99" t="n">
        <x:v>0.61321</x:v>
      </x:c>
      <x:c r="I66" s="102" t="n">
        <x:v>7.625226</x:v>
      </x:c>
    </x:row>
    <x:row r="67">
      <x:c r="A67" s="54" t="n">
        <x:v>63</x:v>
      </x:c>
      <x:c r="B67" s="54" t="str">
        <x:v>박시원</x:v>
      </x:c>
      <x:c r="C67" s="54" t="str">
        <x:v>NC</x:v>
      </x:c>
      <x:c r="D67" s="54" t="str">
        <x:v>L</x:v>
      </x:c>
      <x:c r="E67" s="93" t="n">
        <x:v>462</x:v>
      </x:c>
      <x:c r="F67" s="96" t="n">
        <x:v>3.165207</x:v>
      </x:c>
      <x:c r="G67" s="96" t="n">
        <x:v>1.052309</x:v>
      </x:c>
      <x:c r="H67" s="99" t="n">
        <x:v>0.60692</x:v>
      </x:c>
      <x:c r="I67" s="102" t="n">
        <x:v>6.350147</x:v>
      </x:c>
    </x:row>
    <x:row r="68">
      <x:c r="A68" s="54" t="n">
        <x:v>64</x:v>
      </x:c>
      <x:c r="B68" s="54" t="str">
        <x:v>전준우</x:v>
      </x:c>
      <x:c r="C68" s="54" t="str">
        <x:v>LOT</x:v>
      </x:c>
      <x:c r="D68" s="54" t="str">
        <x:v>R</x:v>
      </x:c>
      <x:c r="E68" s="93" t="n">
        <x:v>740</x:v>
      </x:c>
      <x:c r="F68" s="96" t="n">
        <x:v>3.20472</x:v>
      </x:c>
      <x:c r="G68" s="96" t="n">
        <x:v>0.989579</x:v>
      </x:c>
      <x:c r="H68" s="99" t="n">
        <x:v>0.60063</x:v>
      </x:c>
      <x:c r="I68" s="102" t="n">
        <x:v>5.491108</x:v>
      </x:c>
    </x:row>
    <x:row r="69">
      <x:c r="A69" s="54" t="n">
        <x:v>65</x:v>
      </x:c>
      <x:c r="B69" s="54" t="str">
        <x:v>데이비슨</x:v>
      </x:c>
      <x:c r="C69" s="54" t="str">
        <x:v>NC · KIW</x:v>
      </x:c>
      <x:c r="D69" s="54" t="str">
        <x:v>R</x:v>
      </x:c>
      <x:c r="E69" s="93" t="n">
        <x:v>1670</x:v>
      </x:c>
      <x:c r="F69" s="96" t="n">
        <x:v>7.632079</x:v>
      </x:c>
      <x:c r="G69" s="96" t="n">
        <x:v>0.949147</x:v>
      </x:c>
      <x:c r="H69" s="99" t="n">
        <x:v>0.59434</x:v>
      </x:c>
      <x:c r="I69" s="102" t="n">
        <x:v>6.120156</x:v>
      </x:c>
    </x:row>
    <x:row r="70">
      <x:c r="A70" s="54" t="n">
        <x:v>66</x:v>
      </x:c>
      <x:c r="B70" s="54" t="str">
        <x:v>안현민</x:v>
      </x:c>
      <x:c r="C70" s="54" t="str">
        <x:v>KT</x:v>
      </x:c>
      <x:c r="D70" s="54" t="str">
        <x:v>R</x:v>
      </x:c>
      <x:c r="E70" s="93" t="n">
        <x:v>1233</x:v>
      </x:c>
      <x:c r="F70" s="96" t="n">
        <x:v>-10.573461</x:v>
      </x:c>
      <x:c r="G70" s="96" t="n">
        <x:v>0.949073</x:v>
      </x:c>
      <x:c r="H70" s="99" t="n">
        <x:v>0.58805</x:v>
      </x:c>
      <x:c r="I70" s="102" t="n">
        <x:v>7.884489</x:v>
      </x:c>
    </x:row>
    <x:row r="71">
      <x:c r="A71" s="54" t="n">
        <x:v>67</x:v>
      </x:c>
      <x:c r="B71" s="54" t="str">
        <x:v>박찬혁</x:v>
      </x:c>
      <x:c r="C71" s="54" t="str">
        <x:v>KIW</x:v>
      </x:c>
      <x:c r="D71" s="54" t="str">
        <x:v>R</x:v>
      </x:c>
      <x:c r="E71" s="93" t="n">
        <x:v>1054</x:v>
      </x:c>
      <x:c r="F71" s="96" t="n">
        <x:v>-0.134081</x:v>
      </x:c>
      <x:c r="G71" s="96" t="n">
        <x:v>0.931555</x:v>
      </x:c>
      <x:c r="H71" s="99" t="n">
        <x:v>0.58176</x:v>
      </x:c>
      <x:c r="I71" s="102" t="n">
        <x:v>6.062001</x:v>
      </x:c>
    </x:row>
    <x:row r="72">
      <x:c r="A72" s="54" t="n">
        <x:v>68</x:v>
      </x:c>
      <x:c r="B72" s="54" t="str">
        <x:v>안상현</x:v>
      </x:c>
      <x:c r="C72" s="54" t="str">
        <x:v>SSG</x:v>
      </x:c>
      <x:c r="D72" s="54" t="str">
        <x:v>R</x:v>
      </x:c>
      <x:c r="E72" s="93" t="n">
        <x:v>803</x:v>
      </x:c>
      <x:c r="F72" s="96" t="n">
        <x:v>0.825429</x:v>
      </x:c>
      <x:c r="G72" s="96" t="n">
        <x:v>0.914549</x:v>
      </x:c>
      <x:c r="H72" s="99" t="n">
        <x:v>0.5754699999999999</x:v>
      </x:c>
      <x:c r="I72" s="102" t="n">
        <x:v>6.181593</x:v>
      </x:c>
    </x:row>
    <x:row r="73">
      <x:c r="A73" s="54" t="n">
        <x:v>69</x:v>
      </x:c>
      <x:c r="B73" s="54" t="str">
        <x:v>박정우</x:v>
      </x:c>
      <x:c r="C73" s="54" t="str">
        <x:v>KIA</x:v>
      </x:c>
      <x:c r="D73" s="54" t="str">
        <x:v>L</x:v>
      </x:c>
      <x:c r="E73" s="93" t="n">
        <x:v>322</x:v>
      </x:c>
      <x:c r="F73" s="96" t="n">
        <x:v>-3.037283</x:v>
      </x:c>
      <x:c r="G73" s="96" t="n">
        <x:v>0.912819</x:v>
      </x:c>
      <x:c r="H73" s="99" t="n">
        <x:v>0.56918</x:v>
      </x:c>
      <x:c r="I73" s="102" t="n">
        <x:v>7.028081</x:v>
      </x:c>
    </x:row>
    <x:row r="74">
      <x:c r="A74" s="54" t="n">
        <x:v>70</x:v>
      </x:c>
      <x:c r="B74" s="54" t="str">
        <x:v>안재석</x:v>
      </x:c>
      <x:c r="C74" s="54" t="str">
        <x:v>DOO</x:v>
      </x:c>
      <x:c r="D74" s="54" t="str">
        <x:v>L</x:v>
      </x:c>
      <x:c r="E74" s="93" t="n">
        <x:v>1289</x:v>
      </x:c>
      <x:c r="F74" s="96" t="n">
        <x:v>6.33161</x:v>
      </x:c>
      <x:c r="G74" s="96" t="n">
        <x:v>0.90272</x:v>
      </x:c>
      <x:c r="H74" s="99" t="n">
        <x:v>0.56289</x:v>
      </x:c>
      <x:c r="I74" s="102" t="n">
        <x:v>5.442752</x:v>
      </x:c>
    </x:row>
    <x:row r="75">
      <x:c r="A75" s="54" t="n">
        <x:v>71</x:v>
      </x:c>
      <x:c r="B75" s="54" t="str">
        <x:v>최원준</x:v>
      </x:c>
      <x:c r="C75" s="54" t="str">
        <x:v>KT</x:v>
      </x:c>
      <x:c r="D75" s="54" t="str">
        <x:v>L</x:v>
      </x:c>
      <x:c r="E75" s="93" t="n">
        <x:v>1970</x:v>
      </x:c>
      <x:c r="F75" s="96" t="n">
        <x:v>0.541081</x:v>
      </x:c>
      <x:c r="G75" s="96" t="n">
        <x:v>0.900643</x:v>
      </x:c>
      <x:c r="H75" s="99" t="n">
        <x:v>0.5566</x:v>
      </x:c>
      <x:c r="I75" s="102" t="n">
        <x:v>6.167982</x:v>
      </x:c>
    </x:row>
    <x:row r="76">
      <x:c r="A76" s="54" t="n">
        <x:v>72</x:v>
      </x:c>
      <x:c r="B76" s="54" t="str">
        <x:v>정수빈</x:v>
      </x:c>
      <x:c r="C76" s="54" t="str">
        <x:v>DOO</x:v>
      </x:c>
      <x:c r="D76" s="54" t="str">
        <x:v>L</x:v>
      </x:c>
      <x:c r="E76" s="93" t="n">
        <x:v>1781</x:v>
      </x:c>
      <x:c r="F76" s="96" t="n">
        <x:v>-0.142625</x:v>
      </x:c>
      <x:c r="G76" s="96" t="n">
        <x:v>0.778492</x:v>
      </x:c>
      <x:c r="H76" s="99" t="n">
        <x:v>0.55031</x:v>
      </x:c>
      <x:c r="I76" s="102" t="n">
        <x:v>6.453737</x:v>
      </x:c>
    </x:row>
    <x:row r="77">
      <x:c r="A77" s="54" t="n">
        <x:v>73</x:v>
      </x:c>
      <x:c r="B77" s="54" t="str">
        <x:v>류현인</x:v>
      </x:c>
      <x:c r="C77" s="54" t="str">
        <x:v>KT</x:v>
      </x:c>
      <x:c r="D77" s="54" t="str">
        <x:v>L</x:v>
      </x:c>
      <x:c r="E77" s="93" t="n">
        <x:v>663</x:v>
      </x:c>
      <x:c r="F77" s="96" t="n">
        <x:v>3.399425</x:v>
      </x:c>
      <x:c r="G77" s="96" t="n">
        <x:v>0.740316</x:v>
      </x:c>
      <x:c r="H77" s="99" t="n">
        <x:v>0.54403</x:v>
      </x:c>
      <x:c r="I77" s="102" t="n">
        <x:v>6.644702</x:v>
      </x:c>
    </x:row>
    <x:row r="78">
      <x:c r="A78" s="54" t="n">
        <x:v>74</x:v>
      </x:c>
      <x:c r="B78" s="54" t="str">
        <x:v>황성빈</x:v>
      </x:c>
      <x:c r="C78" s="54" t="str">
        <x:v>LOT</x:v>
      </x:c>
      <x:c r="D78" s="54" t="str">
        <x:v>L</x:v>
      </x:c>
      <x:c r="E78" s="93" t="n">
        <x:v>1470</x:v>
      </x:c>
      <x:c r="F78" s="96" t="n">
        <x:v>5.617799</x:v>
      </x:c>
      <x:c r="G78" s="96" t="n">
        <x:v>0.736824</x:v>
      </x:c>
      <x:c r="H78" s="99" t="n">
        <x:v>0.53774</x:v>
      </x:c>
      <x:c r="I78" s="102" t="n">
        <x:v>5.586444</x:v>
      </x:c>
    </x:row>
    <x:row r="79">
      <x:c r="A79" s="54" t="n">
        <x:v>75</x:v>
      </x:c>
      <x:c r="B79" s="54" t="str">
        <x:v>허인서</x:v>
      </x:c>
      <x:c r="C79" s="54" t="str">
        <x:v>HAN</x:v>
      </x:c>
      <x:c r="D79" s="54" t="str">
        <x:v>R</x:v>
      </x:c>
      <x:c r="E79" s="93" t="n">
        <x:v>1415</x:v>
      </x:c>
      <x:c r="F79" s="96" t="n">
        <x:v>4.602729</x:v>
      </x:c>
      <x:c r="G79" s="96" t="n">
        <x:v>0.719575</x:v>
      </x:c>
      <x:c r="H79" s="99" t="n">
        <x:v>0.53145</x:v>
      </x:c>
      <x:c r="I79" s="102" t="n">
        <x:v>5.944965</x:v>
      </x:c>
    </x:row>
    <x:row r="80">
      <x:c r="A80" s="54" t="n">
        <x:v>76</x:v>
      </x:c>
      <x:c r="B80" s="54" t="str">
        <x:v>오재원</x:v>
      </x:c>
      <x:c r="C80" s="54" t="str">
        <x:v>HAN</x:v>
      </x:c>
      <x:c r="D80" s="54" t="str">
        <x:v>L</x:v>
      </x:c>
      <x:c r="E80" s="93" t="n">
        <x:v>623</x:v>
      </x:c>
      <x:c r="F80" s="96" t="n">
        <x:v>-0.084911</x:v>
      </x:c>
      <x:c r="G80" s="96" t="n">
        <x:v>0.66108</x:v>
      </x:c>
      <x:c r="H80" s="99" t="n">
        <x:v>0.52516</x:v>
      </x:c>
      <x:c r="I80" s="102" t="n">
        <x:v>5.93482</x:v>
      </x:c>
    </x:row>
    <x:row r="81">
      <x:c r="A81" s="54" t="n">
        <x:v>77</x:v>
      </x:c>
      <x:c r="B81" s="54" t="str">
        <x:v>나승엽</x:v>
      </x:c>
      <x:c r="C81" s="54" t="str">
        <x:v>LOT</x:v>
      </x:c>
      <x:c r="D81" s="54" t="str">
        <x:v>L</x:v>
      </x:c>
      <x:c r="E81" s="93" t="n">
        <x:v>1247</x:v>
      </x:c>
      <x:c r="F81" s="96" t="n">
        <x:v>-6.38048</x:v>
      </x:c>
      <x:c r="G81" s="96" t="n">
        <x:v>0.645295</x:v>
      </x:c>
      <x:c r="H81" s="99" t="n">
        <x:v>0.51887</x:v>
      </x:c>
      <x:c r="I81" s="102" t="n">
        <x:v>6.559062</x:v>
      </x:c>
    </x:row>
    <x:row r="82">
      <x:c r="A82" s="54" t="n">
        <x:v>78</x:v>
      </x:c>
      <x:c r="B82" s="54" t="str">
        <x:v>블레인</x:v>
      </x:c>
      <x:c r="C82" s="54" t="str">
        <x:v>NC</x:v>
      </x:c>
      <x:c r="D82" s="54" t="str">
        <x:v>R</x:v>
      </x:c>
      <x:c r="E82" s="93" t="n">
        <x:v>541</x:v>
      </x:c>
      <x:c r="F82" s="96" t="n">
        <x:v>1.231811</x:v>
      </x:c>
      <x:c r="G82" s="96" t="n">
        <x:v>0.503615</x:v>
      </x:c>
      <x:c r="H82" s="99" t="n">
        <x:v>0.51258</x:v>
      </x:c>
      <x:c r="I82" s="102" t="n">
        <x:v>5.956381</x:v>
      </x:c>
    </x:row>
    <x:row r="83">
      <x:c r="A83" s="54" t="n">
        <x:v>79</x:v>
      </x:c>
      <x:c r="B83" s="54" t="str">
        <x:v>하주석</x:v>
      </x:c>
      <x:c r="C83" s="54" t="str">
        <x:v>HAN · KIA</x:v>
      </x:c>
      <x:c r="D83" s="54" t="str">
        <x:v>L</x:v>
      </x:c>
      <x:c r="E83" s="93" t="n">
        <x:v>628</x:v>
      </x:c>
      <x:c r="F83" s="96" t="n">
        <x:v>12.64621</x:v>
      </x:c>
      <x:c r="G83" s="96" t="n">
        <x:v>0.47408</x:v>
      </x:c>
      <x:c r="H83" s="99" t="n">
        <x:v>0.50629</x:v>
      </x:c>
      <x:c r="I83" s="102" t="n">
        <x:v>6.006854</x:v>
      </x:c>
    </x:row>
    <x:row r="84">
      <x:c r="A84" s="54" t="n">
        <x:v>80</x:v>
      </x:c>
      <x:c r="B84" s="54" t="str">
        <x:v>박지훈</x:v>
      </x:c>
      <x:c r="C84" s="54" t="str">
        <x:v>DOO</x:v>
      </x:c>
      <x:c r="D84" s="54" t="str">
        <x:v>R</x:v>
      </x:c>
      <x:c r="E84" s="93" t="n">
        <x:v>1129</x:v>
      </x:c>
      <x:c r="F84" s="96" t="n">
        <x:v>-3.717698</x:v>
      </x:c>
      <x:c r="G84" s="96" t="n">
        <x:v>0.460243</x:v>
      </x:c>
      <x:c r="H84" s="99" t="n">
        <x:v>0.5</x:v>
      </x:c>
      <x:c r="I84" s="102" t="n">
        <x:v>6.927353</x:v>
      </x:c>
    </x:row>
    <x:row r="85">
      <x:c r="A85" s="54" t="n">
        <x:v>81</x:v>
      </x:c>
      <x:c r="B85" s="54" t="str">
        <x:v>추재현</x:v>
      </x:c>
      <x:c r="C85" s="54" t="str">
        <x:v>KIW</x:v>
      </x:c>
      <x:c r="D85" s="54" t="str">
        <x:v>L</x:v>
      </x:c>
      <x:c r="E85" s="93" t="n">
        <x:v>919</x:v>
      </x:c>
      <x:c r="F85" s="96" t="n">
        <x:v>0.04788</x:v>
      </x:c>
      <x:c r="G85" s="96" t="n">
        <x:v>0.453942</x:v>
      </x:c>
      <x:c r="H85" s="99" t="n">
        <x:v>0.49371000000000004</x:v>
      </x:c>
      <x:c r="I85" s="102" t="n">
        <x:v>6.51769</x:v>
      </x:c>
    </x:row>
    <x:row r="86">
      <x:c r="A86" s="54" t="n">
        <x:v>82</x:v>
      </x:c>
      <x:c r="B86" s="54" t="str">
        <x:v>여동욱</x:v>
      </x:c>
      <x:c r="C86" s="54" t="str">
        <x:v>KIW</x:v>
      </x:c>
      <x:c r="D86" s="54" t="str">
        <x:v>R</x:v>
      </x:c>
      <x:c r="E86" s="93" t="n">
        <x:v>616</x:v>
      </x:c>
      <x:c r="F86" s="96" t="n">
        <x:v>-7.738317</x:v>
      </x:c>
      <x:c r="G86" s="96" t="n">
        <x:v>0.437783</x:v>
      </x:c>
      <x:c r="H86" s="99" t="n">
        <x:v>0.48741999999999996</x:v>
      </x:c>
      <x:c r="I86" s="102" t="n">
        <x:v>6.209473</x:v>
      </x:c>
    </x:row>
    <x:row r="87">
      <x:c r="A87" s="54" t="n">
        <x:v>83</x:v>
      </x:c>
      <x:c r="B87" s="54" t="str">
        <x:v>구본혁</x:v>
      </x:c>
      <x:c r="C87" s="54" t="str">
        <x:v>LG</x:v>
      </x:c>
      <x:c r="D87" s="54" t="str">
        <x:v>R</x:v>
      </x:c>
      <x:c r="E87" s="93" t="n">
        <x:v>1079</x:v>
      </x:c>
      <x:c r="F87" s="96" t="n">
        <x:v>3.407832</x:v>
      </x:c>
      <x:c r="G87" s="96" t="n">
        <x:v>0.352649</x:v>
      </x:c>
      <x:c r="H87" s="99" t="n">
        <x:v>0.48113</x:v>
      </x:c>
      <x:c r="I87" s="102" t="n">
        <x:v>6.173968</x:v>
      </x:c>
    </x:row>
    <x:row r="88">
      <x:c r="A88" s="54" t="n">
        <x:v>84</x:v>
      </x:c>
      <x:c r="B88" s="54" t="str">
        <x:v>이영빈</x:v>
      </x:c>
      <x:c r="C88" s="54" t="str">
        <x:v>LG</x:v>
      </x:c>
      <x:c r="D88" s="54" t="str">
        <x:v>L</x:v>
      </x:c>
      <x:c r="E88" s="93" t="n">
        <x:v>351</x:v>
      </x:c>
      <x:c r="F88" s="96" t="n">
        <x:v>4.375883</x:v>
      </x:c>
      <x:c r="G88" s="96" t="n">
        <x:v>0.351182</x:v>
      </x:c>
      <x:c r="H88" s="99" t="n">
        <x:v>0.47484000000000004</x:v>
      </x:c>
      <x:c r="I88" s="102" t="n">
        <x:v>4.982071</x:v>
      </x:c>
    </x:row>
    <x:row r="89">
      <x:c r="A89" s="54" t="n">
        <x:v>85</x:v>
      </x:c>
      <x:c r="B89" s="54" t="str">
        <x:v>이재현</x:v>
      </x:c>
      <x:c r="C89" s="54" t="str">
        <x:v>SAM</x:v>
      </x:c>
      <x:c r="D89" s="54" t="str">
        <x:v>R</x:v>
      </x:c>
      <x:c r="E89" s="93" t="n">
        <x:v>997</x:v>
      </x:c>
      <x:c r="F89" s="96" t="n">
        <x:v>-8.593883</x:v>
      </x:c>
      <x:c r="G89" s="96" t="n">
        <x:v>0.344452</x:v>
      </x:c>
      <x:c r="H89" s="99" t="n">
        <x:v>0.46854999999999997</x:v>
      </x:c>
      <x:c r="I89" s="102" t="n">
        <x:v>7.310008</x:v>
      </x:c>
    </x:row>
    <x:row r="90">
      <x:c r="A90" s="54" t="n">
        <x:v>86</x:v>
      </x:c>
      <x:c r="B90" s="54" t="str">
        <x:v>장성우</x:v>
      </x:c>
      <x:c r="C90" s="54" t="str">
        <x:v>KT</x:v>
      </x:c>
      <x:c r="D90" s="54" t="str">
        <x:v>R</x:v>
      </x:c>
      <x:c r="E90" s="93" t="n">
        <x:v>1008</x:v>
      </x:c>
      <x:c r="F90" s="96" t="n">
        <x:v>-15.51113</x:v>
      </x:c>
      <x:c r="G90" s="96" t="n">
        <x:v>0.329321</x:v>
      </x:c>
      <x:c r="H90" s="99" t="n">
        <x:v>0.46226</x:v>
      </x:c>
      <x:c r="I90" s="102" t="n">
        <x:v>7.147352</x:v>
      </x:c>
    </x:row>
    <x:row r="91">
      <x:c r="A91" s="54" t="n">
        <x:v>87</x:v>
      </x:c>
      <x:c r="B91" s="54" t="str">
        <x:v>강승호</x:v>
      </x:c>
      <x:c r="C91" s="54" t="str">
        <x:v>DOO</x:v>
      </x:c>
      <x:c r="D91" s="54" t="str">
        <x:v>R</x:v>
      </x:c>
      <x:c r="E91" s="93" t="n">
        <x:v>818</x:v>
      </x:c>
      <x:c r="F91" s="96" t="n">
        <x:v>3.159555</x:v>
      </x:c>
      <x:c r="G91" s="96" t="n">
        <x:v>0.274345</x:v>
      </x:c>
      <x:c r="H91" s="99" t="n">
        <x:v>0.45597</x:v>
      </x:c>
      <x:c r="I91" s="102" t="n">
        <x:v>5.53748</x:v>
      </x:c>
    </x:row>
    <x:row r="92">
      <x:c r="A92" s="54" t="n">
        <x:v>88</x:v>
      </x:c>
      <x:c r="B92" s="54" t="str">
        <x:v>전민재</x:v>
      </x:c>
      <x:c r="C92" s="54" t="str">
        <x:v>LOT</x:v>
      </x:c>
      <x:c r="D92" s="54" t="str">
        <x:v>R</x:v>
      </x:c>
      <x:c r="E92" s="93" t="n">
        <x:v>1484</x:v>
      </x:c>
      <x:c r="F92" s="96" t="n">
        <x:v>4.976249</x:v>
      </x:c>
      <x:c r="G92" s="96" t="n">
        <x:v>0.229085</x:v>
      </x:c>
      <x:c r="H92" s="99" t="n">
        <x:v>0.44969000000000003</x:v>
      </x:c>
      <x:c r="I92" s="102" t="n">
        <x:v>5.901555</x:v>
      </x:c>
    </x:row>
    <x:row r="93">
      <x:c r="A93" s="54" t="n">
        <x:v>89</x:v>
      </x:c>
      <x:c r="B93" s="54" t="str">
        <x:v>오스틴</x:v>
      </x:c>
      <x:c r="C93" s="54" t="str">
        <x:v>LG</x:v>
      </x:c>
      <x:c r="D93" s="54" t="str">
        <x:v>R</x:v>
      </x:c>
      <x:c r="E93" s="93" t="n">
        <x:v>2008</x:v>
      </x:c>
      <x:c r="F93" s="96" t="n">
        <x:v>-1.582284</x:v>
      </x:c>
      <x:c r="G93" s="96" t="n">
        <x:v>0.113112</x:v>
      </x:c>
      <x:c r="H93" s="99" t="n">
        <x:v>0.4434</x:v>
      </x:c>
      <x:c r="I93" s="102" t="n">
        <x:v>6.639294</x:v>
      </x:c>
    </x:row>
    <x:row r="94">
      <x:c r="A94" s="54" t="n">
        <x:v>90</x:v>
      </x:c>
      <x:c r="B94" s="54" t="str">
        <x:v>권동진</x:v>
      </x:c>
      <x:c r="C94" s="54" t="str">
        <x:v>KT</x:v>
      </x:c>
      <x:c r="D94" s="54" t="str">
        <x:v>L</x:v>
      </x:c>
      <x:c r="E94" s="93" t="n">
        <x:v>894</x:v>
      </x:c>
      <x:c r="F94" s="96" t="n">
        <x:v>-0.99639</x:v>
      </x:c>
      <x:c r="G94" s="96" t="n">
        <x:v>0.075878</x:v>
      </x:c>
      <x:c r="H94" s="99" t="n">
        <x:v>0.43711</x:v>
      </x:c>
      <x:c r="I94" s="102" t="n">
        <x:v>6.836782</x:v>
      </x:c>
    </x:row>
    <x:row r="95">
      <x:c r="A95" s="54" t="n">
        <x:v>91</x:v>
      </x:c>
      <x:c r="B95" s="54" t="str">
        <x:v>강민호</x:v>
      </x:c>
      <x:c r="C95" s="54" t="str">
        <x:v>SAM</x:v>
      </x:c>
      <x:c r="D95" s="54" t="str">
        <x:v>R</x:v>
      </x:c>
      <x:c r="E95" s="93" t="n">
        <x:v>1099</x:v>
      </x:c>
      <x:c r="F95" s="96" t="n">
        <x:v>-5.111516</x:v>
      </x:c>
      <x:c r="G95" s="96" t="n">
        <x:v>0.054999</x:v>
      </x:c>
      <x:c r="H95" s="99" t="n">
        <x:v>0.43082</x:v>
      </x:c>
      <x:c r="I95" s="102" t="n">
        <x:v>6.498016</x:v>
      </x:c>
    </x:row>
    <x:row r="96">
      <x:c r="A96" s="54" t="n">
        <x:v>92</x:v>
      </x:c>
      <x:c r="B96" s="54" t="str">
        <x:v>한준수</x:v>
      </x:c>
      <x:c r="C96" s="54" t="str">
        <x:v>KIA</x:v>
      </x:c>
      <x:c r="D96" s="54" t="str">
        <x:v>L</x:v>
      </x:c>
      <x:c r="E96" s="93" t="n">
        <x:v>1349</x:v>
      </x:c>
      <x:c r="F96" s="96" t="n">
        <x:v>-7.554249</x:v>
      </x:c>
      <x:c r="G96" s="96" t="n">
        <x:v>0.001558</x:v>
      </x:c>
      <x:c r="H96" s="99" t="n">
        <x:v>0.42453</x:v>
      </x:c>
      <x:c r="I96" s="102" t="n">
        <x:v>7.330005</x:v>
      </x:c>
    </x:row>
    <x:row r="97">
      <x:c r="A97" s="54" t="n">
        <x:v>93</x:v>
      </x:c>
      <x:c r="B97" s="54" t="str">
        <x:v>고명준</x:v>
      </x:c>
      <x:c r="C97" s="54" t="str">
        <x:v>SSG</x:v>
      </x:c>
      <x:c r="D97" s="54" t="str">
        <x:v>R</x:v>
      </x:c>
      <x:c r="E97" s="93" t="n">
        <x:v>585</x:v>
      </x:c>
      <x:c r="F97" s="96" t="n">
        <x:v>6.129953</x:v>
      </x:c>
      <x:c r="G97" s="96" t="n">
        <x:v>-0.000592</x:v>
      </x:c>
      <x:c r="H97" s="99" t="n">
        <x:v>0.41824</x:v>
      </x:c>
      <x:c r="I97" s="102" t="n">
        <x:v>4.510405</x:v>
      </x:c>
    </x:row>
    <x:row r="98">
      <x:c r="A98" s="54" t="n">
        <x:v>94</x:v>
      </x:c>
      <x:c r="B98" s="54" t="str">
        <x:v>김성욱</x:v>
      </x:c>
      <x:c r="C98" s="54" t="str">
        <x:v>SSG</x:v>
      </x:c>
      <x:c r="D98" s="54" t="str">
        <x:v>R</x:v>
      </x:c>
      <x:c r="E98" s="93" t="n">
        <x:v>587</x:v>
      </x:c>
      <x:c r="F98" s="96" t="n">
        <x:v>-4.904183</x:v>
      </x:c>
      <x:c r="G98" s="96" t="n">
        <x:v>-0.099999</x:v>
      </x:c>
      <x:c r="H98" s="99" t="n">
        <x:v>0.41195</x:v>
      </x:c>
      <x:c r="I98" s="102" t="n">
        <x:v>7.303452</x:v>
      </x:c>
    </x:row>
    <x:row r="99">
      <x:c r="A99" s="54" t="n">
        <x:v>95</x:v>
      </x:c>
      <x:c r="B99" s="54" t="str">
        <x:v>김민석</x:v>
      </x:c>
      <x:c r="C99" s="54" t="str">
        <x:v>DOO</x:v>
      </x:c>
      <x:c r="D99" s="54" t="str">
        <x:v>L</x:v>
      </x:c>
      <x:c r="E99" s="93" t="n">
        <x:v>1658</x:v>
      </x:c>
      <x:c r="F99" s="96" t="n">
        <x:v>-3.534675</x:v>
      </x:c>
      <x:c r="G99" s="96" t="n">
        <x:v>-0.193289</x:v>
      </x:c>
      <x:c r="H99" s="99" t="n">
        <x:v>0.40566</x:v>
      </x:c>
      <x:c r="I99" s="102" t="n">
        <x:v>6.130577</x:v>
      </x:c>
    </x:row>
    <x:row r="100">
      <x:c r="A100" s="54" t="n">
        <x:v>96</x:v>
      </x:c>
      <x:c r="B100" s="54" t="str">
        <x:v>김태연</x:v>
      </x:c>
      <x:c r="C100" s="54" t="str">
        <x:v>HAN</x:v>
      </x:c>
      <x:c r="D100" s="54" t="str">
        <x:v>R</x:v>
      </x:c>
      <x:c r="E100" s="93" t="n">
        <x:v>1318</x:v>
      </x:c>
      <x:c r="F100" s="96" t="n">
        <x:v>1.371822</x:v>
      </x:c>
      <x:c r="G100" s="96" t="n">
        <x:v>-0.225004</x:v>
      </x:c>
      <x:c r="H100" s="99" t="n">
        <x:v>0.39937</x:v>
      </x:c>
      <x:c r="I100" s="102" t="n">
        <x:v>5.571571</x:v>
      </x:c>
    </x:row>
    <x:row r="101">
      <x:c r="A101" s="54" t="n">
        <x:v>97</x:v>
      </x:c>
      <x:c r="B101" s="54" t="str">
        <x:v>김선빈</x:v>
      </x:c>
      <x:c r="C101" s="54" t="str">
        <x:v>KIA</x:v>
      </x:c>
      <x:c r="D101" s="54" t="str">
        <x:v>R</x:v>
      </x:c>
      <x:c r="E101" s="93" t="n">
        <x:v>1825</x:v>
      </x:c>
      <x:c r="F101" s="96" t="n">
        <x:v>-7.716011</x:v>
      </x:c>
      <x:c r="G101" s="96" t="n">
        <x:v>-0.371151</x:v>
      </x:c>
      <x:c r="H101" s="99" t="n">
        <x:v>0.39308</x:v>
      </x:c>
      <x:c r="I101" s="102" t="n">
        <x:v>7.108532</x:v>
      </x:c>
    </x:row>
    <x:row r="102">
      <x:c r="A102" s="54" t="n">
        <x:v>98</x:v>
      </x:c>
      <x:c r="B102" s="54" t="str">
        <x:v>김영웅</x:v>
      </x:c>
      <x:c r="C102" s="54" t="str">
        <x:v>SAM</x:v>
      </x:c>
      <x:c r="D102" s="54" t="str">
        <x:v>L</x:v>
      </x:c>
      <x:c r="E102" s="93" t="n">
        <x:v>604</x:v>
      </x:c>
      <x:c r="F102" s="96" t="n">
        <x:v>6.163502</x:v>
      </x:c>
      <x:c r="G102" s="96" t="n">
        <x:v>-0.420933</x:v>
      </x:c>
      <x:c r="H102" s="99" t="n">
        <x:v>0.38679</x:v>
      </x:c>
      <x:c r="I102" s="102" t="n">
        <x:v>5.211158</x:v>
      </x:c>
    </x:row>
    <x:row r="103">
      <x:c r="A103" s="54" t="n">
        <x:v>99</x:v>
      </x:c>
      <x:c r="B103" s="54" t="str">
        <x:v>신재인</x:v>
      </x:c>
      <x:c r="C103" s="54" t="str">
        <x:v>NC</x:v>
      </x:c>
      <x:c r="D103" s="54" t="str">
        <x:v>R</x:v>
      </x:c>
      <x:c r="E103" s="93" t="n">
        <x:v>469</x:v>
      </x:c>
      <x:c r="F103" s="96" t="n">
        <x:v>-7.584355</x:v>
      </x:c>
      <x:c r="G103" s="96" t="n">
        <x:v>-0.451745</x:v>
      </x:c>
      <x:c r="H103" s="99" t="n">
        <x:v>0.38049999999999995</x:v>
      </x:c>
      <x:c r="I103" s="102" t="n">
        <x:v>6.174216</x:v>
      </x:c>
    </x:row>
    <x:row r="104">
      <x:c r="A104" s="54" t="n">
        <x:v>100</x:v>
      </x:c>
      <x:c r="B104" s="54" t="str">
        <x:v>한승택</x:v>
      </x:c>
      <x:c r="C104" s="54" t="str">
        <x:v>KT</x:v>
      </x:c>
      <x:c r="D104" s="54" t="str">
        <x:v>R</x:v>
      </x:c>
      <x:c r="E104" s="93" t="n">
        <x:v>1176</x:v>
      </x:c>
      <x:c r="F104" s="96" t="n">
        <x:v>-3.447327</x:v>
      </x:c>
      <x:c r="G104" s="96" t="n">
        <x:v>-0.573662</x:v>
      </x:c>
      <x:c r="H104" s="99" t="n">
        <x:v>0.37421</x:v>
      </x:c>
      <x:c r="I104" s="102" t="n">
        <x:v>6.478805</x:v>
      </x:c>
    </x:row>
    <x:row r="105">
      <x:c r="A105" s="54" t="n">
        <x:v>101</x:v>
      </x:c>
      <x:c r="B105" s="54" t="str">
        <x:v>레이예스</x:v>
      </x:c>
      <x:c r="C105" s="54" t="str">
        <x:v>LOT</x:v>
      </x:c>
      <x:c r="D105" s="54" t="str">
        <x:v>L</x:v>
      </x:c>
      <x:c r="E105" s="93" t="n">
        <x:v>1870</x:v>
      </x:c>
      <x:c r="F105" s="96" t="n">
        <x:v>10.20813</x:v>
      </x:c>
      <x:c r="G105" s="96" t="n">
        <x:v>-0.588692</x:v>
      </x:c>
      <x:c r="H105" s="99" t="n">
        <x:v>0.36792</x:v>
      </x:c>
      <x:c r="I105" s="102" t="n">
        <x:v>5.539883</x:v>
      </x:c>
    </x:row>
    <x:row r="106">
      <x:c r="A106" s="54" t="n">
        <x:v>102</x:v>
      </x:c>
      <x:c r="B106" s="54" t="str">
        <x:v>정준재</x:v>
      </x:c>
      <x:c r="C106" s="54" t="str">
        <x:v>SSG</x:v>
      </x:c>
      <x:c r="D106" s="54" t="str">
        <x:v>L</x:v>
      </x:c>
      <x:c r="E106" s="93" t="n">
        <x:v>1992</x:v>
      </x:c>
      <x:c r="F106" s="96" t="n">
        <x:v>-3.124312</x:v>
      </x:c>
      <x:c r="G106" s="96" t="n">
        <x:v>-0.622649</x:v>
      </x:c>
      <x:c r="H106" s="99" t="n">
        <x:v>0.36164</x:v>
      </x:c>
      <x:c r="I106" s="102" t="n">
        <x:v>6.338271</x:v>
      </x:c>
    </x:row>
    <x:row r="107">
      <x:c r="A107" s="54" t="n">
        <x:v>103</x:v>
      </x:c>
      <x:c r="B107" s="54" t="str">
        <x:v>김민혁</x:v>
      </x:c>
      <x:c r="C107" s="54" t="str">
        <x:v>KT</x:v>
      </x:c>
      <x:c r="D107" s="54" t="str">
        <x:v>L</x:v>
      </x:c>
      <x:c r="E107" s="93" t="n">
        <x:v>1306</x:v>
      </x:c>
      <x:c r="F107" s="96" t="n">
        <x:v>-2.453124</x:v>
      </x:c>
      <x:c r="G107" s="96" t="n">
        <x:v>-0.667818</x:v>
      </x:c>
      <x:c r="H107" s="99" t="n">
        <x:v>0.35534999999999994</x:v>
      </x:c>
      <x:c r="I107" s="102" t="n">
        <x:v>6.589016</x:v>
      </x:c>
    </x:row>
    <x:row r="108">
      <x:c r="A108" s="54" t="n">
        <x:v>104</x:v>
      </x:c>
      <x:c r="B108" s="54" t="str">
        <x:v>장준원</x:v>
      </x:c>
      <x:c r="C108" s="54" t="str">
        <x:v>KT</x:v>
      </x:c>
      <x:c r="D108" s="54" t="str">
        <x:v>R</x:v>
      </x:c>
      <x:c r="E108" s="93" t="n">
        <x:v>389</x:v>
      </x:c>
      <x:c r="F108" s="96" t="n">
        <x:v>-5.58327</x:v>
      </x:c>
      <x:c r="G108" s="96" t="n">
        <x:v>-0.772782</x:v>
      </x:c>
      <x:c r="H108" s="99" t="n">
        <x:v>0.34906</x:v>
      </x:c>
      <x:c r="I108" s="102" t="n">
        <x:v>5.961785</x:v>
      </x:c>
    </x:row>
    <x:row r="109">
      <x:c r="A109" s="54" t="n">
        <x:v>105</x:v>
      </x:c>
      <x:c r="B109" s="54" t="str">
        <x:v>박찬호</x:v>
      </x:c>
      <x:c r="C109" s="54" t="str">
        <x:v>DOO</x:v>
      </x:c>
      <x:c r="D109" s="54" t="str">
        <x:v>R</x:v>
      </x:c>
      <x:c r="E109" s="93" t="n">
        <x:v>1988</x:v>
      </x:c>
      <x:c r="F109" s="96" t="n">
        <x:v>-3.235687</x:v>
      </x:c>
      <x:c r="G109" s="96" t="n">
        <x:v>-0.869831</x:v>
      </x:c>
      <x:c r="H109" s="99" t="n">
        <x:v>0.34277</x:v>
      </x:c>
      <x:c r="I109" s="102" t="n">
        <x:v>6.395185</x:v>
      </x:c>
    </x:row>
    <x:row r="110">
      <x:c r="A110" s="54" t="n">
        <x:v>106</x:v>
      </x:c>
      <x:c r="B110" s="54" t="str">
        <x:v>이우성</x:v>
      </x:c>
      <x:c r="C110" s="54" t="str">
        <x:v>NC</x:v>
      </x:c>
      <x:c r="D110" s="54" t="str">
        <x:v>R</x:v>
      </x:c>
      <x:c r="E110" s="93" t="n">
        <x:v>1452</x:v>
      </x:c>
      <x:c r="F110" s="96" t="n">
        <x:v>-3.190727</x:v>
      </x:c>
      <x:c r="G110" s="96" t="n">
        <x:v>-0.888501</x:v>
      </x:c>
      <x:c r="H110" s="99" t="n">
        <x:v>0.33648000000000006</x:v>
      </x:c>
      <x:c r="I110" s="102" t="n">
        <x:v>5.104999</x:v>
      </x:c>
    </x:row>
    <x:row r="111">
      <x:c r="A111" s="54" t="n">
        <x:v>107</x:v>
      </x:c>
      <x:c r="B111" s="54" t="str">
        <x:v>어준서</x:v>
      </x:c>
      <x:c r="C111" s="54" t="str">
        <x:v>KIW</x:v>
      </x:c>
      <x:c r="D111" s="54" t="str">
        <x:v>L</x:v>
      </x:c>
      <x:c r="E111" s="93" t="n">
        <x:v>346</x:v>
      </x:c>
      <x:c r="F111" s="96" t="n">
        <x:v>-6.111262</x:v>
      </x:c>
      <x:c r="G111" s="96" t="n">
        <x:v>-0.905037</x:v>
      </x:c>
      <x:c r="H111" s="99" t="n">
        <x:v>0.33019</x:v>
      </x:c>
      <x:c r="I111" s="102" t="n">
        <x:v>7.471644</x:v>
      </x:c>
    </x:row>
    <x:row r="112">
      <x:c r="A112" s="54" t="n">
        <x:v>108</x:v>
      </x:c>
      <x:c r="B112" s="54" t="str">
        <x:v>임지열</x:v>
      </x:c>
      <x:c r="C112" s="54" t="str">
        <x:v>KIW</x:v>
      </x:c>
      <x:c r="D112" s="54" t="str">
        <x:v>R</x:v>
      </x:c>
      <x:c r="E112" s="93" t="n">
        <x:v>337</x:v>
      </x:c>
      <x:c r="F112" s="96" t="n">
        <x:v>-2.476332</x:v>
      </x:c>
      <x:c r="G112" s="96" t="n">
        <x:v>-0.911488</x:v>
      </x:c>
      <x:c r="H112" s="99" t="n">
        <x:v>0.3239</x:v>
      </x:c>
      <x:c r="I112" s="102" t="n">
        <x:v>6.487824</x:v>
      </x:c>
    </x:row>
    <x:row r="113">
      <x:c r="A113" s="54" t="n">
        <x:v>109</x:v>
      </x:c>
      <x:c r="B113" s="54" t="str">
        <x:v>이강민</x:v>
      </x:c>
      <x:c r="C113" s="54" t="str">
        <x:v>KT</x:v>
      </x:c>
      <x:c r="D113" s="54" t="str">
        <x:v>R</x:v>
      </x:c>
      <x:c r="E113" s="93" t="n">
        <x:v>616</x:v>
      </x:c>
      <x:c r="F113" s="96" t="n">
        <x:v>4.330042</x:v>
      </x:c>
      <x:c r="G113" s="96" t="n">
        <x:v>-1.129851</x:v>
      </x:c>
      <x:c r="H113" s="99" t="n">
        <x:v>0.31761</x:v>
      </x:c>
      <x:c r="I113" s="102" t="n">
        <x:v>6.240099</x:v>
      </x:c>
    </x:row>
    <x:row r="114">
      <x:c r="A114" s="54" t="n">
        <x:v>110</x:v>
      </x:c>
      <x:c r="B114" s="54" t="str">
        <x:v>정현창</x:v>
      </x:c>
      <x:c r="C114" s="54" t="str">
        <x:v>KIA</x:v>
      </x:c>
      <x:c r="D114" s="54" t="str">
        <x:v>L</x:v>
      </x:c>
      <x:c r="E114" s="93" t="n">
        <x:v>327</x:v>
      </x:c>
      <x:c r="F114" s="96" t="n">
        <x:v>3.264492</x:v>
      </x:c>
      <x:c r="G114" s="96" t="n">
        <x:v>-1.331001</x:v>
      </x:c>
      <x:c r="H114" s="99" t="n">
        <x:v>0.31132000000000004</x:v>
      </x:c>
      <x:c r="I114" s="102" t="n">
        <x:v>6.508421</x:v>
      </x:c>
    </x:row>
    <x:row r="115">
      <x:c r="A115" s="54" t="n">
        <x:v>111</x:v>
      </x:c>
      <x:c r="B115" s="54" t="str">
        <x:v>김한별</x:v>
      </x:c>
      <x:c r="C115" s="54" t="str">
        <x:v>NC</x:v>
      </x:c>
      <x:c r="D115" s="54" t="str">
        <x:v>R</x:v>
      </x:c>
      <x:c r="E115" s="93" t="n">
        <x:v>513</x:v>
      </x:c>
      <x:c r="F115" s="96" t="n">
        <x:v>-4.452993</x:v>
      </x:c>
      <x:c r="G115" s="96" t="n">
        <x:v>-1.403931</x:v>
      </x:c>
      <x:c r="H115" s="99" t="n">
        <x:v>0.30503</x:v>
      </x:c>
      <x:c r="I115" s="102" t="n">
        <x:v>7.535446</x:v>
      </x:c>
    </x:row>
    <x:row r="116">
      <x:c r="A116" s="54" t="n">
        <x:v>112</x:v>
      </x:c>
      <x:c r="B116" s="54" t="str">
        <x:v>박주홍</x:v>
      </x:c>
      <x:c r="C116" s="54" t="str">
        <x:v>KIW</x:v>
      </x:c>
      <x:c r="D116" s="54" t="str">
        <x:v>L</x:v>
      </x:c>
      <x:c r="E116" s="93" t="n">
        <x:v>736</x:v>
      </x:c>
      <x:c r="F116" s="96" t="n">
        <x:v>-5.73506</x:v>
      </x:c>
      <x:c r="G116" s="96" t="n">
        <x:v>-1.474386</x:v>
      </x:c>
      <x:c r="H116" s="99" t="n">
        <x:v>0.29874</x:v>
      </x:c>
      <x:c r="I116" s="102" t="n">
        <x:v>5.83365</x:v>
      </x:c>
    </x:row>
    <x:row r="117">
      <x:c r="A117" s="54" t="n">
        <x:v>113</x:v>
      </x:c>
      <x:c r="B117" s="54" t="str">
        <x:v>서건창</x:v>
      </x:c>
      <x:c r="C117" s="54" t="str">
        <x:v>KIW</x:v>
      </x:c>
      <x:c r="D117" s="54" t="str">
        <x:v>L</x:v>
      </x:c>
      <x:c r="E117" s="93" t="n">
        <x:v>1514</x:v>
      </x:c>
      <x:c r="F117" s="96" t="n">
        <x:v>-6.406538</x:v>
      </x:c>
      <x:c r="G117" s="96" t="n">
        <x:v>-1.572952</x:v>
      </x:c>
      <x:c r="H117" s="99" t="n">
        <x:v>0.29245</x:v>
      </x:c>
      <x:c r="I117" s="102" t="n">
        <x:v>6.711702</x:v>
      </x:c>
    </x:row>
    <x:row r="118">
      <x:c r="A118" s="54" t="n">
        <x:v>114</x:v>
      </x:c>
      <x:c r="B118" s="54" t="str">
        <x:v>김호령</x:v>
      </x:c>
      <x:c r="C118" s="54" t="str">
        <x:v>KIA</x:v>
      </x:c>
      <x:c r="D118" s="54" t="str">
        <x:v>R</x:v>
      </x:c>
      <x:c r="E118" s="93" t="n">
        <x:v>1801</x:v>
      </x:c>
      <x:c r="F118" s="96" t="n">
        <x:v>0.814052</x:v>
      </x:c>
      <x:c r="G118" s="96" t="n">
        <x:v>-1.614215</x:v>
      </x:c>
      <x:c r="H118" s="99" t="n">
        <x:v>0.28615999999999997</x:v>
      </x:c>
      <x:c r="I118" s="102" t="n">
        <x:v>5.226777</x:v>
      </x:c>
    </x:row>
    <x:row r="119">
      <x:c r="A119" s="54" t="n">
        <x:v>115</x:v>
      </x:c>
      <x:c r="B119" s="54" t="str">
        <x:v>천재환</x:v>
      </x:c>
      <x:c r="C119" s="54" t="str">
        <x:v>NC</x:v>
      </x:c>
      <x:c r="D119" s="54" t="str">
        <x:v>R</x:v>
      </x:c>
      <x:c r="E119" s="93" t="n">
        <x:v>892</x:v>
      </x:c>
      <x:c r="F119" s="96" t="n">
        <x:v>4.299496</x:v>
      </x:c>
      <x:c r="G119" s="96" t="n">
        <x:v>-1.627634</x:v>
      </x:c>
      <x:c r="H119" s="99" t="n">
        <x:v>0.27987</x:v>
      </x:c>
      <x:c r="I119" s="102" t="n">
        <x:v>5.50884</x:v>
      </x:c>
    </x:row>
    <x:row r="120">
      <x:c r="A120" s="54" t="n">
        <x:v>116</x:v>
      </x:c>
      <x:c r="B120" s="54" t="str">
        <x:v>이유찬</x:v>
      </x:c>
      <x:c r="C120" s="54" t="str">
        <x:v>DOO</x:v>
      </x:c>
      <x:c r="D120" s="54" t="str">
        <x:v>R</x:v>
      </x:c>
      <x:c r="E120" s="93" t="n">
        <x:v>502</x:v>
      </x:c>
      <x:c r="F120" s="96" t="n">
        <x:v>-0.223571</x:v>
      </x:c>
      <x:c r="G120" s="96" t="n">
        <x:v>-1.672822</x:v>
      </x:c>
      <x:c r="H120" s="99" t="n">
        <x:v>0.27358</x:v>
      </x:c>
      <x:c r="I120" s="102" t="n">
        <x:v>5.807938</x:v>
      </x:c>
    </x:row>
    <x:row r="121">
      <x:c r="A121" s="54" t="n">
        <x:v>117</x:v>
      </x:c>
      <x:c r="B121" s="54" t="str">
        <x:v>김웅빈</x:v>
      </x:c>
      <x:c r="C121" s="54" t="str">
        <x:v>KIW</x:v>
      </x:c>
      <x:c r="D121" s="54" t="str">
        <x:v>L</x:v>
      </x:c>
      <x:c r="E121" s="93" t="n">
        <x:v>1027</x:v>
      </x:c>
      <x:c r="F121" s="96" t="n">
        <x:v>-0.847553</x:v>
      </x:c>
      <x:c r="G121" s="96" t="n">
        <x:v>-1.695418</x:v>
      </x:c>
      <x:c r="H121" s="99" t="n">
        <x:v>0.2673</x:v>
      </x:c>
      <x:c r="I121" s="102" t="n">
        <x:v>6.297161</x:v>
      </x:c>
    </x:row>
    <x:row r="122">
      <x:c r="A122" s="54" t="n">
        <x:v>118</x:v>
      </x:c>
      <x:c r="B122" s="54" t="str">
        <x:v>박민</x:v>
      </x:c>
      <x:c r="C122" s="54" t="str">
        <x:v>KIA</x:v>
      </x:c>
      <x:c r="D122" s="54" t="str">
        <x:v>R</x:v>
      </x:c>
      <x:c r="E122" s="93" t="n">
        <x:v>701</x:v>
      </x:c>
      <x:c r="F122" s="96" t="n">
        <x:v>-1.527222</x:v>
      </x:c>
      <x:c r="G122" s="96" t="n">
        <x:v>-1.746902</x:v>
      </x:c>
      <x:c r="H122" s="99" t="n">
        <x:v>0.26100999999999996</x:v>
      </x:c>
      <x:c r="I122" s="102" t="n">
        <x:v>5.822911</x:v>
      </x:c>
    </x:row>
    <x:row r="123">
      <x:c r="A123" s="54" t="n">
        <x:v>119</x:v>
      </x:c>
      <x:c r="B123" s="54" t="str">
        <x:v>박재현</x:v>
      </x:c>
      <x:c r="C123" s="54" t="str">
        <x:v>KIA</x:v>
      </x:c>
      <x:c r="D123" s="54" t="str">
        <x:v>L</x:v>
      </x:c>
      <x:c r="E123" s="93" t="n">
        <x:v>1612</x:v>
      </x:c>
      <x:c r="F123" s="96" t="n">
        <x:v>10.263729</x:v>
      </x:c>
      <x:c r="G123" s="96" t="n">
        <x:v>-1.833796</x:v>
      </x:c>
      <x:c r="H123" s="99" t="n">
        <x:v>0.25472</x:v>
      </x:c>
      <x:c r="I123" s="102" t="n">
        <x:v>4.353627</x:v>
      </x:c>
    </x:row>
    <x:row r="124">
      <x:c r="A124" s="54" t="n">
        <x:v>120</x:v>
      </x:c>
      <x:c r="B124" s="54" t="str">
        <x:v>김건희</x:v>
      </x:c>
      <x:c r="C124" s="54" t="str">
        <x:v>KIW</x:v>
      </x:c>
      <x:c r="D124" s="54" t="str">
        <x:v>R</x:v>
      </x:c>
      <x:c r="E124" s="93" t="n">
        <x:v>1468</x:v>
      </x:c>
      <x:c r="F124" s="96" t="n">
        <x:v>3.468932</x:v>
      </x:c>
      <x:c r="G124" s="96" t="n">
        <x:v>-1.862751</x:v>
      </x:c>
      <x:c r="H124" s="99" t="n">
        <x:v>0.24843</x:v>
      </x:c>
      <x:c r="I124" s="102" t="n">
        <x:v>6.041642</x:v>
      </x:c>
    </x:row>
    <x:row r="125">
      <x:c r="A125" s="54" t="n">
        <x:v>121</x:v>
      </x:c>
      <x:c r="B125" s="54" t="str">
        <x:v>박준순</x:v>
      </x:c>
      <x:c r="C125" s="54" t="str">
        <x:v>DOO</x:v>
      </x:c>
      <x:c r="D125" s="54" t="str">
        <x:v>R</x:v>
      </x:c>
      <x:c r="E125" s="93" t="n">
        <x:v>1301</x:v>
      </x:c>
      <x:c r="F125" s="96" t="n">
        <x:v>11.475193</x:v>
      </x:c>
      <x:c r="G125" s="96" t="n">
        <x:v>-1.867856</x:v>
      </x:c>
      <x:c r="H125" s="99" t="n">
        <x:v>0.24214</x:v>
      </x:c>
      <x:c r="I125" s="102" t="n">
        <x:v>4.863814</x:v>
      </x:c>
    </x:row>
    <x:row r="126">
      <x:c r="A126" s="54" t="n">
        <x:v>122</x:v>
      </x:c>
      <x:c r="B126" s="54" t="str">
        <x:v>이진영</x:v>
      </x:c>
      <x:c r="C126" s="54" t="str">
        <x:v>HAN</x:v>
      </x:c>
      <x:c r="D126" s="54" t="str">
        <x:v>R</x:v>
      </x:c>
      <x:c r="E126" s="93" t="n">
        <x:v>440</x:v>
      </x:c>
      <x:c r="F126" s="96" t="n">
        <x:v>-4.884513</x:v>
      </x:c>
      <x:c r="G126" s="96" t="n">
        <x:v>-1.881908</x:v>
      </x:c>
      <x:c r="H126" s="99" t="n">
        <x:v>0.23585</x:v>
      </x:c>
      <x:c r="I126" s="102" t="n">
        <x:v>6.885144</x:v>
      </x:c>
    </x:row>
    <x:row r="127">
      <x:c r="A127" s="54" t="n">
        <x:v>123</x:v>
      </x:c>
      <x:c r="B127" s="54" t="str">
        <x:v>임병욱</x:v>
      </x:c>
      <x:c r="C127" s="54" t="str">
        <x:v>KIW</x:v>
      </x:c>
      <x:c r="D127" s="54" t="str">
        <x:v>L</x:v>
      </x:c>
      <x:c r="E127" s="93" t="n">
        <x:v>971</x:v>
      </x:c>
      <x:c r="F127" s="96" t="n">
        <x:v>9.853336</x:v>
      </x:c>
      <x:c r="G127" s="96" t="n">
        <x:v>-1.920984</x:v>
      </x:c>
      <x:c r="H127" s="99" t="n">
        <x:v>0.22956</x:v>
      </x:c>
      <x:c r="I127" s="102" t="n">
        <x:v>4.886705</x:v>
      </x:c>
    </x:row>
    <x:row r="128">
      <x:c r="A128" s="54" t="n">
        <x:v>124</x:v>
      </x:c>
      <x:c r="B128" s="54" t="str">
        <x:v>윤도현</x:v>
      </x:c>
      <x:c r="C128" s="54" t="str">
        <x:v>KIA</x:v>
      </x:c>
      <x:c r="D128" s="54" t="str">
        <x:v>R</x:v>
      </x:c>
      <x:c r="E128" s="93" t="n">
        <x:v>304</x:v>
      </x:c>
      <x:c r="F128" s="96" t="n">
        <x:v>12.632098</x:v>
      </x:c>
      <x:c r="G128" s="96" t="n">
        <x:v>-1.958669</x:v>
      </x:c>
      <x:c r="H128" s="99" t="n">
        <x:v>0.22327000000000002</x:v>
      </x:c>
      <x:c r="I128" s="102" t="n">
        <x:v>4.588863</x:v>
      </x:c>
    </x:row>
    <x:row r="129">
      <x:c r="A129" s="54" t="n">
        <x:v>125</x:v>
      </x:c>
      <x:c r="B129" s="54" t="str">
        <x:v>김지찬</x:v>
      </x:c>
      <x:c r="C129" s="54" t="str">
        <x:v>SAM</x:v>
      </x:c>
      <x:c r="D129" s="54" t="str">
        <x:v>L</x:v>
      </x:c>
      <x:c r="E129" s="93" t="n">
        <x:v>1735</x:v>
      </x:c>
      <x:c r="F129" s="96" t="n">
        <x:v>-3.525444</x:v>
      </x:c>
      <x:c r="G129" s="96" t="n">
        <x:v>-1.972726</x:v>
      </x:c>
      <x:c r="H129" s="99" t="n">
        <x:v>0.21698</x:v>
      </x:c>
      <x:c r="I129" s="102" t="n">
        <x:v>6.649914</x:v>
      </x:c>
    </x:row>
    <x:row r="130">
      <x:c r="A130" s="54" t="n">
        <x:v>126</x:v>
      </x:c>
      <x:c r="B130" s="54" t="str">
        <x:v>서호철</x:v>
      </x:c>
      <x:c r="C130" s="54" t="str">
        <x:v>NC</x:v>
      </x:c>
      <x:c r="D130" s="54" t="str">
        <x:v>R</x:v>
      </x:c>
      <x:c r="E130" s="93" t="n">
        <x:v>582</x:v>
      </x:c>
      <x:c r="F130" s="96" t="n">
        <x:v>5.983788</x:v>
      </x:c>
      <x:c r="G130" s="96" t="n">
        <x:v>-2.139365</x:v>
      </x:c>
      <x:c r="H130" s="99" t="n">
        <x:v>0.21069</x:v>
      </x:c>
      <x:c r="I130" s="102" t="n">
        <x:v>5.361192</x:v>
      </x:c>
    </x:row>
    <x:row r="131">
      <x:c r="A131" s="54" t="n">
        <x:v>127</x:v>
      </x:c>
      <x:c r="B131" s="54" t="str">
        <x:v>최주환</x:v>
      </x:c>
      <x:c r="C131" s="54" t="str">
        <x:v>KIW</x:v>
      </x:c>
      <x:c r="D131" s="54" t="str">
        <x:v>L</x:v>
      </x:c>
      <x:c r="E131" s="93" t="n">
        <x:v>1265</x:v>
      </x:c>
      <x:c r="F131" s="96" t="n">
        <x:v>-1.795591</x:v>
      </x:c>
      <x:c r="G131" s="96" t="n">
        <x:v>-2.222022</x:v>
      </x:c>
      <x:c r="H131" s="99" t="n">
        <x:v>0.20440000000000003</x:v>
      </x:c>
      <x:c r="I131" s="102" t="n">
        <x:v>6.104288</x:v>
      </x:c>
    </x:row>
    <x:row r="132">
      <x:c r="A132" s="54" t="n">
        <x:v>128</x:v>
      </x:c>
      <x:c r="B132" s="54" t="str">
        <x:v>배정대</x:v>
      </x:c>
      <x:c r="C132" s="54" t="str">
        <x:v>KT</x:v>
      </x:c>
      <x:c r="D132" s="54" t="str">
        <x:v>R</x:v>
      </x:c>
      <x:c r="E132" s="93" t="n">
        <x:v>422</x:v>
      </x:c>
      <x:c r="F132" s="96" t="n">
        <x:v>0.864731</x:v>
      </x:c>
      <x:c r="G132" s="96" t="n">
        <x:v>-2.226148</x:v>
      </x:c>
      <x:c r="H132" s="99" t="n">
        <x:v>0.19811</x:v>
      </x:c>
      <x:c r="I132" s="102" t="n">
        <x:v>5.682962</x:v>
      </x:c>
    </x:row>
    <x:row r="133">
      <x:c r="A133" s="54" t="n">
        <x:v>129</x:v>
      </x:c>
      <x:c r="B133" s="54" t="str">
        <x:v>류승민</x:v>
      </x:c>
      <x:c r="C133" s="54" t="str">
        <x:v>SAM · DOO</x:v>
      </x:c>
      <x:c r="D133" s="54" t="str">
        <x:v>L</x:v>
      </x:c>
      <x:c r="E133" s="93" t="n">
        <x:v>350</x:v>
      </x:c>
      <x:c r="F133" s="96" t="n">
        <x:v>1.688262</x:v>
      </x:c>
      <x:c r="G133" s="96" t="n">
        <x:v>-2.269133</x:v>
      </x:c>
      <x:c r="H133" s="99" t="n">
        <x:v>0.19182</x:v>
      </x:c>
      <x:c r="I133" s="102" t="n">
        <x:v>5.711323</x:v>
      </x:c>
    </x:row>
    <x:row r="134">
      <x:c r="A134" s="54" t="n">
        <x:v>130</x:v>
      </x:c>
      <x:c r="B134" s="54" t="str">
        <x:v>채은성</x:v>
      </x:c>
      <x:c r="C134" s="54" t="str">
        <x:v>HAN</x:v>
      </x:c>
      <x:c r="D134" s="54" t="str">
        <x:v>R</x:v>
      </x:c>
      <x:c r="E134" s="93" t="n">
        <x:v>742</x:v>
      </x:c>
      <x:c r="F134" s="96" t="n">
        <x:v>1.545041</x:v>
      </x:c>
      <x:c r="G134" s="96" t="n">
        <x:v>-2.305084</x:v>
      </x:c>
      <x:c r="H134" s="99" t="n">
        <x:v>0.18553</x:v>
      </x:c>
      <x:c r="I134" s="102" t="n">
        <x:v>5.792436</x:v>
      </x:c>
    </x:row>
    <x:row r="135">
      <x:c r="A135" s="54" t="n">
        <x:v>131</x:v>
      </x:c>
      <x:c r="B135" s="54" t="str">
        <x:v>박성한</x:v>
      </x:c>
      <x:c r="C135" s="54" t="str">
        <x:v>SSG</x:v>
      </x:c>
      <x:c r="D135" s="54" t="str">
        <x:v>L</x:v>
      </x:c>
      <x:c r="E135" s="93" t="n">
        <x:v>2232</x:v>
      </x:c>
      <x:c r="F135" s="96" t="n">
        <x:v>-8.602484</x:v>
      </x:c>
      <x:c r="G135" s="96" t="n">
        <x:v>-2.409285</x:v>
      </x:c>
      <x:c r="H135" s="99" t="n">
        <x:v>0.17925000000000002</x:v>
      </x:c>
      <x:c r="I135" s="102" t="n">
        <x:v>6.615577</x:v>
      </x:c>
    </x:row>
    <x:row r="136">
      <x:c r="A136" s="54" t="n">
        <x:v>132</x:v>
      </x:c>
      <x:c r="B136" s="54" t="str">
        <x:v>이도윤</x:v>
      </x:c>
      <x:c r="C136" s="54" t="str">
        <x:v>HAN</x:v>
      </x:c>
      <x:c r="D136" s="54" t="str">
        <x:v>L</x:v>
      </x:c>
      <x:c r="E136" s="93" t="n">
        <x:v>1285</x:v>
      </x:c>
      <x:c r="F136" s="96" t="n">
        <x:v>2.278004</x:v>
      </x:c>
      <x:c r="G136" s="96" t="n">
        <x:v>-2.429326</x:v>
      </x:c>
      <x:c r="H136" s="99" t="n">
        <x:v>0.17296</x:v>
      </x:c>
      <x:c r="I136" s="102" t="n">
        <x:v>5.258705</x:v>
      </x:c>
    </x:row>
    <x:row r="137">
      <x:c r="A137" s="54" t="n">
        <x:v>133</x:v>
      </x:c>
      <x:c r="B137" s="54" t="str">
        <x:v>김규성</x:v>
      </x:c>
      <x:c r="C137" s="54" t="str">
        <x:v>KIA</x:v>
      </x:c>
      <x:c r="D137" s="54" t="str">
        <x:v>L</x:v>
      </x:c>
      <x:c r="E137" s="93" t="n">
        <x:v>748</x:v>
      </x:c>
      <x:c r="F137" s="96" t="n">
        <x:v>-5.085271</x:v>
      </x:c>
      <x:c r="G137" s="96" t="n">
        <x:v>-2.456562</x:v>
      </x:c>
      <x:c r="H137" s="99" t="n">
        <x:v>0.16667</x:v>
      </x:c>
      <x:c r="I137" s="102" t="n">
        <x:v>6.547259</x:v>
      </x:c>
    </x:row>
    <x:row r="138">
      <x:c r="A138" s="54" t="n">
        <x:v>134</x:v>
      </x:c>
      <x:c r="B138" s="54" t="str">
        <x:v>손아섭</x:v>
      </x:c>
      <x:c r="C138" s="54" t="str">
        <x:v>HAN · DOO</x:v>
      </x:c>
      <x:c r="D138" s="54" t="str">
        <x:v>L</x:v>
      </x:c>
      <x:c r="E138" s="93" t="n">
        <x:v>650</x:v>
      </x:c>
      <x:c r="F138" s="96" t="n">
        <x:v>-2.202465</x:v>
      </x:c>
      <x:c r="G138" s="96" t="n">
        <x:v>-2.511404</x:v>
      </x:c>
      <x:c r="H138" s="99" t="n">
        <x:v>0.16038</x:v>
      </x:c>
      <x:c r="I138" s="102" t="n">
        <x:v>6.468782</x:v>
      </x:c>
    </x:row>
    <x:row r="139">
      <x:c r="A139" s="54" t="n">
        <x:v>135</x:v>
      </x:c>
      <x:c r="B139" s="54" t="str">
        <x:v>손호영</x:v>
      </x:c>
      <x:c r="C139" s="54" t="str">
        <x:v>LOT</x:v>
      </x:c>
      <x:c r="D139" s="54" t="str">
        <x:v>R</x:v>
      </x:c>
      <x:c r="E139" s="93" t="n">
        <x:v>648</x:v>
      </x:c>
      <x:c r="F139" s="96" t="n">
        <x:v>6.744128</x:v>
      </x:c>
      <x:c r="G139" s="96" t="n">
        <x:v>-2.530945</x:v>
      </x:c>
      <x:c r="H139" s="99" t="n">
        <x:v>0.15409</x:v>
      </x:c>
      <x:c r="I139" s="102" t="n">
        <x:v>4.955552</x:v>
      </x:c>
    </x:row>
    <x:row r="140">
      <x:c r="A140" s="54" t="n">
        <x:v>136</x:v>
      </x:c>
      <x:c r="B140" s="54" t="str">
        <x:v>권희동</x:v>
      </x:c>
      <x:c r="C140" s="54" t="str">
        <x:v>NC</x:v>
      </x:c>
      <x:c r="D140" s="54" t="str">
        <x:v>R</x:v>
      </x:c>
      <x:c r="E140" s="93" t="n">
        <x:v>990</x:v>
      </x:c>
      <x:c r="F140" s="96" t="n">
        <x:v>-16.20771</x:v>
      </x:c>
      <x:c r="G140" s="96" t="n">
        <x:v>-2.544884</x:v>
      </x:c>
      <x:c r="H140" s="99" t="n">
        <x:v>0.1478</x:v>
      </x:c>
      <x:c r="I140" s="102" t="n">
        <x:v>7.223707</x:v>
      </x:c>
    </x:row>
    <x:row r="141">
      <x:c r="A141" s="54" t="n">
        <x:v>137</x:v>
      </x:c>
      <x:c r="B141" s="54" t="str">
        <x:v>최지훈</x:v>
      </x:c>
      <x:c r="C141" s="54" t="str">
        <x:v>SSG</x:v>
      </x:c>
      <x:c r="D141" s="54" t="str">
        <x:v>L</x:v>
      </x:c>
      <x:c r="E141" s="93" t="n">
        <x:v>1926</x:v>
      </x:c>
      <x:c r="F141" s="96" t="n">
        <x:v>-0.384308</x:v>
      </x:c>
      <x:c r="G141" s="96" t="n">
        <x:v>-2.561515</x:v>
      </x:c>
      <x:c r="H141" s="99" t="n">
        <x:v>0.14151</x:v>
      </x:c>
      <x:c r="I141" s="102" t="n">
        <x:v>5.550696</x:v>
      </x:c>
    </x:row>
    <x:row r="142">
      <x:c r="A142" s="54" t="n">
        <x:v>138</x:v>
      </x:c>
      <x:c r="B142" s="54" t="str">
        <x:v>최정원</x:v>
      </x:c>
      <x:c r="C142" s="54" t="str">
        <x:v>NC</x:v>
      </x:c>
      <x:c r="D142" s="54" t="str">
        <x:v>L</x:v>
      </x:c>
      <x:c r="E142" s="93" t="n">
        <x:v>768</x:v>
      </x:c>
      <x:c r="F142" s="96" t="n">
        <x:v>-3.948593</x:v>
      </x:c>
      <x:c r="G142" s="96" t="n">
        <x:v>-2.595859</x:v>
      </x:c>
      <x:c r="H142" s="99" t="n">
        <x:v>0.13522</x:v>
      </x:c>
      <x:c r="I142" s="102" t="n">
        <x:v>5.887697</x:v>
      </x:c>
    </x:row>
    <x:row r="143">
      <x:c r="A143" s="54" t="n">
        <x:v>139</x:v>
      </x:c>
      <x:c r="B143" s="54" t="str">
        <x:v>고승민</x:v>
      </x:c>
      <x:c r="C143" s="54" t="str">
        <x:v>LOT</x:v>
      </x:c>
      <x:c r="D143" s="54" t="str">
        <x:v>L</x:v>
      </x:c>
      <x:c r="E143" s="93" t="n">
        <x:v>1494</x:v>
      </x:c>
      <x:c r="F143" s="96" t="n">
        <x:v>-4.976695</x:v>
      </x:c>
      <x:c r="G143" s="96" t="n">
        <x:v>-2.644728</x:v>
      </x:c>
      <x:c r="H143" s="99" t="n">
        <x:v>0.12893000000000002</x:v>
      </x:c>
      <x:c r="I143" s="102" t="n">
        <x:v>5.720838</x:v>
      </x:c>
    </x:row>
    <x:row r="144">
      <x:c r="A144" s="54" t="n">
        <x:v>140</x:v>
      </x:c>
      <x:c r="B144" s="54" t="str">
        <x:v>디아즈</x:v>
      </x:c>
      <x:c r="C144" s="54" t="str">
        <x:v>SAM</x:v>
      </x:c>
      <x:c r="D144" s="54" t="str">
        <x:v>L</x:v>
      </x:c>
      <x:c r="E144" s="93" t="n">
        <x:v>1986</x:v>
      </x:c>
      <x:c r="F144" s="96" t="n">
        <x:v>2.238129</x:v>
      </x:c>
      <x:c r="G144" s="96" t="n">
        <x:v>-2.713983</x:v>
      </x:c>
      <x:c r="H144" s="99" t="n">
        <x:v>0.12264</x:v>
      </x:c>
      <x:c r="I144" s="102" t="n">
        <x:v>5.89751</x:v>
      </x:c>
    </x:row>
    <x:row r="145">
      <x:c r="A145" s="54" t="n">
        <x:v>141</x:v>
      </x:c>
      <x:c r="B145" s="54" t="str">
        <x:v>박해민</x:v>
      </x:c>
      <x:c r="C145" s="54" t="str">
        <x:v>LG</x:v>
      </x:c>
      <x:c r="D145" s="54" t="str">
        <x:v>L</x:v>
      </x:c>
      <x:c r="E145" s="93" t="n">
        <x:v>1880</x:v>
      </x:c>
      <x:c r="F145" s="96" t="n">
        <x:v>-3.814309</x:v>
      </x:c>
      <x:c r="G145" s="96" t="n">
        <x:v>-2.728257</x:v>
      </x:c>
      <x:c r="H145" s="99" t="n">
        <x:v>0.11635</x:v>
      </x:c>
      <x:c r="I145" s="102" t="n">
        <x:v>6.842444</x:v>
      </x:c>
    </x:row>
    <x:row r="146">
      <x:c r="A146" s="54" t="n">
        <x:v>142</x:v>
      </x:c>
      <x:c r="B146" s="54" t="str">
        <x:v>안치홍</x:v>
      </x:c>
      <x:c r="C146" s="54" t="str">
        <x:v>KIW</x:v>
      </x:c>
      <x:c r="D146" s="54" t="str">
        <x:v>R</x:v>
      </x:c>
      <x:c r="E146" s="93" t="n">
        <x:v>1625</x:v>
      </x:c>
      <x:c r="F146" s="96" t="n">
        <x:v>0.301735</x:v>
      </x:c>
      <x:c r="G146" s="96" t="n">
        <x:v>-2.912828</x:v>
      </x:c>
      <x:c r="H146" s="99" t="n">
        <x:v>0.11006</x:v>
      </x:c>
      <x:c r="I146" s="102" t="n">
        <x:v>6.044795</x:v>
      </x:c>
    </x:row>
    <x:row r="147">
      <x:c r="A147" s="54" t="n">
        <x:v>143</x:v>
      </x:c>
      <x:c r="B147" s="54" t="str">
        <x:v>유강남</x:v>
      </x:c>
      <x:c r="C147" s="54" t="str">
        <x:v>LOT</x:v>
      </x:c>
      <x:c r="D147" s="54" t="str">
        <x:v>R</x:v>
      </x:c>
      <x:c r="E147" s="93" t="n">
        <x:v>447</x:v>
      </x:c>
      <x:c r="F147" s="96" t="n">
        <x:v>1.093605</x:v>
      </x:c>
      <x:c r="G147" s="96" t="n">
        <x:v>-2.913469</x:v>
      </x:c>
      <x:c r="H147" s="99" t="n">
        <x:v>0.10377</x:v>
      </x:c>
      <x:c r="I147" s="102" t="n">
        <x:v>5.03298</x:v>
      </x:c>
    </x:row>
    <x:row r="148">
      <x:c r="A148" s="54" t="n">
        <x:v>144</x:v>
      </x:c>
      <x:c r="B148" s="54" t="str">
        <x:v>최인호</x:v>
      </x:c>
      <x:c r="C148" s="54" t="str">
        <x:v>HAN</x:v>
      </x:c>
      <x:c r="D148" s="54" t="str">
        <x:v>L</x:v>
      </x:c>
      <x:c r="E148" s="93" t="n">
        <x:v>387</x:v>
      </x:c>
      <x:c r="F148" s="96" t="n">
        <x:v>0.632109</x:v>
      </x:c>
      <x:c r="G148" s="96" t="n">
        <x:v>-2.966303</x:v>
      </x:c>
      <x:c r="H148" s="99" t="n">
        <x:v>0.09748</x:v>
      </x:c>
      <x:c r="I148" s="102" t="n">
        <x:v>5.426762</x:v>
      </x:c>
    </x:row>
    <x:row r="149">
      <x:c r="A149" s="54" t="n">
        <x:v>145</x:v>
      </x:c>
      <x:c r="B149" s="54" t="str">
        <x:v>허경민</x:v>
      </x:c>
      <x:c r="C149" s="54" t="str">
        <x:v>KT</x:v>
      </x:c>
      <x:c r="D149" s="54" t="str">
        <x:v>R</x:v>
      </x:c>
      <x:c r="E149" s="93" t="n">
        <x:v>1145</x:v>
      </x:c>
      <x:c r="F149" s="96" t="n">
        <x:v>-5.009666</x:v>
      </x:c>
      <x:c r="G149" s="96" t="n">
        <x:v>-2.969186</x:v>
      </x:c>
      <x:c r="H149" s="99" t="n">
        <x:v>0.09119</x:v>
      </x:c>
      <x:c r="I149" s="102" t="n">
        <x:v>6.078727</x:v>
      </x:c>
    </x:row>
    <x:row r="150">
      <x:c r="A150" s="54" t="n">
        <x:v>146</x:v>
      </x:c>
      <x:c r="B150" s="54" t="str">
        <x:v>한태양</x:v>
      </x:c>
      <x:c r="C150" s="54" t="str">
        <x:v>LOT</x:v>
      </x:c>
      <x:c r="D150" s="54" t="str">
        <x:v>R</x:v>
      </x:c>
      <x:c r="E150" s="93" t="n">
        <x:v>784</x:v>
      </x:c>
      <x:c r="F150" s="96" t="n">
        <x:v>-7.741802</x:v>
      </x:c>
      <x:c r="G150" s="96" t="n">
        <x:v>-3.011537</x:v>
      </x:c>
      <x:c r="H150" s="99" t="n">
        <x:v>0.08491</x:v>
      </x:c>
      <x:c r="I150" s="102" t="n">
        <x:v>5.855286</x:v>
      </x:c>
    </x:row>
    <x:row r="151">
      <x:c r="A151" s="54" t="n">
        <x:v>147</x:v>
      </x:c>
      <x:c r="B151" s="54" t="str">
        <x:v>양석환</x:v>
      </x:c>
      <x:c r="C151" s="54" t="str">
        <x:v>DOO</x:v>
      </x:c>
      <x:c r="D151" s="54" t="str">
        <x:v>R</x:v>
      </x:c>
      <x:c r="E151" s="93" t="n">
        <x:v>437</x:v>
      </x:c>
      <x:c r="F151" s="96" t="n">
        <x:v>9.429506</x:v>
      </x:c>
      <x:c r="G151" s="96" t="n">
        <x:v>-3.348993</x:v>
      </x:c>
      <x:c r="H151" s="99" t="n">
        <x:v>0.07862</x:v>
      </x:c>
      <x:c r="I151" s="102" t="n">
        <x:v>4.744012</x:v>
      </x:c>
    </x:row>
    <x:row r="152">
      <x:c r="A152" s="54" t="n">
        <x:v>148</x:v>
      </x:c>
      <x:c r="B152" s="54" t="str">
        <x:v>강백호</x:v>
      </x:c>
      <x:c r="C152" s="54" t="str">
        <x:v>HAN</x:v>
      </x:c>
      <x:c r="D152" s="54" t="str">
        <x:v>L</x:v>
      </x:c>
      <x:c r="E152" s="93" t="n">
        <x:v>1900</x:v>
      </x:c>
      <x:c r="F152" s="96" t="n">
        <x:v>-1.641781</x:v>
      </x:c>
      <x:c r="G152" s="96" t="n">
        <x:v>-3.389163</x:v>
      </x:c>
      <x:c r="H152" s="99" t="n">
        <x:v>0.07232999999999999</x:v>
      </x:c>
      <x:c r="I152" s="102" t="n">
        <x:v>5.586775</x:v>
      </x:c>
    </x:row>
    <x:row r="153">
      <x:c r="A153" s="54" t="n">
        <x:v>149</x:v>
      </x:c>
      <x:c r="B153" s="54" t="str">
        <x:v>김상수</x:v>
      </x:c>
      <x:c r="C153" s="54" t="str">
        <x:v>KT</x:v>
      </x:c>
      <x:c r="D153" s="54" t="str">
        <x:v>R</x:v>
      </x:c>
      <x:c r="E153" s="93" t="n">
        <x:v>1648</x:v>
      </x:c>
      <x:c r="F153" s="96" t="n">
        <x:v>-10.022994</x:v>
      </x:c>
      <x:c r="G153" s="96" t="n">
        <x:v>-3.412048</x:v>
      </x:c>
      <x:c r="H153" s="99" t="n">
        <x:v>0.06604</x:v>
      </x:c>
      <x:c r="I153" s="102" t="n">
        <x:v>6.971037</x:v>
      </x:c>
    </x:row>
    <x:row r="154">
      <x:c r="A154" s="54" t="n">
        <x:v>150</x:v>
      </x:c>
      <x:c r="B154" s="54" t="str">
        <x:v>양우현</x:v>
      </x:c>
      <x:c r="C154" s="54" t="str">
        <x:v>SAM</x:v>
      </x:c>
      <x:c r="D154" s="54" t="str">
        <x:v>L</x:v>
      </x:c>
      <x:c r="E154" s="93" t="n">
        <x:v>412</x:v>
      </x:c>
      <x:c r="F154" s="96" t="n">
        <x:v>5.499594</x:v>
      </x:c>
      <x:c r="G154" s="96" t="n">
        <x:v>-3.612892</x:v>
      </x:c>
      <x:c r="H154" s="99" t="n">
        <x:v>0.05975</x:v>
      </x:c>
      <x:c r="I154" s="102" t="n">
        <x:v>4.630097</x:v>
      </x:c>
    </x:row>
    <x:row r="155">
      <x:c r="A155" s="54" t="n">
        <x:v>151</x:v>
      </x:c>
      <x:c r="B155" s="54" t="str">
        <x:v>최재훈</x:v>
      </x:c>
      <x:c r="C155" s="54" t="str">
        <x:v>HAN</x:v>
      </x:c>
      <x:c r="D155" s="54" t="str">
        <x:v>R</x:v>
      </x:c>
      <x:c r="E155" s="93" t="n">
        <x:v>492</x:v>
      </x:c>
      <x:c r="F155" s="96" t="n">
        <x:v>-6.794847</x:v>
      </x:c>
      <x:c r="G155" s="96" t="n">
        <x:v>-3.714829</x:v>
      </x:c>
      <x:c r="H155" s="99" t="n">
        <x:v>0.05346</x:v>
      </x:c>
      <x:c r="I155" s="102" t="n">
        <x:v>6.601833</x:v>
      </x:c>
    </x:row>
    <x:row r="156">
      <x:c r="A156" s="54" t="n">
        <x:v>152</x:v>
      </x:c>
      <x:c r="B156" s="54" t="str">
        <x:v>윤준호</x:v>
      </x:c>
      <x:c r="C156" s="54" t="str">
        <x:v>DOO</x:v>
      </x:c>
      <x:c r="D156" s="54" t="str">
        <x:v>R</x:v>
      </x:c>
      <x:c r="E156" s="93" t="n">
        <x:v>736</x:v>
      </x:c>
      <x:c r="F156" s="96" t="n">
        <x:v>0.562151</x:v>
      </x:c>
      <x:c r="G156" s="96" t="n">
        <x:v>-3.918072</x:v>
      </x:c>
      <x:c r="H156" s="99" t="n">
        <x:v>0.04717</x:v>
      </x:c>
      <x:c r="I156" s="102" t="n">
        <x:v>5.433571</x:v>
      </x:c>
    </x:row>
    <x:row r="157">
      <x:c r="A157" s="54" t="n">
        <x:v>153</x:v>
      </x:c>
      <x:c r="B157" s="54" t="str">
        <x:v>장두성</x:v>
      </x:c>
      <x:c r="C157" s="54" t="str">
        <x:v>LOT</x:v>
      </x:c>
      <x:c r="D157" s="54" t="str">
        <x:v>L</x:v>
      </x:c>
      <x:c r="E157" s="93" t="n">
        <x:v>661</x:v>
      </x:c>
      <x:c r="F157" s="96" t="n">
        <x:v>8.870179</x:v>
      </x:c>
      <x:c r="G157" s="96" t="n">
        <x:v>-4.614059</x:v>
      </x:c>
      <x:c r="H157" s="99" t="n">
        <x:v>0.04088</x:v>
      </x:c>
      <x:c r="I157" s="102" t="n">
        <x:v>4.509636</x:v>
      </x:c>
    </x:row>
    <x:row r="158">
      <x:c r="A158" s="54" t="n">
        <x:v>154</x:v>
      </x:c>
      <x:c r="B158" s="54" t="str">
        <x:v>카스트로</x:v>
      </x:c>
      <x:c r="C158" s="54" t="str">
        <x:v>KIA</x:v>
      </x:c>
      <x:c r="D158" s="54" t="str">
        <x:v>L</x:v>
      </x:c>
      <x:c r="E158" s="93" t="n">
        <x:v>1158</x:v>
      </x:c>
      <x:c r="F158" s="96" t="n">
        <x:v>8.774258</x:v>
      </x:c>
      <x:c r="G158" s="96" t="n">
        <x:v>-4.890771</x:v>
      </x:c>
      <x:c r="H158" s="99" t="n">
        <x:v>0.03459</x:v>
      </x:c>
      <x:c r="I158" s="102" t="n">
        <x:v>4.212551</x:v>
      </x:c>
    </x:row>
    <x:row r="159">
      <x:c r="A159" s="54" t="n">
        <x:v>155</x:v>
      </x:c>
      <x:c r="B159" s="54" t="str">
        <x:v>권혁빈</x:v>
      </x:c>
      <x:c r="C159" s="54" t="str">
        <x:v>KIW</x:v>
      </x:c>
      <x:c r="D159" s="54" t="str">
        <x:v>R</x:v>
      </x:c>
      <x:c r="E159" s="93" t="n">
        <x:v>938</x:v>
      </x:c>
      <x:c r="F159" s="96" t="n">
        <x:v>-2.392349</x:v>
      </x:c>
      <x:c r="G159" s="96" t="n">
        <x:v>-5.55316</x:v>
      </x:c>
      <x:c r="H159" s="99" t="n">
        <x:v>0.028300000000000002</x:v>
      </x:c>
      <x:c r="I159" s="102" t="n">
        <x:v>4.397368</x:v>
      </x:c>
    </x:row>
    <x:row r="160">
      <x:c r="A160" s="54" t="n">
        <x:v>156</x:v>
      </x:c>
      <x:c r="B160" s="54" t="str">
        <x:v>아데를린</x:v>
      </x:c>
      <x:c r="C160" s="54" t="str">
        <x:v>KIA</x:v>
      </x:c>
      <x:c r="D160" s="54" t="str">
        <x:v>R</x:v>
      </x:c>
      <x:c r="E160" s="93" t="n">
        <x:v>464</x:v>
      </x:c>
      <x:c r="F160" s="96" t="n">
        <x:v>15.769236</x:v>
      </x:c>
      <x:c r="G160" s="96" t="n">
        <x:v>-6.631497</x:v>
      </x:c>
      <x:c r="H160" s="99" t="n">
        <x:v>0.022010000000000002</x:v>
      </x:c>
      <x:c r="I160" s="102" t="n">
        <x:v>3.993927</x:v>
      </x:c>
    </x:row>
    <x:row r="161">
      <x:c r="A161" s="54" t="n">
        <x:v>157</x:v>
      </x:c>
      <x:c r="B161" s="54" t="str">
        <x:v>김태군</x:v>
      </x:c>
      <x:c r="C161" s="54" t="str">
        <x:v>KIA</x:v>
      </x:c>
      <x:c r="D161" s="54" t="str">
        <x:v>R</x:v>
      </x:c>
      <x:c r="E161" s="93" t="n">
        <x:v>639</x:v>
      </x:c>
      <x:c r="F161" s="96" t="n">
        <x:v>-5.672193</x:v>
      </x:c>
      <x:c r="G161" s="96" t="n">
        <x:v>-7.277884</x:v>
      </x:c>
      <x:c r="H161" s="99" t="n">
        <x:v>0.01572</x:v>
      </x:c>
      <x:c r="I161" s="102" t="n">
        <x:v>5.233946</x:v>
      </x:c>
    </x:row>
    <x:row r="162">
      <x:c r="A162" s="54" t="n">
        <x:v>158</x:v>
      </x:c>
      <x:c r="B162" s="54" t="str">
        <x:v>심우준</x:v>
      </x:c>
      <x:c r="C162" s="54" t="str">
        <x:v>HAN</x:v>
      </x:c>
      <x:c r="D162" s="54" t="str">
        <x:v>R</x:v>
      </x:c>
      <x:c r="E162" s="93" t="n">
        <x:v>1461</x:v>
      </x:c>
      <x:c r="F162" s="96" t="n">
        <x:v>-0.007549</x:v>
      </x:c>
      <x:c r="G162" s="96" t="n">
        <x:v>-7.493774</x:v>
      </x:c>
      <x:c r="H162" s="99" t="n">
        <x:v>0.00943</x:v>
      </x:c>
      <x:c r="I162" s="102" t="n">
        <x:v>5.495075</x:v>
      </x:c>
    </x:row>
    <x:row r="163">
      <x:c r="A163" s="55" t="n">
        <x:v>159</x:v>
      </x:c>
      <x:c r="B163" s="55" t="str">
        <x:v>이지영</x:v>
      </x:c>
      <x:c r="C163" s="55" t="str">
        <x:v>SSG</x:v>
      </x:c>
      <x:c r="D163" s="55" t="str">
        <x:v>R</x:v>
      </x:c>
      <x:c r="E163" s="94" t="n">
        <x:v>346</x:v>
      </x:c>
      <x:c r="F163" s="97" t="n">
        <x:v>4.116225</x:v>
      </x:c>
      <x:c r="G163" s="97" t="n">
        <x:v>-8.469747</x:v>
      </x:c>
      <x:c r="H163" s="100" t="n">
        <x:v>0.00314</x:v>
      </x:c>
      <x:c r="I163" s="103" t="n">
        <x:v>4.047687</x:v>
      </x:c>
    </x:row>
  </x:sheetData>
  <x:mergeCells>
    <x:mergeCell ref="A1:I2"/>
  </x:mergeCells>
  <x:conditionalFormatting sqref="F5:G163">
    <x:cfRule type="colorScale" priority="1">
      <x:colorScale>
        <x:cfvo type="min"/>
        <x:cfvo type="percentile" val="50"/>
        <x:cfvo type="max"/>
        <x:color rgb="FFFECACA"/>
        <x:color rgb="FFFFFFFF"/>
        <x:color rgb="FFBFDBFE"/>
      </x:colorScale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18" hidden="0" customWidth="1"/>
    <x:col min="4" max="4" width="1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</x:cols>
  <x:sheetData>
    <x:row r="1" ht="30" customHeight="1">
      <x:c r="A1" s="3" t="str">
        <x:v>Movement X/O — 선수별 Expected Swing 비교</x:v>
      </x:c>
      <x:c r="B1" s="3" t="str">
        <x:v>Movement X/O — 선수별 Expected Swing 비교</x:v>
      </x:c>
      <x:c r="C1" s="3" t="str">
        <x:v>Movement X/O — 선수별 Expected Swing 비교</x:v>
      </x:c>
      <x:c r="D1" s="3" t="str">
        <x:v>Movement X/O — 선수별 Expected Swing 비교</x:v>
      </x:c>
      <x:c r="E1" s="3" t="str">
        <x:v>Movement X/O — 선수별 Expected Swing 비교</x:v>
      </x:c>
      <x:c r="F1" s="3" t="str">
        <x:v>Movement X/O — 선수별 Expected Swing 비교</x:v>
      </x:c>
      <x:c r="G1" s="3" t="str">
        <x:v>Movement X/O — 선수별 Expected Swing 비교</x:v>
      </x:c>
      <x:c r="H1" s="3" t="str">
        <x:v>Movement X/O — 선수별 Expected Swing 비교</x:v>
      </x:c>
      <x:c r="I1" s="3" t="str">
        <x:v>Movement X/O — 선수별 Expected Swing 비교</x:v>
      </x:c>
      <x:c r="J1" s="3" t="str">
        <x:v>Movement X/O — 선수별 Expected Swing 비교</x:v>
      </x:c>
      <x:c r="K1" s="3" t="str">
        <x:v>Movement X/O — 선수별 Expected Swing 비교</x:v>
      </x:c>
      <x:c r="L1" s="3" t="str">
        <x:v>Movement X/O — 선수별 Expected Swing 비교</x:v>
      </x:c>
      <x:c r="M1" s="3" t="str">
        <x:v>Movement X/O — 선수별 Expected Swing 비교</x:v>
      </x:c>
      <x:c r="N1" s="3" t="str">
        <x:v>Movement X/O — 선수별 Expected Swing 비교</x:v>
      </x:c>
    </x:row>
    <x:row r="2" ht="30" customHeight="1">
      <x:c r="A2" s="3" t="str">
        <x:v>Movement X/O — 선수별 Expected Swing 비교</x:v>
      </x:c>
      <x:c r="B2" s="3" t="str">
        <x:v>Movement X/O — 선수별 Expected Swing 비교</x:v>
      </x:c>
      <x:c r="C2" s="3" t="str">
        <x:v>Movement X/O — 선수별 Expected Swing 비교</x:v>
      </x:c>
      <x:c r="D2" s="3" t="str">
        <x:v>Movement X/O — 선수별 Expected Swing 비교</x:v>
      </x:c>
      <x:c r="E2" s="3" t="str">
        <x:v>Movement X/O — 선수별 Expected Swing 비교</x:v>
      </x:c>
      <x:c r="F2" s="3" t="str">
        <x:v>Movement X/O — 선수별 Expected Swing 비교</x:v>
      </x:c>
      <x:c r="G2" s="3" t="str">
        <x:v>Movement X/O — 선수별 Expected Swing 비교</x:v>
      </x:c>
      <x:c r="H2" s="3" t="str">
        <x:v>Movement X/O — 선수별 Expected Swing 비교</x:v>
      </x:c>
      <x:c r="I2" s="3" t="str">
        <x:v>Movement X/O — 선수별 Expected Swing 비교</x:v>
      </x:c>
      <x:c r="J2" s="3" t="str">
        <x:v>Movement X/O — 선수별 Expected Swing 비교</x:v>
      </x:c>
      <x:c r="K2" s="3" t="str">
        <x:v>Movement X/O — 선수별 Expected Swing 비교</x:v>
      </x:c>
      <x:c r="L2" s="3" t="str">
        <x:v>Movement X/O — 선수별 Expected Swing 비교</x:v>
      </x:c>
      <x:c r="M2" s="3" t="str">
        <x:v>Movement X/O — 선수별 Expected Swing 비교</x:v>
      </x:c>
      <x:c r="N2" s="3" t="str">
        <x:v>Movement X/O — 선수별 Expected Swing 비교</x:v>
      </x:c>
    </x:row>
    <x:row r="4" ht="30" customHeight="1">
      <x:c r="A4" s="48" t="str">
        <x:v>시즌</x:v>
      </x:c>
      <x:c r="B4" s="49" t="str">
        <x:v>선수 ID</x:v>
      </x:c>
      <x:c r="C4" s="49" t="str">
        <x:v>선수</x:v>
      </x:c>
      <x:c r="D4" s="49" t="str">
        <x:v>팀</x:v>
      </x:c>
      <x:c r="E4" s="49" t="str">
        <x:v>투구 수</x:v>
      </x:c>
      <x:c r="F4" s="49" t="str">
        <x:v>300구 이상</x:v>
      </x:c>
      <x:c r="G4" s="49" t="str">
        <x:v>실제 Swing%</x:v>
      </x:c>
      <x:c r="H4" s="49" t="str">
        <x:v>Expected X%</x:v>
      </x:c>
      <x:c r="I4" s="49" t="str">
        <x:v>Expected O%</x:v>
      </x:c>
      <x:c r="J4" s="49" t="str">
        <x:v>O−X (%p)</x:v>
      </x:c>
      <x:c r="K4" s="49" t="str">
        <x:v>X 순위</x:v>
      </x:c>
      <x:c r="L4" s="49" t="str">
        <x:v>O 순위</x:v>
      </x:c>
      <x:c r="M4" s="49" t="str">
        <x:v>O−X 순위</x:v>
      </x:c>
      <x:c r="N4" s="50" t="str">
        <x:v>절대 순위 변화</x:v>
      </x:c>
    </x:row>
    <x:row r="5">
      <x:c r="A5" s="53" t="n">
        <x:v>2026</x:v>
      </x:c>
      <x:c r="B5" s="53" t="n">
        <x:v>53103</x:v>
      </x:c>
      <x:c r="C5" s="53" t="str">
        <x:v>강민균</x:v>
      </x:c>
      <x:c r="D5" s="53" t="str">
        <x:v>LG</x:v>
      </x:c>
      <x:c r="E5" s="53" t="n">
        <x:v>27</x:v>
      </x:c>
      <x:c r="F5" s="107" t="b">
        <x:v>0</x:v>
      </x:c>
      <x:c r="G5" s="110" t="n">
        <x:v>0.5555555600000001</x:v>
      </x:c>
      <x:c r="H5" s="110" t="n">
        <x:v>0.51815018</x:v>
      </x:c>
      <x:c r="I5" s="110" t="n">
        <x:v>0.52612854</x:v>
      </x:c>
      <x:c r="J5" s="95" t="n">
        <x:f>(I5-H5)*100</x:f>
        <x:v>0.7978359999999962</x:v>
      </x:c>
      <x:c r="K5" s="53"/>
      <x:c r="L5" s="53"/>
      <x:c r="M5" s="53" t="str">
        <x:f>IF(OR(K5="",L5=""),"",L5-K5)</x:f>
      </x:c>
      <x:c r="N5" s="53" t="str">
        <x:f>IF(M5="","",ABS(M5))</x:f>
      </x:c>
    </x:row>
    <x:row r="6">
      <x:c r="A6" s="54" t="n">
        <x:v>2026</x:v>
      </x:c>
      <x:c r="B6" s="54" t="n">
        <x:v>69064</x:v>
      </x:c>
      <x:c r="C6" s="54" t="str">
        <x:v>강민성</x:v>
      </x:c>
      <x:c r="D6" s="54" t="str">
        <x:v>KT</x:v>
      </x:c>
      <x:c r="E6" s="54" t="n">
        <x:v>8</x:v>
      </x:c>
      <x:c r="F6" s="108" t="b">
        <x:v>0</x:v>
      </x:c>
      <x:c r="G6" s="111" t="n">
        <x:v>0.75</x:v>
      </x:c>
      <x:c r="H6" s="111" t="n">
        <x:v>0.42517361000000004</x:v>
      </x:c>
      <x:c r="I6" s="111" t="n">
        <x:v>0.45174264000000003</x:v>
      </x:c>
      <x:c r="J6" s="96" t="n">
        <x:f>(I6-H6)*100</x:f>
        <x:v>2.6569029999999993</x:v>
      </x:c>
      <x:c r="K6" s="54"/>
      <x:c r="L6" s="54"/>
      <x:c r="M6" s="54" t="str">
        <x:f>IF(OR(K6="",L6=""),"",L6-K6)</x:f>
      </x:c>
      <x:c r="N6" s="54" t="str">
        <x:f>IF(M6="","",ABS(M6))</x:f>
      </x:c>
    </x:row>
    <x:row r="7">
      <x:c r="A7" s="54" t="n">
        <x:v>2026</x:v>
      </x:c>
      <x:c r="B7" s="54" t="n">
        <x:v>74540</x:v>
      </x:c>
      <x:c r="C7" s="54" t="str">
        <x:v>강민호</x:v>
      </x:c>
      <x:c r="D7" s="54" t="str">
        <x:v>SAM</x:v>
      </x:c>
      <x:c r="E7" s="54" t="n">
        <x:v>1099</x:v>
      </x:c>
      <x:c r="F7" s="108" t="b">
        <x:v>1</x:v>
      </x:c>
      <x:c r="G7" s="111" t="n">
        <x:v>0.41856233000000004</x:v>
      </x:c>
      <x:c r="H7" s="111" t="n">
        <x:v>0.46838571</x:v>
      </x:c>
      <x:c r="I7" s="111" t="n">
        <x:v>0.46967749</x:v>
      </x:c>
      <x:c r="J7" s="96" t="n">
        <x:f>(I7-H7)*100</x:f>
        <x:v>0.12917799999999646</x:v>
      </x:c>
      <x:c r="K7" s="54" t="n">
        <x:v>14</x:v>
      </x:c>
      <x:c r="L7" s="54" t="n">
        <x:v>11</x:v>
      </x:c>
      <x:c r="M7" s="54" t="n">
        <x:f>IF(OR(K7="",L7=""),"",L7-K7)</x:f>
        <x:v>-3</x:v>
      </x:c>
      <x:c r="N7" s="54" t="n">
        <x:f>IF(M7="","",ABS(M7))</x:f>
        <x:v>3</x:v>
      </x:c>
    </x:row>
    <x:row r="8">
      <x:c r="A8" s="54" t="n">
        <x:v>2026</x:v>
      </x:c>
      <x:c r="B8" s="54" t="n">
        <x:v>68050</x:v>
      </x:c>
      <x:c r="C8" s="54" t="str">
        <x:v>강백호</x:v>
      </x:c>
      <x:c r="D8" s="54" t="str">
        <x:v>HAN</x:v>
      </x:c>
      <x:c r="E8" s="54" t="n">
        <x:v>1900</x:v>
      </x:c>
      <x:c r="F8" s="108" t="b">
        <x:v>1</x:v>
      </x:c>
      <x:c r="G8" s="111" t="n">
        <x:v>0.41210526000000003</x:v>
      </x:c>
      <x:c r="H8" s="111" t="n">
        <x:v>0.42878614</x:v>
      </x:c>
      <x:c r="I8" s="111" t="n">
        <x:v>0.42852307</x:v>
      </x:c>
      <x:c r="J8" s="96" t="n">
        <x:f>(I8-H8)*100</x:f>
        <x:v>-0.026306999999997638</x:v>
      </x:c>
      <x:c r="K8" s="54" t="n">
        <x:v>138</x:v>
      </x:c>
      <x:c r="L8" s="54" t="n">
        <x:v>138</x:v>
      </x:c>
      <x:c r="M8" s="54" t="n">
        <x:f>IF(OR(K8="",L8=""),"",L8-K8)</x:f>
        <x:v>0</x:v>
      </x:c>
      <x:c r="N8" s="54" t="str">
        <x:f>IF(M8="","",ABS(M8))</x:f>
      </x:c>
    </x:row>
    <x:row r="9">
      <x:c r="A9" s="54" t="n">
        <x:v>2026</x:v>
      </x:c>
      <x:c r="B9" s="54" t="n">
        <x:v>63123</x:v>
      </x:c>
      <x:c r="C9" s="54" t="str">
        <x:v>강승호</x:v>
      </x:c>
      <x:c r="D9" s="54" t="str">
        <x:v>DOO</x:v>
      </x:c>
      <x:c r="E9" s="54" t="n">
        <x:v>818</x:v>
      </x:c>
      <x:c r="F9" s="108" t="b">
        <x:v>1</x:v>
      </x:c>
      <x:c r="G9" s="111" t="n">
        <x:v>0.49633252</x:v>
      </x:c>
      <x:c r="H9" s="111" t="n">
        <x:v>0.46031027</x:v>
      </x:c>
      <x:c r="I9" s="111" t="n">
        <x:v>0.46473697</x:v>
      </x:c>
      <x:c r="J9" s="96" t="n">
        <x:f>(I9-H9)*100</x:f>
        <x:v>0.44267000000000056</x:v>
      </x:c>
      <x:c r="K9" s="54" t="n">
        <x:v>33</x:v>
      </x:c>
      <x:c r="L9" s="54" t="n">
        <x:v>21</x:v>
      </x:c>
      <x:c r="M9" s="54" t="n">
        <x:f>IF(OR(K9="",L9=""),"",L9-K9)</x:f>
        <x:v>-12</x:v>
      </x:c>
      <x:c r="N9" s="54" t="n">
        <x:f>IF(M9="","",ABS(M9))</x:f>
        <x:v>12</x:v>
      </x:c>
    </x:row>
    <x:row r="10">
      <x:c r="A10" s="54" t="n">
        <x:v>2026</x:v>
      </x:c>
      <x:c r="B10" s="54" t="n">
        <x:v>50066</x:v>
      </x:c>
      <x:c r="C10" s="54" t="str">
        <x:v>강현우</x:v>
      </x:c>
      <x:c r="D10" s="54" t="str">
        <x:v>KT</x:v>
      </x:c>
      <x:c r="E10" s="54" t="n">
        <x:v>115</x:v>
      </x:c>
      <x:c r="F10" s="108" t="b">
        <x:v>0</x:v>
      </x:c>
      <x:c r="G10" s="111" t="n">
        <x:v>0.35652174000000003</x:v>
      </x:c>
      <x:c r="H10" s="111" t="n">
        <x:v>0.44245178</x:v>
      </x:c>
      <x:c r="I10" s="111" t="n">
        <x:v>0.43751271</x:v>
      </x:c>
      <x:c r="J10" s="96" t="n">
        <x:f>(I10-H10)*100</x:f>
        <x:v>-0.493906999999999</x:v>
      </x:c>
      <x:c r="K10" s="54"/>
      <x:c r="L10" s="54"/>
      <x:c r="M10" s="54" t="str">
        <x:f>IF(OR(K10="",L10=""),"",L10-K10)</x:f>
      </x:c>
      <x:c r="N10" s="54" t="str">
        <x:f>IF(M10="","",ABS(M10))</x:f>
      </x:c>
    </x:row>
    <x:row r="11">
      <x:c r="A11" s="54" t="n">
        <x:v>2026</x:v>
      </x:c>
      <x:c r="B11" s="54" t="n">
        <x:v>51868</x:v>
      </x:c>
      <x:c r="C11" s="54" t="str">
        <x:v>고명준</x:v>
      </x:c>
      <x:c r="D11" s="54" t="str">
        <x:v>SSG</x:v>
      </x:c>
      <x:c r="E11" s="54" t="n">
        <x:v>585</x:v>
      </x:c>
      <x:c r="F11" s="108" t="b">
        <x:v>1</x:v>
      </x:c>
      <x:c r="G11" s="111" t="n">
        <x:v>0.5128205100000001</x:v>
      </x:c>
      <x:c r="H11" s="111" t="n">
        <x:v>0.45036508</x:v>
      </x:c>
      <x:c r="I11" s="111" t="n">
        <x:v>0.45152099</x:v>
      </x:c>
      <x:c r="J11" s="96" t="n">
        <x:f>(I11-H11)*100</x:f>
        <x:v>0.11559100000000377</x:v>
      </x:c>
      <x:c r="K11" s="54" t="n">
        <x:v>71</x:v>
      </x:c>
      <x:c r="L11" s="54" t="n">
        <x:v>70</x:v>
      </x:c>
      <x:c r="M11" s="54" t="n">
        <x:f>IF(OR(K11="",L11=""),"",L11-K11)</x:f>
        <x:v>-1</x:v>
      </x:c>
      <x:c r="N11" s="54" t="n">
        <x:f>IF(M11="","",ABS(M11))</x:f>
        <x:v>1</x:v>
      </x:c>
    </x:row>
    <x:row r="12">
      <x:c r="A12" s="54" t="n">
        <x:v>2026</x:v>
      </x:c>
      <x:c r="B12" s="54" t="n">
        <x:v>69517</x:v>
      </x:c>
      <x:c r="C12" s="54" t="str">
        <x:v>고승민</x:v>
      </x:c>
      <x:c r="D12" s="54" t="str">
        <x:v>LOT</x:v>
      </x:c>
      <x:c r="E12" s="54" t="n">
        <x:v>1494</x:v>
      </x:c>
      <x:c r="F12" s="108" t="b">
        <x:v>1</x:v>
      </x:c>
      <x:c r="G12" s="111" t="n">
        <x:v>0.40428379999999997</x:v>
      </x:c>
      <x:c r="H12" s="111" t="n">
        <x:v>0.45071794</x:v>
      </x:c>
      <x:c r="I12" s="111" t="n">
        <x:v>0.45405074999999995</x:v>
      </x:c>
      <x:c r="J12" s="96" t="n">
        <x:f>(I12-H12)*100</x:f>
        <x:v>0.3332809999999964</x:v>
      </x:c>
      <x:c r="K12" s="54" t="n">
        <x:v>68</x:v>
      </x:c>
      <x:c r="L12" s="54" t="n">
        <x:v>63</x:v>
      </x:c>
      <x:c r="M12" s="54" t="n">
        <x:f>IF(OR(K12="",L12=""),"",L12-K12)</x:f>
        <x:v>-5</x:v>
      </x:c>
      <x:c r="N12" s="54" t="n">
        <x:f>IF(M12="","",ABS(M12))</x:f>
        <x:v>5</x:v>
      </x:c>
    </x:row>
    <x:row r="13">
      <x:c r="A13" s="54" t="n">
        <x:v>2026</x:v>
      </x:c>
      <x:c r="B13" s="54" t="n">
        <x:v>61353</x:v>
      </x:c>
      <x:c r="C13" s="54" t="str">
        <x:v>고종욱</x:v>
      </x:c>
      <x:c r="D13" s="54" t="str">
        <x:v>KIA</x:v>
      </x:c>
      <x:c r="E13" s="54" t="n">
        <x:v>124</x:v>
      </x:c>
      <x:c r="F13" s="108" t="b">
        <x:v>0</x:v>
      </x:c>
      <x:c r="G13" s="111" t="n">
        <x:v>0.48387096999999996</x:v>
      </x:c>
      <x:c r="H13" s="111" t="n">
        <x:v>0.44509205</x:v>
      </x:c>
      <x:c r="I13" s="111" t="n">
        <x:v>0.44277155</x:v>
      </x:c>
      <x:c r="J13" s="96" t="n">
        <x:f>(I13-H13)*100</x:f>
        <x:v>-0.2320500000000003</x:v>
      </x:c>
      <x:c r="K13" s="54"/>
      <x:c r="L13" s="54"/>
      <x:c r="M13" s="54" t="str">
        <x:f>IF(OR(K13="",L13=""),"",L13-K13)</x:f>
      </x:c>
      <x:c r="N13" s="54" t="str">
        <x:f>IF(M13="","",ABS(M13))</x:f>
      </x:c>
    </x:row>
    <x:row r="14">
      <x:c r="A14" s="54" t="n">
        <x:v>2026</x:v>
      </x:c>
      <x:c r="B14" s="54" t="n">
        <x:v>56949</x:v>
      </x:c>
      <x:c r="C14" s="54" t="str">
        <x:v>고준휘</x:v>
      </x:c>
      <x:c r="D14" s="54" t="str">
        <x:v>NC</x:v>
      </x:c>
      <x:c r="E14" s="54" t="n">
        <x:v>195</x:v>
      </x:c>
      <x:c r="F14" s="108" t="b">
        <x:v>0</x:v>
      </x:c>
      <x:c r="G14" s="111" t="n">
        <x:v>0.48717949</x:v>
      </x:c>
      <x:c r="H14" s="111" t="n">
        <x:v>0.45982854</x:v>
      </x:c>
      <x:c r="I14" s="111" t="n">
        <x:v>0.46916515</x:v>
      </x:c>
      <x:c r="J14" s="96" t="n">
        <x:f>(I14-H14)*100</x:f>
        <x:v>0.9336609999999967</x:v>
      </x:c>
      <x:c r="K14" s="54"/>
      <x:c r="L14" s="54"/>
      <x:c r="M14" s="54" t="str">
        <x:f>IF(OR(K14="",L14=""),"",L14-K14)</x:f>
      </x:c>
      <x:c r="N14" s="54" t="str">
        <x:f>IF(M14="","",ABS(M14))</x:f>
      </x:c>
    </x:row>
    <x:row r="15">
      <x:c r="A15" s="54" t="n">
        <x:v>2026</x:v>
      </x:c>
      <x:c r="B15" s="54" t="n">
        <x:v>69100</x:v>
      </x:c>
      <x:c r="C15" s="54" t="str">
        <x:v>구본혁</x:v>
      </x:c>
      <x:c r="D15" s="54" t="str">
        <x:v>LG</x:v>
      </x:c>
      <x:c r="E15" s="54" t="n">
        <x:v>1079</x:v>
      </x:c>
      <x:c r="F15" s="108" t="b">
        <x:v>1</x:v>
      </x:c>
      <x:c r="G15" s="111" t="n">
        <x:v>0.5032437399999999</x:v>
      </x:c>
      <x:c r="H15" s="111" t="n">
        <x:v>0.47132805</x:v>
      </x:c>
      <x:c r="I15" s="111" t="n">
        <x:v>0.46916542</x:v>
      </x:c>
      <x:c r="J15" s="96" t="n">
        <x:f>(I15-H15)*100</x:f>
        <x:v>-0.21626299999999987</x:v>
      </x:c>
      <x:c r="K15" s="54" t="n">
        <x:v>10</x:v>
      </x:c>
      <x:c r="L15" s="54" t="n">
        <x:v>13</x:v>
      </x:c>
      <x:c r="M15" s="54" t="n">
        <x:f>IF(OR(K15="",L15=""),"",L15-K15)</x:f>
        <x:v>3</x:v>
      </x:c>
      <x:c r="N15" s="54" t="n">
        <x:f>IF(M15="","",ABS(M15))</x:f>
        <x:v>3</x:v>
      </x:c>
    </x:row>
    <x:row r="16">
      <x:c r="A16" s="54" t="n">
        <x:v>2026</x:v>
      </x:c>
      <x:c r="B16" s="54" t="n">
        <x:v>62404</x:v>
      </x:c>
      <x:c r="C16" s="54" t="str">
        <x:v>구자욱</x:v>
      </x:c>
      <x:c r="D16" s="54" t="str">
        <x:v>SAM</x:v>
      </x:c>
      <x:c r="E16" s="54" t="n">
        <x:v>1681</x:v>
      </x:c>
      <x:c r="F16" s="108" t="b">
        <x:v>1</x:v>
      </x:c>
      <x:c r="G16" s="111" t="n">
        <x:v>0.43961927</x:v>
      </x:c>
      <x:c r="H16" s="111" t="n">
        <x:v>0.43053854</x:v>
      </x:c>
      <x:c r="I16" s="111" t="n">
        <x:v>0.43324993999999994</x:v>
      </x:c>
      <x:c r="J16" s="96" t="n">
        <x:f>(I16-H16)*100</x:f>
        <x:v>0.27113999999999194</x:v>
      </x:c>
      <x:c r="K16" s="54" t="n">
        <x:v>135</x:v>
      </x:c>
      <x:c r="L16" s="54" t="n">
        <x:v>127</x:v>
      </x:c>
      <x:c r="M16" s="54" t="n">
        <x:f>IF(OR(K16="",L16=""),"",L16-K16)</x:f>
        <x:v>-8</x:v>
      </x:c>
      <x:c r="N16" s="54" t="n">
        <x:f>IF(M16="","",ABS(M16))</x:f>
        <x:v>8</x:v>
      </x:c>
    </x:row>
    <x:row r="17">
      <x:c r="A17" s="54" t="n">
        <x:v>2026</x:v>
      </x:c>
      <x:c r="B17" s="54" t="n">
        <x:v>52769</x:v>
      </x:c>
      <x:c r="C17" s="54" t="str">
        <x:v>권광민</x:v>
      </x:c>
      <x:c r="D17" s="54" t="str">
        <x:v>HAN</x:v>
      </x:c>
      <x:c r="E17" s="54" t="n">
        <x:v>37</x:v>
      </x:c>
      <x:c r="F17" s="108" t="b">
        <x:v>0</x:v>
      </x:c>
      <x:c r="G17" s="111" t="n">
        <x:v>0.40540540999999997</x:v>
      </x:c>
      <x:c r="H17" s="111" t="n">
        <x:v>0.52787485</x:v>
      </x:c>
      <x:c r="I17" s="111" t="n">
        <x:v>0.53342051</x:v>
      </x:c>
      <x:c r="J17" s="96" t="n">
        <x:f>(I17-H17)*100</x:f>
        <x:v>0.5545660000000008</x:v>
      </x:c>
      <x:c r="K17" s="54"/>
      <x:c r="L17" s="54"/>
      <x:c r="M17" s="54" t="str">
        <x:f>IF(OR(K17="",L17=""),"",L17-K17)</x:f>
      </x:c>
      <x:c r="N17" s="54" t="str">
        <x:f>IF(M17="","",ABS(M17))</x:f>
      </x:c>
    </x:row>
    <x:row r="18">
      <x:c r="A18" s="54" t="n">
        <x:v>2026</x:v>
      </x:c>
      <x:c r="B18" s="54" t="n">
        <x:v>51003</x:v>
      </x:c>
      <x:c r="C18" s="54" t="str">
        <x:v>권동진</x:v>
      </x:c>
      <x:c r="D18" s="54" t="str">
        <x:v>KT</x:v>
      </x:c>
      <x:c r="E18" s="54" t="n">
        <x:v>894</x:v>
      </x:c>
      <x:c r="F18" s="108" t="b">
        <x:v>1</x:v>
      </x:c>
      <x:c r="G18" s="111" t="n">
        <x:v>0.44742729</x:v>
      </x:c>
      <x:c r="H18" s="111" t="n">
        <x:v>0.45509051999999994</x:v>
      </x:c>
      <x:c r="I18" s="111" t="n">
        <x:v>0.45739119</x:v>
      </x:c>
      <x:c r="J18" s="96" t="n">
        <x:f>(I18-H18)*100</x:f>
        <x:v>0.23006700000000602</x:v>
      </x:c>
      <x:c r="K18" s="54" t="n">
        <x:v>60</x:v>
      </x:c>
      <x:c r="L18" s="54" t="n">
        <x:v>45</x:v>
      </x:c>
      <x:c r="M18" s="54" t="n">
        <x:f>IF(OR(K18="",L18=""),"",L18-K18)</x:f>
        <x:v>-15</x:v>
      </x:c>
      <x:c r="N18" s="54" t="n">
        <x:f>IF(M18="","",ABS(M18))</x:f>
        <x:v>15</x:v>
      </x:c>
    </x:row>
    <x:row r="19">
      <x:c r="A19" s="54" t="n">
        <x:v>2026</x:v>
      </x:c>
      <x:c r="B19" s="54" t="n">
        <x:v>55371</x:v>
      </x:c>
      <x:c r="C19" s="54" t="str">
        <x:v>권혁빈</x:v>
      </x:c>
      <x:c r="D19" s="54" t="str">
        <x:v>KIW</x:v>
      </x:c>
      <x:c r="E19" s="54" t="n">
        <x:v>938</x:v>
      </x:c>
      <x:c r="F19" s="108" t="b">
        <x:v>1</x:v>
      </x:c>
      <x:c r="G19" s="111" t="n">
        <x:v>0.43603411999999997</x:v>
      </x:c>
      <x:c r="H19" s="111" t="n">
        <x:v>0.46069169000000004</x:v>
      </x:c>
      <x:c r="I19" s="111" t="n">
        <x:v>0.45995759999999997</x:v>
      </x:c>
      <x:c r="J19" s="96" t="n">
        <x:f>(I19-H19)*100</x:f>
        <x:v>-0.07340900000000761</x:v>
      </x:c>
      <x:c r="K19" s="54" t="n">
        <x:v>31</x:v>
      </x:c>
      <x:c r="L19" s="54" t="n">
        <x:v>37</x:v>
      </x:c>
      <x:c r="M19" s="54" t="n">
        <x:f>IF(OR(K19="",L19=""),"",L19-K19)</x:f>
        <x:v>6</x:v>
      </x:c>
      <x:c r="N19" s="54" t="n">
        <x:f>IF(M19="","",ABS(M19))</x:f>
        <x:v>6</x:v>
      </x:c>
    </x:row>
    <x:row r="20">
      <x:c r="A20" s="54" t="n">
        <x:v>2026</x:v>
      </x:c>
      <x:c r="B20" s="54" t="n">
        <x:v>63963</x:v>
      </x:c>
      <x:c r="C20" s="54" t="str">
        <x:v>권희동</x:v>
      </x:c>
      <x:c r="D20" s="54" t="str">
        <x:v>NC</x:v>
      </x:c>
      <x:c r="E20" s="54" t="n">
        <x:v>990</x:v>
      </x:c>
      <x:c r="F20" s="108" t="b">
        <x:v>1</x:v>
      </x:c>
      <x:c r="G20" s="111" t="n">
        <x:v>0.32020202</x:v>
      </x:c>
      <x:c r="H20" s="111" t="n">
        <x:v>0.47925659000000004</x:v>
      </x:c>
      <x:c r="I20" s="111" t="n">
        <x:v>0.48227912000000006</x:v>
      </x:c>
      <x:c r="J20" s="96" t="n">
        <x:f>(I20-H20)*100</x:f>
        <x:v>0.3022530000000023</x:v>
      </x:c>
      <x:c r="K20" s="54" t="n">
        <x:v>4</x:v>
      </x:c>
      <x:c r="L20" s="54" t="n">
        <x:v>2</x:v>
      </x:c>
      <x:c r="M20" s="54" t="n">
        <x:f>IF(OR(K20="",L20=""),"",L20-K20)</x:f>
        <x:v>-2</x:v>
      </x:c>
      <x:c r="N20" s="54" t="n">
        <x:f>IF(M20="","",ABS(M20))</x:f>
        <x:v>2</x:v>
      </x:c>
    </x:row>
    <x:row r="21">
      <x:c r="A21" s="54" t="n">
        <x:v>2026</x:v>
      </x:c>
      <x:c r="B21" s="54" t="n">
        <x:v>53312</x:v>
      </x:c>
      <x:c r="C21" s="54" t="str">
        <x:v>김건희</x:v>
      </x:c>
      <x:c r="D21" s="54" t="str">
        <x:v>KIW</x:v>
      </x:c>
      <x:c r="E21" s="54" t="n">
        <x:v>1468</x:v>
      </x:c>
      <x:c r="F21" s="108" t="b">
        <x:v>1</x:v>
      </x:c>
      <x:c r="G21" s="111" t="n">
        <x:v>0.49114441</x:v>
      </x:c>
      <x:c r="H21" s="111" t="n">
        <x:v>0.45763509999999996</x:v>
      </x:c>
      <x:c r="I21" s="111" t="n">
        <x:v>0.45645508999999995</x:v>
      </x:c>
      <x:c r="J21" s="96" t="n">
        <x:f>(I21-H21)*100</x:f>
        <x:v>-0.11800100000000091</x:v>
      </x:c>
      <x:c r="K21" s="54" t="n">
        <x:v>48</x:v>
      </x:c>
      <x:c r="L21" s="54" t="n">
        <x:v>52</x:v>
      </x:c>
      <x:c r="M21" s="54" t="n">
        <x:f>IF(OR(K21="",L21=""),"",L21-K21)</x:f>
        <x:v>4</x:v>
      </x:c>
      <x:c r="N21" s="54" t="n">
        <x:f>IF(M21="","",ABS(M21))</x:f>
        <x:v>4</x:v>
      </x:c>
    </x:row>
    <x:row r="22">
      <x:c r="A22" s="54" t="n">
        <x:v>2026</x:v>
      </x:c>
      <x:c r="B22" s="54" t="n">
        <x:v>66614</x:v>
      </x:c>
      <x:c r="C22" s="54" t="str">
        <x:v>김규성</x:v>
      </x:c>
      <x:c r="D22" s="54" t="str">
        <x:v>KIA</x:v>
      </x:c>
      <x:c r="E22" s="54" t="n">
        <x:v>748</x:v>
      </x:c>
      <x:c r="F22" s="108" t="b">
        <x:v>1</x:v>
      </x:c>
      <x:c r="G22" s="111" t="n">
        <x:v>0.4131016</x:v>
      </x:c>
      <x:c r="H22" s="111" t="n">
        <x:v>0.46440282000000005</x:v>
      </x:c>
      <x:c r="I22" s="111" t="n">
        <x:v>0.46395432</x:v>
      </x:c>
      <x:c r="J22" s="96" t="n">
        <x:f>(I22-H22)*100</x:f>
        <x:v>-0.044850000000007384</x:v>
      </x:c>
      <x:c r="K22" s="54" t="n">
        <x:v>18</x:v>
      </x:c>
      <x:c r="L22" s="54" t="n">
        <x:v>23</x:v>
      </x:c>
      <x:c r="M22" s="54" t="n">
        <x:f>IF(OR(K22="",L22=""),"",L22-K22)</x:f>
        <x:v>5</x:v>
      </x:c>
      <x:c r="N22" s="54" t="n">
        <x:f>IF(M22="","",ABS(M22))</x:f>
        <x:v>5</x:v>
      </x:c>
    </x:row>
    <x:row r="23">
      <x:c r="A23" s="54" t="n">
        <x:v>2026</x:v>
      </x:c>
      <x:c r="B23" s="54" t="n">
        <x:v>66112</x:v>
      </x:c>
      <x:c r="C23" s="54" t="str">
        <x:v>김기연</x:v>
      </x:c>
      <x:c r="D23" s="54" t="str">
        <x:v>DOO</x:v>
      </x:c>
      <x:c r="E23" s="54" t="n">
        <x:v>168</x:v>
      </x:c>
      <x:c r="F23" s="108" t="b">
        <x:v>0</x:v>
      </x:c>
      <x:c r="G23" s="111" t="n">
        <x:v>0.53571429</x:v>
      </x:c>
      <x:c r="H23" s="111" t="n">
        <x:v>0.43782594</x:v>
      </x:c>
      <x:c r="I23" s="111" t="n">
        <x:v>0.43697189999999997</x:v>
      </x:c>
      <x:c r="J23" s="96" t="n">
        <x:f>(I23-H23)*100</x:f>
        <x:v>-0.08540400000000559</x:v>
      </x:c>
      <x:c r="K23" s="54"/>
      <x:c r="L23" s="54"/>
      <x:c r="M23" s="54" t="str">
        <x:f>IF(OR(K23="",L23=""),"",L23-K23)</x:f>
      </x:c>
      <x:c r="N23" s="54" t="str">
        <x:f>IF(M23="","",ABS(M23))</x:f>
      </x:c>
    </x:row>
    <x:row r="24">
      <x:c r="A24" s="54" t="n">
        <x:v>2026</x:v>
      </x:c>
      <x:c r="B24" s="54" t="n">
        <x:v>69238</x:v>
      </x:c>
      <x:c r="C24" s="54" t="str">
        <x:v>김대한</x:v>
      </x:c>
      <x:c r="D24" s="54" t="str">
        <x:v>DOO</x:v>
      </x:c>
      <x:c r="E24" s="54" t="n">
        <x:v>383</x:v>
      </x:c>
      <x:c r="F24" s="108" t="b">
        <x:v>1</x:v>
      </x:c>
      <x:c r="G24" s="111" t="n">
        <x:v>0.49869452000000003</x:v>
      </x:c>
      <x:c r="H24" s="111" t="n">
        <x:v>0.45946556</x:v>
      </x:c>
      <x:c r="I24" s="111" t="n">
        <x:v>0.45793607999999997</x:v>
      </x:c>
      <x:c r="J24" s="96" t="n">
        <x:f>(I24-H24)*100</x:f>
        <x:v>-0.15294800000000275</x:v>
      </x:c>
      <x:c r="K24" s="54" t="n">
        <x:v>41</x:v>
      </x:c>
      <x:c r="L24" s="54" t="n">
        <x:v>42</x:v>
      </x:c>
      <x:c r="M24" s="54" t="n">
        <x:f>IF(OR(K24="",L24=""),"",L24-K24)</x:f>
        <x:v>1</x:v>
      </x:c>
      <x:c r="N24" s="54" t="n">
        <x:f>IF(M24="","",ABS(M24))</x:f>
        <x:v>1</x:v>
      </x:c>
    </x:row>
    <x:row r="25">
      <x:c r="A25" s="54" t="n">
        <x:v>2026</x:v>
      </x:c>
      <x:c r="B25" s="54" t="n">
        <x:v>52605</x:v>
      </x:c>
      <x:c r="C25" s="54" t="str">
        <x:v>김도영</x:v>
      </x:c>
      <x:c r="D25" s="54" t="str">
        <x:v>KIA</x:v>
      </x:c>
      <x:c r="E25" s="54" t="n">
        <x:v>1908</x:v>
      </x:c>
      <x:c r="F25" s="108" t="b">
        <x:v>1</x:v>
      </x:c>
      <x:c r="G25" s="111" t="n">
        <x:v>0.43553458999999994</x:v>
      </x:c>
      <x:c r="H25" s="111" t="n">
        <x:v>0.43432571000000003</x:v>
      </x:c>
      <x:c r="I25" s="111" t="n">
        <x:v>0.43099162</x:v>
      </x:c>
      <x:c r="J25" s="96" t="n">
        <x:f>(I25-H25)*100</x:f>
        <x:v>-0.3334090000000012</x:v>
      </x:c>
      <x:c r="K25" s="54" t="n">
        <x:v>124</x:v>
      </x:c>
      <x:c r="L25" s="54" t="n">
        <x:v>133</x:v>
      </x:c>
      <x:c r="M25" s="54" t="n">
        <x:f>IF(OR(K25="",L25=""),"",L25-K25)</x:f>
        <x:v>9</x:v>
      </x:c>
      <x:c r="N25" s="54" t="n">
        <x:f>IF(M25="","",ABS(M25))</x:f>
        <x:v>9</x:v>
      </x:c>
    </x:row>
    <x:row r="26">
      <x:c r="A26" s="54" t="n">
        <x:v>2026</x:v>
      </x:c>
      <x:c r="B26" s="54" t="n">
        <x:v>69442</x:v>
      </x:c>
      <x:c r="C26" s="54" t="str">
        <x:v>김도환</x:v>
      </x:c>
      <x:c r="D26" s="54" t="str">
        <x:v>SAM</x:v>
      </x:c>
      <x:c r="E26" s="54" t="n">
        <x:v>430</x:v>
      </x:c>
      <x:c r="F26" s="108" t="b">
        <x:v>1</x:v>
      </x:c>
      <x:c r="G26" s="111" t="n">
        <x:v>0.43953488</x:v>
      </x:c>
      <x:c r="H26" s="111" t="n">
        <x:v>0.44441368</x:v>
      </x:c>
      <x:c r="I26" s="111" t="n">
        <x:v>0.44829467</x:v>
      </x:c>
      <x:c r="J26" s="96" t="n">
        <x:f>(I26-H26)*100</x:f>
        <x:v>0.38809900000000286</x:v>
      </x:c>
      <x:c r="K26" s="54" t="n">
        <x:v>87</x:v>
      </x:c>
      <x:c r="L26" s="54" t="n">
        <x:v>81</x:v>
      </x:c>
      <x:c r="M26" s="54" t="n">
        <x:f>IF(OR(K26="",L26=""),"",L26-K26)</x:f>
        <x:v>-6</x:v>
      </x:c>
      <x:c r="N26" s="54" t="n">
        <x:f>IF(M26="","",ABS(M26))</x:f>
        <x:v>6</x:v>
      </x:c>
    </x:row>
    <x:row r="27">
      <x:c r="A27" s="54" t="n">
        <x:v>2026</x:v>
      </x:c>
      <x:c r="B27" s="54" t="n">
        <x:v>53344</x:v>
      </x:c>
      <x:c r="C27" s="54" t="str">
        <x:v>김동헌</x:v>
      </x:c>
      <x:c r="D27" s="54" t="str">
        <x:v>KIW</x:v>
      </x:c>
      <x:c r="E27" s="54" t="n">
        <x:v>261</x:v>
      </x:c>
      <x:c r="F27" s="108" t="b">
        <x:v>0</x:v>
      </x:c>
      <x:c r="G27" s="111" t="n">
        <x:v>0.46360153</x:v>
      </x:c>
      <x:c r="H27" s="111" t="n">
        <x:v>0.47053521000000004</x:v>
      </x:c>
      <x:c r="I27" s="111" t="n">
        <x:v>0.47544671</x:v>
      </x:c>
      <x:c r="J27" s="96" t="n">
        <x:f>(I27-H27)*100</x:f>
        <x:v>0.49114999999999576</x:v>
      </x:c>
      <x:c r="K27" s="54"/>
      <x:c r="L27" s="54"/>
      <x:c r="M27" s="54" t="str">
        <x:f>IF(OR(K27="",L27=""),"",L27-K27)</x:f>
      </x:c>
      <x:c r="N27" s="54" t="str">
        <x:f>IF(M27="","",ABS(M27))</x:f>
      </x:c>
    </x:row>
    <x:row r="28">
      <x:c r="A28" s="54" t="n">
        <x:v>2026</x:v>
      </x:c>
      <x:c r="B28" s="54" t="n">
        <x:v>52504</x:v>
      </x:c>
      <x:c r="C28" s="54" t="str">
        <x:v>김동혁</x:v>
      </x:c>
      <x:c r="D28" s="54" t="str">
        <x:v>LOT</x:v>
      </x:c>
      <x:c r="E28" s="54" t="n">
        <x:v>102</x:v>
      </x:c>
      <x:c r="F28" s="108" t="b">
        <x:v>0</x:v>
      </x:c>
      <x:c r="G28" s="111" t="n">
        <x:v>0.40196078</x:v>
      </x:c>
      <x:c r="H28" s="111" t="n">
        <x:v>0.43325226</x:v>
      </x:c>
      <x:c r="I28" s="111" t="n">
        <x:v>0.44278019</x:v>
      </x:c>
      <x:c r="J28" s="96" t="n">
        <x:f>(I28-H28)*100</x:f>
        <x:v>0.9527930000000018</x:v>
      </x:c>
      <x:c r="K28" s="54"/>
      <x:c r="L28" s="54"/>
      <x:c r="M28" s="54" t="str">
        <x:f>IF(OR(K28="",L28=""),"",L28-K28)</x:f>
      </x:c>
      <x:c r="N28" s="54" t="str">
        <x:f>IF(M28="","",ABS(M28))</x:f>
      </x:c>
    </x:row>
    <x:row r="29">
      <x:c r="A29" s="54" t="n">
        <x:v>2026</x:v>
      </x:c>
      <x:c r="B29" s="54" t="n">
        <x:v>55502</x:v>
      </x:c>
      <x:c r="C29" s="54" t="str">
        <x:v>김동현</x:v>
      </x:c>
      <x:c r="D29" s="54" t="str">
        <x:v>LOT</x:v>
      </x:c>
      <x:c r="E29" s="54" t="n">
        <x:v>181</x:v>
      </x:c>
      <x:c r="F29" s="108" t="b">
        <x:v>0</x:v>
      </x:c>
      <x:c r="G29" s="111" t="n">
        <x:v>0.43646408999999997</x:v>
      </x:c>
      <x:c r="H29" s="111" t="n">
        <x:v>0.45103563</x:v>
      </x:c>
      <x:c r="I29" s="111" t="n">
        <x:v>0.45017508999999994</x:v>
      </x:c>
      <x:c r="J29" s="96" t="n">
        <x:f>(I29-H29)*100</x:f>
        <x:v>-0.08605400000000762</x:v>
      </x:c>
      <x:c r="K29" s="54"/>
      <x:c r="L29" s="54"/>
      <x:c r="M29" s="54" t="str">
        <x:f>IF(OR(K29="",L29=""),"",L29-K29)</x:f>
      </x:c>
      <x:c r="N29" s="54" t="str">
        <x:f>IF(M29="","",ABS(M29))</x:f>
      </x:c>
    </x:row>
    <x:row r="30">
      <x:c r="A30" s="54" t="n">
        <x:v>2026</x:v>
      </x:c>
      <x:c r="B30" s="54" t="n">
        <x:v>56637</x:v>
      </x:c>
      <x:c r="C30" s="54" t="str">
        <x:v>김민규</x:v>
      </x:c>
      <x:c r="D30" s="54" t="str">
        <x:v>KIA</x:v>
      </x:c>
      <x:c r="E30" s="54" t="n">
        <x:v>167</x:v>
      </x:c>
      <x:c r="F30" s="108" t="b">
        <x:v>0</x:v>
      </x:c>
      <x:c r="G30" s="111" t="n">
        <x:v>0.5508982</x:v>
      </x:c>
      <x:c r="H30" s="111" t="n">
        <x:v>0.48764359</x:v>
      </x:c>
      <x:c r="I30" s="111" t="n">
        <x:v>0.49390631</x:v>
      </x:c>
      <x:c r="J30" s="96" t="n">
        <x:f>(I30-H30)*100</x:f>
        <x:v>0.6262719999999999</x:v>
      </x:c>
      <x:c r="K30" s="54"/>
      <x:c r="L30" s="54"/>
      <x:c r="M30" s="54" t="str">
        <x:f>IF(OR(K30="",L30=""),"",L30-K30)</x:f>
      </x:c>
      <x:c r="N30" s="54" t="str">
        <x:f>IF(M30="","",ABS(M30))</x:f>
      </x:c>
    </x:row>
    <x:row r="31">
      <x:c r="A31" s="54" t="n">
        <x:v>2026</x:v>
      </x:c>
      <x:c r="B31" s="54" t="n">
        <x:v>53554</x:v>
      </x:c>
      <x:c r="C31" s="54" t="str">
        <x:v>김민석</x:v>
      </x:c>
      <x:c r="D31" s="54" t="str">
        <x:v>DOO</x:v>
      </x:c>
      <x:c r="E31" s="54" t="n">
        <x:v>1658</x:v>
      </x:c>
      <x:c r="F31" s="108" t="b">
        <x:v>1</x:v>
      </x:c>
      <x:c r="G31" s="111" t="n">
        <x:v>0.41073582999999997</x:v>
      </x:c>
      <x:c r="H31" s="111" t="n">
        <x:v>0.44930269</x:v>
      </x:c>
      <x:c r="I31" s="111" t="n">
        <x:v>0.44608258</x:v>
      </x:c>
      <x:c r="J31" s="96" t="n">
        <x:f>(I31-H31)*100</x:f>
        <x:v>-0.3220109999999998</x:v>
      </x:c>
      <x:c r="K31" s="54" t="n">
        <x:v>76</x:v>
      </x:c>
      <x:c r="L31" s="54" t="n">
        <x:v>88</x:v>
      </x:c>
      <x:c r="M31" s="54" t="n">
        <x:f>IF(OR(K31="",L31=""),"",L31-K31)</x:f>
        <x:v>12</x:v>
      </x:c>
      <x:c r="N31" s="54" t="n">
        <x:f>IF(M31="","",ABS(M31))</x:f>
        <x:v>12</x:v>
      </x:c>
    </x:row>
    <x:row r="32">
      <x:c r="A32" s="54" t="n">
        <x:v>2026</x:v>
      </x:c>
      <x:c r="B32" s="54" t="n">
        <x:v>54097</x:v>
      </x:c>
      <x:c r="C32" s="54" t="str">
        <x:v>김민석</x:v>
      </x:c>
      <x:c r="D32" s="54" t="str">
        <x:v>KT</x:v>
      </x:c>
      <x:c r="E32" s="54" t="n">
        <x:v>5</x:v>
      </x:c>
      <x:c r="F32" s="108" t="b">
        <x:v>0</x:v>
      </x:c>
      <x:c r="G32" s="111" t="n">
        <x:v>0.2</x:v>
      </x:c>
      <x:c r="H32" s="111" t="n">
        <x:v>0.0936017</x:v>
      </x:c>
      <x:c r="I32" s="111" t="n">
        <x:v>0.0782017</x:v>
      </x:c>
      <x:c r="J32" s="96" t="n">
        <x:f>(I32-H32)*100</x:f>
        <x:v>-1.5399999999999996</x:v>
      </x:c>
      <x:c r="K32" s="54"/>
      <x:c r="L32" s="54"/>
      <x:c r="M32" s="54" t="str">
        <x:f>IF(OR(K32="",L32=""),"",L32-K32)</x:f>
      </x:c>
      <x:c r="N32" s="54" t="str">
        <x:f>IF(M32="","",ABS(M32))</x:f>
      </x:c>
    </x:row>
    <x:row r="33">
      <x:c r="A33" s="54" t="n">
        <x:v>2026</x:v>
      </x:c>
      <x:c r="B33" s="54" t="n">
        <x:v>77564</x:v>
      </x:c>
      <x:c r="C33" s="54" t="str">
        <x:v>김민성</x:v>
      </x:c>
      <x:c r="D33" s="54" t="str">
        <x:v>LOT</x:v>
      </x:c>
      <x:c r="E33" s="54" t="n">
        <x:v>136</x:v>
      </x:c>
      <x:c r="F33" s="108" t="b">
        <x:v>0</x:v>
      </x:c>
      <x:c r="G33" s="111" t="n">
        <x:v>0.45588235</x:v>
      </x:c>
      <x:c r="H33" s="111" t="n">
        <x:v>0.47293827</x:v>
      </x:c>
      <x:c r="I33" s="111" t="n">
        <x:v>0.47127561</x:v>
      </x:c>
      <x:c r="J33" s="96" t="n">
        <x:f>(I33-H33)*100</x:f>
        <x:v>-0.16626599999999825</x:v>
      </x:c>
      <x:c r="K33" s="54"/>
      <x:c r="L33" s="54"/>
      <x:c r="M33" s="54" t="str">
        <x:f>IF(OR(K33="",L33=""),"",L33-K33)</x:f>
      </x:c>
      <x:c r="N33" s="54" t="str">
        <x:f>IF(M33="","",ABS(M33))</x:f>
      </x:c>
    </x:row>
    <x:row r="34">
      <x:c r="A34" s="54" t="n">
        <x:v>2026</x:v>
      </x:c>
      <x:c r="B34" s="54" t="n">
        <x:v>64793</x:v>
      </x:c>
      <x:c r="C34" s="54" t="str">
        <x:v>김민수</x:v>
      </x:c>
      <x:c r="D34" s="54" t="str">
        <x:v>LG</x:v>
      </x:c>
      <x:c r="E34" s="54" t="n">
        <x:v>11</x:v>
      </x:c>
      <x:c r="F34" s="108" t="b">
        <x:v>0</x:v>
      </x:c>
      <x:c r="G34" s="111" t="n">
        <x:v>0.54545455</x:v>
      </x:c>
      <x:c r="H34" s="111" t="n">
        <x:v>0.5503020399999999</x:v>
      </x:c>
      <x:c r="I34" s="111" t="n">
        <x:v>0.5601537600000001</x:v>
      </x:c>
      <x:c r="J34" s="96" t="n">
        <x:f>(I34-H34)*100</x:f>
        <x:v>0.9851720000000119</x:v>
      </x:c>
      <x:c r="K34" s="54"/>
      <x:c r="L34" s="54"/>
      <x:c r="M34" s="54" t="str">
        <x:f>IF(OR(K34="",L34=""),"",L34-K34)</x:f>
      </x:c>
      <x:c r="N34" s="54" t="str">
        <x:f>IF(M34="","",ABS(M34))</x:f>
      </x:c>
    </x:row>
    <x:row r="35">
      <x:c r="A35" s="54" t="n">
        <x:v>2026</x:v>
      </x:c>
      <x:c r="B35" s="54" t="n">
        <x:v>62864</x:v>
      </x:c>
      <x:c r="C35" s="54" t="str">
        <x:v>김민식</x:v>
      </x:c>
      <x:c r="D35" s="54" t="str">
        <x:v>SSG</x:v>
      </x:c>
      <x:c r="E35" s="54" t="n">
        <x:v>100</x:v>
      </x:c>
      <x:c r="F35" s="108" t="b">
        <x:v>0</x:v>
      </x:c>
      <x:c r="G35" s="111" t="n">
        <x:v>0.47</x:v>
      </x:c>
      <x:c r="H35" s="111" t="n">
        <x:v>0.51029855</x:v>
      </x:c>
      <x:c r="I35" s="111" t="n">
        <x:v>0.49015810000000004</x:v>
      </x:c>
      <x:c r="J35" s="96" t="n">
        <x:f>(I35-H35)*100</x:f>
        <x:v>-2.0140449999999976</x:v>
      </x:c>
      <x:c r="K35" s="54"/>
      <x:c r="L35" s="54"/>
      <x:c r="M35" s="54" t="str">
        <x:f>IF(OR(K35="",L35=""),"",L35-K35)</x:f>
      </x:c>
      <x:c r="N35" s="54" t="str">
        <x:f>IF(M35="","",ABS(M35))</x:f>
      </x:c>
    </x:row>
    <x:row r="36">
      <x:c r="A36" s="54" t="n">
        <x:v>2026</x:v>
      </x:c>
      <x:c r="B36" s="54" t="n">
        <x:v>53893</x:v>
      </x:c>
      <x:c r="C36" s="54" t="str">
        <x:v>김민준</x:v>
      </x:c>
      <x:c r="D36" s="54" t="str">
        <x:v>SSG</x:v>
      </x:c>
      <x:c r="E36" s="54" t="n">
        <x:v>35</x:v>
      </x:c>
      <x:c r="F36" s="108" t="b">
        <x:v>0</x:v>
      </x:c>
      <x:c r="G36" s="111" t="n">
        <x:v>0.57142857</x:v>
      </x:c>
      <x:c r="H36" s="111" t="n">
        <x:v>0.40914085</x:v>
      </x:c>
      <x:c r="I36" s="111" t="n">
        <x:v>0.38606857</x:v>
      </x:c>
      <x:c r="J36" s="96" t="n">
        <x:f>(I36-H36)*100</x:f>
        <x:v>-2.3072280000000003</x:v>
      </x:c>
      <x:c r="K36" s="54"/>
      <x:c r="L36" s="54"/>
      <x:c r="M36" s="54" t="str">
        <x:f>IF(OR(K36="",L36=""),"",L36-K36)</x:f>
      </x:c>
      <x:c r="N36" s="54" t="str">
        <x:f>IF(M36="","",ABS(M36))</x:f>
      </x:c>
    </x:row>
    <x:row r="37">
      <x:c r="A37" s="54" t="n">
        <x:v>2026</x:v>
      </x:c>
      <x:c r="B37" s="54" t="n">
        <x:v>64004</x:v>
      </x:c>
      <x:c r="C37" s="54" t="str">
        <x:v>김민혁</x:v>
      </x:c>
      <x:c r="D37" s="54" t="str">
        <x:v>KT</x:v>
      </x:c>
      <x:c r="E37" s="54" t="n">
        <x:v>1306</x:v>
      </x:c>
      <x:c r="F37" s="108" t="b">
        <x:v>1</x:v>
      </x:c>
      <x:c r="G37" s="111" t="n">
        <x:v>0.41730475</x:v>
      </x:c>
      <x:c r="H37" s="111" t="n">
        <x:v>0.44005986999999996</x:v>
      </x:c>
      <x:c r="I37" s="111" t="n">
        <x:v>0.44183599</x:v>
      </x:c>
      <x:c r="J37" s="96" t="n">
        <x:f>(I37-H37)*100</x:f>
        <x:v>0.17761200000000477</x:v>
      </x:c>
      <x:c r="K37" s="54" t="n">
        <x:v>102</x:v>
      </x:c>
      <x:c r="L37" s="54" t="n">
        <x:v>95</x:v>
      </x:c>
      <x:c r="M37" s="54" t="n">
        <x:f>IF(OR(K37="",L37=""),"",L37-K37)</x:f>
        <x:v>-7</x:v>
      </x:c>
      <x:c r="N37" s="54" t="n">
        <x:f>IF(M37="","",ABS(M37))</x:f>
        <x:v>7</x:v>
      </x:c>
    </x:row>
    <x:row r="38">
      <x:c r="A38" s="54" t="n">
        <x:v>2026</x:v>
      </x:c>
      <x:c r="B38" s="54" t="n">
        <x:v>79402</x:v>
      </x:c>
      <x:c r="C38" s="54" t="str">
        <x:v>김상수</x:v>
      </x:c>
      <x:c r="D38" s="54" t="str">
        <x:v>KT</x:v>
      </x:c>
      <x:c r="E38" s="54" t="n">
        <x:v>1648</x:v>
      </x:c>
      <x:c r="F38" s="108" t="b">
        <x:v>1</x:v>
      </x:c>
      <x:c r="G38" s="111" t="n">
        <x:v>0.36043689</x:v>
      </x:c>
      <x:c r="H38" s="111" t="n">
        <x:v>0.45818206000000006</x:v>
      </x:c>
      <x:c r="I38" s="111" t="n">
        <x:v>0.46066684</x:v>
      </x:c>
      <x:c r="J38" s="96" t="n">
        <x:f>(I38-H38)*100</x:f>
        <x:v>0.24847799999999642</x:v>
      </x:c>
      <x:c r="K38" s="54" t="n">
        <x:v>45</x:v>
      </x:c>
      <x:c r="L38" s="54" t="n">
        <x:v>33</x:v>
      </x:c>
      <x:c r="M38" s="54" t="n">
        <x:f>IF(OR(K38="",L38=""),"",L38-K38)</x:f>
        <x:v>-12</x:v>
      </x:c>
      <x:c r="N38" s="54" t="n">
        <x:f>IF(M38="","",ABS(M38))</x:f>
        <x:v>12</x:v>
      </x:c>
    </x:row>
    <x:row r="39">
      <x:c r="A39" s="54" t="n">
        <x:v>2026</x:v>
      </x:c>
      <x:c r="B39" s="54" t="n">
        <x:v>55425</x:v>
      </x:c>
      <x:c r="C39" s="54" t="str">
        <x:v>김상준</x:v>
      </x:c>
      <x:c r="D39" s="54" t="str">
        <x:v>SAM</x:v>
      </x:c>
      <x:c r="E39" s="54" t="n">
        <x:v>204</x:v>
      </x:c>
      <x:c r="F39" s="108" t="b">
        <x:v>0</x:v>
      </x:c>
      <x:c r="G39" s="111" t="n">
        <x:v>0.44607843</x:v>
      </x:c>
      <x:c r="H39" s="111" t="n">
        <x:v>0.42416035999999996</x:v>
      </x:c>
      <x:c r="I39" s="111" t="n">
        <x:v>0.4209753</x:v>
      </x:c>
      <x:c r="J39" s="96" t="n">
        <x:f>(I39-H39)*100</x:f>
        <x:v>-0.3185059999999962</x:v>
      </x:c>
      <x:c r="K39" s="54"/>
      <x:c r="L39" s="54"/>
      <x:c r="M39" s="54" t="str">
        <x:f>IF(OR(K39="",L39=""),"",L39-K39)</x:f>
      </x:c>
      <x:c r="N39" s="54" t="str">
        <x:f>IF(M39="","",ABS(M39))</x:f>
      </x:c>
    </x:row>
    <x:row r="40">
      <x:c r="A40" s="54" t="n">
        <x:v>2026</x:v>
      </x:c>
      <x:c r="B40" s="54" t="n">
        <x:v>78603</x:v>
      </x:c>
      <x:c r="C40" s="54" t="str">
        <x:v>김선빈</x:v>
      </x:c>
      <x:c r="D40" s="54" t="str">
        <x:v>KIA</x:v>
      </x:c>
      <x:c r="E40" s="54" t="n">
        <x:v>1825</x:v>
      </x:c>
      <x:c r="F40" s="108" t="b">
        <x:v>1</x:v>
      </x:c>
      <x:c r="G40" s="111" t="n">
        <x:v>0.37917808000000003</x:v>
      </x:c>
      <x:c r="H40" s="111" t="n">
        <x:v>0.4590242</x:v>
      </x:c>
      <x:c r="I40" s="111" t="n">
        <x:v>0.45633819000000003</x:v>
      </x:c>
      <x:c r="J40" s="96" t="n">
        <x:f>(I40-H40)*100</x:f>
        <x:v>-0.2686009999999961</x:v>
      </x:c>
      <x:c r="K40" s="54" t="n">
        <x:v>42</x:v>
      </x:c>
      <x:c r="L40" s="54" t="n">
        <x:v>53</x:v>
      </x:c>
      <x:c r="M40" s="54" t="n">
        <x:f>IF(OR(K40="",L40=""),"",L40-K40)</x:f>
        <x:v>11</x:v>
      </x:c>
      <x:c r="N40" s="54" t="n">
        <x:f>IF(M40="","",ABS(M40))</x:f>
        <x:v>11</x:v>
      </x:c>
    </x:row>
    <x:row r="41">
      <x:c r="A41" s="54" t="n">
        <x:v>2026</x:v>
      </x:c>
      <x:c r="B41" s="54" t="n">
        <x:v>62934</x:v>
      </x:c>
      <x:c r="C41" s="54" t="str">
        <x:v>김성욱</x:v>
      </x:c>
      <x:c r="D41" s="54" t="str">
        <x:v>SSG</x:v>
      </x:c>
      <x:c r="E41" s="54" t="n">
        <x:v>587</x:v>
      </x:c>
      <x:c r="F41" s="108" t="b">
        <x:v>1</x:v>
      </x:c>
      <x:c r="G41" s="111" t="n">
        <x:v>0.40374786999999995</x:v>
      </x:c>
      <x:c r="H41" s="111" t="n">
        <x:v>0.45275455000000003</x:v>
      </x:c>
      <x:c r="I41" s="111" t="n">
        <x:v>0.4527897</x:v>
      </x:c>
      <x:c r="J41" s="96" t="n">
        <x:f>(I41-H41)*100</x:f>
        <x:v>0.0035149999999983805</x:v>
      </x:c>
      <x:c r="K41" s="54" t="n">
        <x:v>61</x:v>
      </x:c>
      <x:c r="L41" s="54" t="n">
        <x:v>66</x:v>
      </x:c>
      <x:c r="M41" s="54" t="n">
        <x:f>IF(OR(K41="",L41=""),"",L41-K41)</x:f>
        <x:v>5</x:v>
      </x:c>
      <x:c r="N41" s="54" t="n">
        <x:f>IF(M41="","",ABS(M41))</x:f>
        <x:v>5</x:v>
      </x:c>
    </x:row>
    <x:row r="42">
      <x:c r="A42" s="54" t="n">
        <x:v>2026</x:v>
      </x:c>
      <x:c r="B42" s="54" t="n">
        <x:v>67449</x:v>
      </x:c>
      <x:c r="C42" s="54" t="str">
        <x:v>김성윤</x:v>
      </x:c>
      <x:c r="D42" s="54" t="str">
        <x:v>SAM</x:v>
      </x:c>
      <x:c r="E42" s="54" t="n">
        <x:v>1419</x:v>
      </x:c>
      <x:c r="F42" s="108" t="b">
        <x:v>1</x:v>
      </x:c>
      <x:c r="G42" s="111" t="n">
        <x:v>0.43551797000000003</x:v>
      </x:c>
      <x:c r="H42" s="111" t="n">
        <x:v>0.39801903000000005</x:v>
      </x:c>
      <x:c r="I42" s="111" t="n">
        <x:v>0.39732066000000005</x:v>
      </x:c>
      <x:c r="J42" s="96" t="n">
        <x:f>(I42-H42)*100</x:f>
        <x:v>-0.06983700000000037</x:v>
      </x:c>
      <x:c r="K42" s="54" t="n">
        <x:v>159</x:v>
      </x:c>
      <x:c r="L42" s="54" t="n">
        <x:v>159</x:v>
      </x:c>
      <x:c r="M42" s="54" t="n">
        <x:f>IF(OR(K42="",L42=""),"",L42-K42)</x:f>
        <x:v>0</x:v>
      </x:c>
      <x:c r="N42" s="54" t="str">
        <x:f>IF(M42="","",ABS(M42))</x:f>
      </x:c>
    </x:row>
    <x:row r="43">
      <x:c r="A43" s="54" t="n">
        <x:v>2026</x:v>
      </x:c>
      <x:c r="B43" s="54" t="n">
        <x:v>69105</x:v>
      </x:c>
      <x:c r="C43" s="54" t="str">
        <x:v>김성진</x:v>
      </x:c>
      <x:c r="D43" s="54" t="str">
        <x:v>LG</x:v>
      </x:c>
      <x:c r="E43" s="54" t="n">
        <x:v>29</x:v>
      </x:c>
      <x:c r="F43" s="108" t="b">
        <x:v>0</x:v>
      </x:c>
      <x:c r="G43" s="111" t="n">
        <x:v>0.5172413800000001</x:v>
      </x:c>
      <x:c r="H43" s="111" t="n">
        <x:v>0.45094468</x:v>
      </x:c>
      <x:c r="I43" s="111" t="n">
        <x:v>0.43182353999999995</x:v>
      </x:c>
      <x:c r="J43" s="96" t="n">
        <x:f>(I43-H43)*100</x:f>
        <x:v>-1.9121140000000036</x:v>
      </x:c>
      <x:c r="K43" s="54"/>
      <x:c r="L43" s="54"/>
      <x:c r="M43" s="54" t="str">
        <x:f>IF(OR(K43="",L43=""),"",L43-K43)</x:f>
      </x:c>
      <x:c r="N43" s="54" t="str">
        <x:f>IF(M43="","",ABS(M43))</x:f>
      </x:c>
    </x:row>
    <x:row r="44">
      <x:c r="A44" s="54" t="n">
        <x:v>2026</x:v>
      </x:c>
      <x:c r="B44" s="54" t="n">
        <x:v>52514</x:v>
      </x:c>
      <x:c r="C44" s="54" t="str">
        <x:v>김세민</x:v>
      </x:c>
      <x:c r="D44" s="54" t="str">
        <x:v>LOT</x:v>
      </x:c>
      <x:c r="E44" s="54" t="n">
        <x:v>176</x:v>
      </x:c>
      <x:c r="F44" s="108" t="b">
        <x:v>0</x:v>
      </x:c>
      <x:c r="G44" s="111" t="n">
        <x:v>0.47727273</x:v>
      </x:c>
      <x:c r="H44" s="111" t="n">
        <x:v>0.43735355</x:v>
      </x:c>
      <x:c r="I44" s="111" t="n">
        <x:v>0.42923319</x:v>
      </x:c>
      <x:c r="J44" s="96" t="n">
        <x:f>(I44-H44)*100</x:f>
        <x:v>-0.8120359999999993</x:v>
      </x:c>
      <x:c r="K44" s="54"/>
      <x:c r="L44" s="54"/>
      <x:c r="M44" s="54" t="str">
        <x:f>IF(OR(K44="",L44=""),"",L44-K44)</x:f>
      </x:c>
      <x:c r="N44" s="54" t="str">
        <x:f>IF(M44="","",ABS(M44))</x:f>
      </x:c>
    </x:row>
    <x:row r="45">
      <x:c r="A45" s="54" t="n">
        <x:v>2026</x:v>
      </x:c>
      <x:c r="B45" s="54" t="n">
        <x:v>52430</x:v>
      </x:c>
      <x:c r="C45" s="54" t="str">
        <x:v>김영웅</x:v>
      </x:c>
      <x:c r="D45" s="54" t="str">
        <x:v>SAM</x:v>
      </x:c>
      <x:c r="E45" s="54" t="n">
        <x:v>604</x:v>
      </x:c>
      <x:c r="F45" s="108" t="b">
        <x:v>1</x:v>
      </x:c>
      <x:c r="G45" s="111" t="n">
        <x:v>0.51821192</x:v>
      </x:c>
      <x:c r="H45" s="111" t="n">
        <x:v>0.45854244</x:v>
      </x:c>
      <x:c r="I45" s="111" t="n">
        <x:v>0.4565769</x:v>
      </x:c>
      <x:c r="J45" s="96" t="n">
        <x:f>(I45-H45)*100</x:f>
        <x:v>-0.19655399999999879</x:v>
      </x:c>
      <x:c r="K45" s="54" t="n">
        <x:v>43</x:v>
      </x:c>
      <x:c r="L45" s="54" t="n">
        <x:v>48</x:v>
      </x:c>
      <x:c r="M45" s="54" t="n">
        <x:f>IF(OR(K45="",L45=""),"",L45-K45)</x:f>
        <x:v>5</x:v>
      </x:c>
      <x:c r="N45" s="54" t="n">
        <x:f>IF(M45="","",ABS(M45))</x:f>
        <x:v>5</x:v>
      </x:c>
    </x:row>
    <x:row r="46">
      <x:c r="A46" s="54" t="n">
        <x:v>2026</x:v>
      </x:c>
      <x:c r="B46" s="54" t="n">
        <x:v>65898</x:v>
      </x:c>
      <x:c r="C46" s="54" t="str">
        <x:v>김웅빈</x:v>
      </x:c>
      <x:c r="D46" s="54" t="str">
        <x:v>KIW</x:v>
      </x:c>
      <x:c r="E46" s="54" t="n">
        <x:v>1027</x:v>
      </x:c>
      <x:c r="F46" s="108" t="b">
        <x:v>1</x:v>
      </x:c>
      <x:c r="G46" s="111" t="n">
        <x:v>0.43037975</x:v>
      </x:c>
      <x:c r="H46" s="111" t="n">
        <x:v>0.43646284</x:v>
      </x:c>
      <x:c r="I46" s="111" t="n">
        <x:v>0.43885528</x:v>
      </x:c>
      <x:c r="J46" s="96" t="n">
        <x:f>(I46-H46)*100</x:f>
        <x:v>0.23924399999999957</x:v>
      </x:c>
      <x:c r="K46" s="54" t="n">
        <x:v>116</x:v>
      </x:c>
      <x:c r="L46" s="54" t="n">
        <x:v>103</x:v>
      </x:c>
      <x:c r="M46" s="54" t="n">
        <x:f>IF(OR(K46="",L46=""),"",L46-K46)</x:f>
        <x:v>-13</x:v>
      </x:c>
      <x:c r="N46" s="54" t="n">
        <x:f>IF(M46="","",ABS(M46))</x:f>
        <x:v>13</x:v>
      </x:c>
    </x:row>
    <x:row r="47">
      <x:c r="A47" s="54" t="n">
        <x:v>2026</x:v>
      </x:c>
      <x:c r="B47" s="54" t="n">
        <x:v>63257</x:v>
      </x:c>
      <x:c r="C47" s="54" t="str">
        <x:v>김인태</x:v>
      </x:c>
      <x:c r="D47" s="54" t="str">
        <x:v>DOO</x:v>
      </x:c>
      <x:c r="E47" s="54" t="n">
        <x:v>235</x:v>
      </x:c>
      <x:c r="F47" s="108" t="b">
        <x:v>0</x:v>
      </x:c>
      <x:c r="G47" s="111" t="n">
        <x:v>0.40425532</x:v>
      </x:c>
      <x:c r="H47" s="111" t="n">
        <x:v>0.46902537</x:v>
      </x:c>
      <x:c r="I47" s="111" t="n">
        <x:v>0.46392418999999996</x:v>
      </x:c>
      <x:c r="J47" s="96" t="n">
        <x:f>(I47-H47)*100</x:f>
        <x:v>-0.5101180000000038</x:v>
      </x:c>
      <x:c r="K47" s="54"/>
      <x:c r="L47" s="54"/>
      <x:c r="M47" s="54" t="str">
        <x:f>IF(OR(K47="",L47=""),"",L47-K47)</x:f>
      </x:c>
      <x:c r="N47" s="54" t="str">
        <x:f>IF(M47="","",ABS(M47))</x:f>
      </x:c>
    </x:row>
    <x:row r="48">
      <x:c r="A48" s="54" t="n">
        <x:v>2026</x:v>
      </x:c>
      <x:c r="B48" s="54" t="n">
        <x:v>53400</x:v>
      </x:c>
      <x:c r="C48" s="54" t="str">
        <x:v>김재상</x:v>
      </x:c>
      <x:c r="D48" s="54" t="str">
        <x:v>SAM</x:v>
      </x:c>
      <x:c r="E48" s="54" t="n">
        <x:v>51</x:v>
      </x:c>
      <x:c r="F48" s="108" t="b">
        <x:v>0</x:v>
      </x:c>
      <x:c r="G48" s="111" t="n">
        <x:v>0.54901961</x:v>
      </x:c>
      <x:c r="H48" s="111" t="n">
        <x:v>0.43776083</x:v>
      </x:c>
      <x:c r="I48" s="111" t="n">
        <x:v>0.42841628</x:v>
      </x:c>
      <x:c r="J48" s="96" t="n">
        <x:f>(I48-H48)*100</x:f>
        <x:v>-0.9344550000000007</x:v>
      </x:c>
      <x:c r="K48" s="54"/>
      <x:c r="L48" s="54"/>
      <x:c r="M48" s="54" t="str">
        <x:f>IF(OR(K48="",L48=""),"",L48-K48)</x:f>
      </x:c>
      <x:c r="N48" s="54" t="str">
        <x:f>IF(M48="","",ABS(M48))</x:f>
      </x:c>
    </x:row>
    <x:row r="49">
      <x:c r="A49" s="54" t="n">
        <x:v>2026</x:v>
      </x:c>
      <x:c r="B49" s="54" t="n">
        <x:v>65132</x:v>
      </x:c>
      <x:c r="C49" s="54" t="str">
        <x:v>김재성</x:v>
      </x:c>
      <x:c r="D49" s="54" t="str">
        <x:v>SAM</x:v>
      </x:c>
      <x:c r="E49" s="54" t="n">
        <x:v>4</x:v>
      </x:c>
      <x:c r="F49" s="108" t="b">
        <x:v>0</x:v>
      </x:c>
      <x:c r="G49" s="111" t="n">
        <x:v>0.5</x:v>
      </x:c>
      <x:c r="H49" s="111" t="n">
        <x:v>0.40181171</x:v>
      </x:c>
      <x:c r="I49" s="111" t="n">
        <x:v>0.381826</x:v>
      </x:c>
      <x:c r="J49" s="96" t="n">
        <x:f>(I49-H49)*100</x:f>
        <x:v>-1.998570999999999</x:v>
      </x:c>
      <x:c r="K49" s="54"/>
      <x:c r="L49" s="54"/>
      <x:c r="M49" s="54" t="str">
        <x:f>IF(OR(K49="",L49=""),"",L49-K49)</x:f>
      </x:c>
      <x:c r="N49" s="54" t="str">
        <x:f>IF(M49="","",ABS(M49))</x:f>
      </x:c>
    </x:row>
    <x:row r="50">
      <x:c r="A50" s="54" t="n">
        <x:v>2026</x:v>
      </x:c>
      <x:c r="B50" s="54" t="n">
        <x:v>52424</x:v>
      </x:c>
      <x:c r="C50" s="54" t="str">
        <x:v>김재혁</x:v>
      </x:c>
      <x:c r="D50" s="54" t="str">
        <x:v>SAM</x:v>
      </x:c>
      <x:c r="E50" s="54" t="n">
        <x:v>31</x:v>
      </x:c>
      <x:c r="F50" s="108" t="b">
        <x:v>0</x:v>
      </x:c>
      <x:c r="G50" s="111" t="n">
        <x:v>0.58064516</x:v>
      </x:c>
      <x:c r="H50" s="111" t="n">
        <x:v>0.52328551</x:v>
      </x:c>
      <x:c r="I50" s="111" t="n">
        <x:v>0.50699702</x:v>
      </x:c>
      <x:c r="J50" s="96" t="n">
        <x:f>(I50-H50)*100</x:f>
        <x:v>-1.6288489999999989</x:v>
      </x:c>
      <x:c r="K50" s="54"/>
      <x:c r="L50" s="54"/>
      <x:c r="M50" s="54" t="str">
        <x:f>IF(OR(K50="",L50=""),"",L50-K50)</x:f>
      </x:c>
      <x:c r="N50" s="54" t="str">
        <x:f>IF(M50="","",ABS(M50))</x:f>
      </x:c>
    </x:row>
    <x:row r="51">
      <x:c r="A51" s="54" t="n">
        <x:v>2026</x:v>
      </x:c>
      <x:c r="B51" s="54" t="n">
        <x:v>62332</x:v>
      </x:c>
      <x:c r="C51" s="54" t="str">
        <x:v>김재현</x:v>
      </x:c>
      <x:c r="D51" s="54" t="str">
        <x:v>KIW</x:v>
      </x:c>
      <x:c r="E51" s="54" t="n">
        <x:v>89</x:v>
      </x:c>
      <x:c r="F51" s="108" t="b">
        <x:v>0</x:v>
      </x:c>
      <x:c r="G51" s="111" t="n">
        <x:v>0.39325843</x:v>
      </x:c>
      <x:c r="H51" s="111" t="n">
        <x:v>0.45507702</x:v>
      </x:c>
      <x:c r="I51" s="111" t="n">
        <x:v>0.46227661</x:v>
      </x:c>
      <x:c r="J51" s="96" t="n">
        <x:f>(I51-H51)*100</x:f>
        <x:v>0.7199589999999978</x:v>
      </x:c>
      <x:c r="K51" s="54"/>
      <x:c r="L51" s="54"/>
      <x:c r="M51" s="54" t="str">
        <x:f>IF(OR(K51="",L51=""),"",L51-K51)</x:f>
      </x:c>
      <x:c r="N51" s="54" t="str">
        <x:f>IF(M51="","",ABS(M51))</x:f>
      </x:c>
    </x:row>
    <x:row r="52">
      <x:c r="A52" s="54" t="n">
        <x:v>2026</x:v>
      </x:c>
      <x:c r="B52" s="54" t="n">
        <x:v>78224</x:v>
      </x:c>
      <x:c r="C52" s="54" t="str">
        <x:v>김재환</x:v>
      </x:c>
      <x:c r="D52" s="54" t="str">
        <x:v>SSG</x:v>
      </x:c>
      <x:c r="E52" s="54" t="n">
        <x:v>1825</x:v>
      </x:c>
      <x:c r="F52" s="108" t="b">
        <x:v>1</x:v>
      </x:c>
      <x:c r="G52" s="111" t="n">
        <x:v>0.42575342</x:v>
      </x:c>
      <x:c r="H52" s="111" t="n">
        <x:v>0.44297754</x:v>
      </x:c>
      <x:c r="I52" s="111" t="n">
        <x:v>0.44323577000000003</x:v>
      </x:c>
      <x:c r="J52" s="96" t="n">
        <x:f>(I52-H52)*100</x:f>
        <x:v>0.025823000000002594</x:v>
      </x:c>
      <x:c r="K52" s="54" t="n">
        <x:v>91</x:v>
      </x:c>
      <x:c r="L52" s="54" t="n">
        <x:v>91</x:v>
      </x:c>
      <x:c r="M52" s="54" t="n">
        <x:f>IF(OR(K52="",L52=""),"",L52-K52)</x:f>
        <x:v>0</x:v>
      </x:c>
      <x:c r="N52" s="54" t="str">
        <x:f>IF(M52="","",ABS(M52))</x:f>
      </x:c>
    </x:row>
    <x:row r="53">
      <x:c r="A53" s="54" t="n">
        <x:v>2026</x:v>
      </x:c>
      <x:c r="B53" s="54" t="n">
        <x:v>53865</x:v>
      </x:c>
      <x:c r="C53" s="54" t="str">
        <x:v>김정민</x:v>
      </x:c>
      <x:c r="D53" s="54" t="str">
        <x:v>SSG</x:v>
      </x:c>
      <x:c r="E53" s="54" t="n">
        <x:v>33</x:v>
      </x:c>
      <x:c r="F53" s="108" t="b">
        <x:v>0</x:v>
      </x:c>
      <x:c r="G53" s="111" t="n">
        <x:v>0.54545455</x:v>
      </x:c>
      <x:c r="H53" s="111" t="n">
        <x:v>0.45580093</x:v>
      </x:c>
      <x:c r="I53" s="111" t="n">
        <x:v>0.45281911999999996</x:v>
      </x:c>
      <x:c r="J53" s="96" t="n">
        <x:f>(I53-H53)*100</x:f>
        <x:v>-0.2981810000000029</x:v>
      </x:c>
      <x:c r="K53" s="54"/>
      <x:c r="L53" s="54"/>
      <x:c r="M53" s="54" t="str">
        <x:f>IF(OR(K53="",L53=""),"",L53-K53)</x:f>
      </x:c>
      <x:c r="N53" s="54" t="str">
        <x:f>IF(M53="","",ABS(M53))</x:f>
      </x:c>
    </x:row>
    <x:row r="54">
      <x:c r="A54" s="54" t="n">
        <x:v>2026</x:v>
      </x:c>
      <x:c r="B54" s="54" t="n">
        <x:v>51903</x:v>
      </x:c>
      <x:c r="C54" s="54" t="str">
        <x:v>김정호</x:v>
      </x:c>
      <x:c r="D54" s="54" t="str">
        <x:v>NC</x:v>
      </x:c>
      <x:c r="E54" s="54" t="n">
        <x:v>30</x:v>
      </x:c>
      <x:c r="F54" s="108" t="b">
        <x:v>0</x:v>
      </x:c>
      <x:c r="G54" s="111" t="n">
        <x:v>0.5666666699999999</x:v>
      </x:c>
      <x:c r="H54" s="111" t="n">
        <x:v>0.4367404</x:v>
      </x:c>
      <x:c r="I54" s="111" t="n">
        <x:v>0.45545026</x:v>
      </x:c>
      <x:c r="J54" s="96" t="n">
        <x:f>(I54-H54)*100</x:f>
        <x:v>1.8709860000000023</x:v>
      </x:c>
      <x:c r="K54" s="54"/>
      <x:c r="L54" s="54"/>
      <x:c r="M54" s="54" t="str">
        <x:f>IF(OR(K54="",L54=""),"",L54-K54)</x:f>
      </x:c>
      <x:c r="N54" s="54" t="str">
        <x:f>IF(M54="","",ABS(M54))</x:f>
      </x:c>
    </x:row>
    <x:row r="55">
      <x:c r="A55" s="54" t="n">
        <x:v>2026</x:v>
      </x:c>
      <x:c r="B55" s="54" t="n">
        <x:v>66162</x:v>
      </x:c>
      <x:c r="C55" s="54" t="str">
        <x:v>김주성</x:v>
      </x:c>
      <x:c r="D55" s="54" t="str">
        <x:v>LG</x:v>
      </x:c>
      <x:c r="E55" s="54" t="n">
        <x:v>6</x:v>
      </x:c>
      <x:c r="F55" s="108" t="b">
        <x:v>0</x:v>
      </x:c>
      <x:c r="G55" s="111" t="n">
        <x:v>0.5</x:v>
      </x:c>
      <x:c r="H55" s="111" t="n">
        <x:v>0.38986407999999995</x:v>
      </x:c>
      <x:c r="I55" s="111" t="n">
        <x:v>0.40431075</x:v>
      </x:c>
      <x:c r="J55" s="96" t="n">
        <x:f>(I55-H55)*100</x:f>
        <x:v>1.444667000000005</x:v>
      </x:c>
      <x:c r="K55" s="54"/>
      <x:c r="L55" s="54"/>
      <x:c r="M55" s="54" t="str">
        <x:f>IF(OR(K55="",L55=""),"",L55-K55)</x:f>
      </x:c>
      <x:c r="N55" s="54" t="str">
        <x:f>IF(M55="","",ABS(M55))</x:f>
      </x:c>
    </x:row>
    <x:row r="56">
      <x:c r="A56" s="54" t="n">
        <x:v>2026</x:v>
      </x:c>
      <x:c r="B56" s="54" t="n">
        <x:v>51907</x:v>
      </x:c>
      <x:c r="C56" s="54" t="str">
        <x:v>김주원</x:v>
      </x:c>
      <x:c r="D56" s="54" t="str">
        <x:v>NC</x:v>
      </x:c>
      <x:c r="E56" s="54" t="n">
        <x:v>1943</x:v>
      </x:c>
      <x:c r="F56" s="108" t="b">
        <x:v>1</x:v>
      </x:c>
      <x:c r="G56" s="111" t="n">
        <x:v>0.44776119000000003</x:v>
      </x:c>
      <x:c r="H56" s="111" t="n">
        <x:v>0.44981127</x:v>
      </x:c>
      <x:c r="I56" s="111" t="n">
        <x:v>0.45410766</x:v>
      </x:c>
      <x:c r="J56" s="96" t="n">
        <x:f>(I56-H56)*100</x:f>
        <x:v>0.4296390000000039</x:v>
      </x:c>
      <x:c r="K56" s="54" t="n">
        <x:v>74</x:v>
      </x:c>
      <x:c r="L56" s="54" t="n">
        <x:v>62</x:v>
      </x:c>
      <x:c r="M56" s="54" t="n">
        <x:f>IF(OR(K56="",L56=""),"",L56-K56)</x:f>
        <x:v>-12</x:v>
      </x:c>
      <x:c r="N56" s="54" t="n">
        <x:f>IF(M56="","",ABS(M56))</x:f>
        <x:v>12</x:v>
      </x:c>
    </x:row>
    <x:row r="57">
      <x:c r="A57" s="54" t="n">
        <x:v>2026</x:v>
      </x:c>
      <x:c r="B57" s="54" t="n">
        <x:v>56326</x:v>
      </x:c>
      <x:c r="C57" s="54" t="str">
        <x:v>김지석</x:v>
      </x:c>
      <x:c r="D57" s="54" t="str">
        <x:v>KIW</x:v>
      </x:c>
      <x:c r="E57" s="54" t="n">
        <x:v>221</x:v>
      </x:c>
      <x:c r="F57" s="108" t="b">
        <x:v>0</x:v>
      </x:c>
      <x:c r="G57" s="111" t="n">
        <x:v>0.44343891</x:v>
      </x:c>
      <x:c r="H57" s="111" t="n">
        <x:v>0.48992243</x:v>
      </x:c>
      <x:c r="I57" s="111" t="n">
        <x:v>0.49395102</x:v>
      </x:c>
      <x:c r="J57" s="96" t="n">
        <x:f>(I57-H57)*100</x:f>
        <x:v>0.40285899999999986</x:v>
      </x:c>
      <x:c r="K57" s="54"/>
      <x:c r="L57" s="54"/>
      <x:c r="M57" s="54" t="str">
        <x:f>IF(OR(K57="",L57=""),"",L57-K57)</x:f>
      </x:c>
      <x:c r="N57" s="54" t="str">
        <x:f>IF(M57="","",ABS(M57))</x:f>
      </x:c>
    </x:row>
    <x:row r="58">
      <x:c r="A58" s="54" t="n">
        <x:v>2026</x:v>
      </x:c>
      <x:c r="B58" s="54" t="n">
        <x:v>50458</x:v>
      </x:c>
      <x:c r="C58" s="54" t="str">
        <x:v>김지찬</x:v>
      </x:c>
      <x:c r="D58" s="54" t="str">
        <x:v>SAM</x:v>
      </x:c>
      <x:c r="E58" s="54" t="n">
        <x:v>1735</x:v>
      </x:c>
      <x:c r="F58" s="108" t="b">
        <x:v>1</x:v>
      </x:c>
      <x:c r="G58" s="111" t="n">
        <x:v>0.37291066</x:v>
      </x:c>
      <x:c r="H58" s="111" t="n">
        <x:v>0.41045794</x:v>
      </x:c>
      <x:c r="I58" s="111" t="n">
        <x:v>0.4081651</x:v>
      </x:c>
      <x:c r="J58" s="96" t="n">
        <x:f>(I58-H58)*100</x:f>
        <x:v>-0.22928400000000182</x:v>
      </x:c>
      <x:c r="K58" s="54" t="n">
        <x:v>157</x:v>
      </x:c>
      <x:c r="L58" s="54" t="n">
        <x:v>157</x:v>
      </x:c>
      <x:c r="M58" s="54" t="n">
        <x:f>IF(OR(K58="",L58=""),"",L58-K58)</x:f>
        <x:v>0</x:v>
      </x:c>
      <x:c r="N58" s="54" t="str">
        <x:f>IF(M58="","",ABS(M58))</x:f>
      </x:c>
    </x:row>
    <x:row r="59">
      <x:c r="A59" s="54" t="n">
        <x:v>2026</x:v>
      </x:c>
      <x:c r="B59" s="54" t="n">
        <x:v>69825</x:v>
      </x:c>
      <x:c r="C59" s="54" t="str">
        <x:v>김창평</x:v>
      </x:c>
      <x:c r="D59" s="54" t="str">
        <x:v>SSG</x:v>
      </x:c>
      <x:c r="E59" s="54" t="n">
        <x:v>26</x:v>
      </x:c>
      <x:c r="F59" s="108" t="b">
        <x:v>0</x:v>
      </x:c>
      <x:c r="G59" s="111" t="n">
        <x:v>0.61538462</x:v>
      </x:c>
      <x:c r="H59" s="111" t="n">
        <x:v>0.58280648</x:v>
      </x:c>
      <x:c r="I59" s="111" t="n">
        <x:v>0.58990227</x:v>
      </x:c>
      <x:c r="J59" s="96" t="n">
        <x:f>(I59-H59)*100</x:f>
        <x:v>0.7095789999999935</x:v>
      </x:c>
      <x:c r="K59" s="54"/>
      <x:c r="L59" s="54"/>
      <x:c r="M59" s="54" t="str">
        <x:f>IF(OR(K59="",L59=""),"",L59-K59)</x:f>
      </x:c>
      <x:c r="N59" s="54" t="str">
        <x:f>IF(M59="","",ABS(M59))</x:f>
      </x:c>
    </x:row>
    <x:row r="60">
      <x:c r="A60" s="54" t="n">
        <x:v>2026</x:v>
      </x:c>
      <x:c r="B60" s="54" t="n">
        <x:v>78122</x:v>
      </x:c>
      <x:c r="C60" s="54" t="str">
        <x:v>김태군</x:v>
      </x:c>
      <x:c r="D60" s="54" t="str">
        <x:v>KIA</x:v>
      </x:c>
      <x:c r="E60" s="54" t="n">
        <x:v>639</x:v>
      </x:c>
      <x:c r="F60" s="108" t="b">
        <x:v>1</x:v>
      </x:c>
      <x:c r="G60" s="111" t="n">
        <x:v>0.3943662</x:v>
      </x:c>
      <x:c r="H60" s="111" t="n">
        <x:v>0.44848424000000003</x:v>
      </x:c>
      <x:c r="I60" s="111" t="n">
        <x:v>0.45108813</x:v>
      </x:c>
      <x:c r="J60" s="96" t="n">
        <x:f>(I60-H60)*100</x:f>
        <x:v>0.2603889999999942</x:v>
      </x:c>
      <x:c r="K60" s="54" t="n">
        <x:v>77</x:v>
      </x:c>
      <x:c r="L60" s="54" t="n">
        <x:v>72</x:v>
      </x:c>
      <x:c r="M60" s="54" t="n">
        <x:f>IF(OR(K60="",L60=""),"",L60-K60)</x:f>
        <x:v>-5</x:v>
      </x:c>
      <x:c r="N60" s="54" t="n">
        <x:f>IF(M60="","",ABS(M60))</x:f>
        <x:v>5</x:v>
      </x:c>
    </x:row>
    <x:row r="61">
      <x:c r="A61" s="54" t="n">
        <x:v>2026</x:v>
      </x:c>
      <x:c r="B61" s="54" t="n">
        <x:v>66704</x:v>
      </x:c>
      <x:c r="C61" s="54" t="str">
        <x:v>김태연</x:v>
      </x:c>
      <x:c r="D61" s="54" t="str">
        <x:v>HAN</x:v>
      </x:c>
      <x:c r="E61" s="54" t="n">
        <x:v>1318</x:v>
      </x:c>
      <x:c r="F61" s="108" t="b">
        <x:v>1</x:v>
      </x:c>
      <x:c r="G61" s="111" t="n">
        <x:v>0.45675266000000003</x:v>
      </x:c>
      <x:c r="H61" s="111" t="n">
        <x:v>0.44646758</x:v>
      </x:c>
      <x:c r="I61" s="111" t="n">
        <x:v>0.44303443000000003</x:v>
      </x:c>
      <x:c r="J61" s="96" t="n">
        <x:f>(I61-H61)*100</x:f>
        <x:v>-0.34331499999999404</x:v>
      </x:c>
      <x:c r="K61" s="54" t="n">
        <x:v>81</x:v>
      </x:c>
      <x:c r="L61" s="54" t="n">
        <x:v>93</x:v>
      </x:c>
      <x:c r="M61" s="54" t="n">
        <x:f>IF(OR(K61="",L61=""),"",L61-K61)</x:f>
        <x:v>12</x:v>
      </x:c>
      <x:c r="N61" s="54" t="n">
        <x:f>IF(M61="","",ABS(M61))</x:f>
        <x:v>12</x:v>
      </x:c>
    </x:row>
    <x:row r="62">
      <x:c r="A62" s="54" t="n">
        <x:v>2026</x:v>
      </x:c>
      <x:c r="B62" s="54" t="n">
        <x:v>64984</x:v>
      </x:c>
      <x:c r="C62" s="54" t="str">
        <x:v>김태진</x:v>
      </x:c>
      <x:c r="D62" s="54" t="str">
        <x:v>KIW</x:v>
      </x:c>
      <x:c r="E62" s="54" t="n">
        <x:v>76</x:v>
      </x:c>
      <x:c r="F62" s="108" t="b">
        <x:v>0</x:v>
      </x:c>
      <x:c r="G62" s="111" t="n">
        <x:v>0.39473684</x:v>
      </x:c>
      <x:c r="H62" s="111" t="n">
        <x:v>0.42925620000000003</x:v>
      </x:c>
      <x:c r="I62" s="111" t="n">
        <x:v>0.42443017</x:v>
      </x:c>
      <x:c r="J62" s="96" t="n">
        <x:f>(I62-H62)*100</x:f>
        <x:v>-0.48260300000000367</x:v>
      </x:c>
      <x:c r="K62" s="54"/>
      <x:c r="L62" s="54"/>
      <x:c r="M62" s="54" t="str">
        <x:f>IF(OR(K62="",L62=""),"",L62-K62)</x:f>
      </x:c>
      <x:c r="N62" s="54" t="str">
        <x:f>IF(M62="","",ABS(M62))</x:f>
      </x:c>
    </x:row>
    <x:row r="63">
      <x:c r="A63" s="54" t="n">
        <x:v>2026</x:v>
      </x:c>
      <x:c r="B63" s="54" t="n">
        <x:v>65040</x:v>
      </x:c>
      <x:c r="C63" s="54" t="str">
        <x:v>김태훈</x:v>
      </x:c>
      <x:c r="D63" s="54" t="str">
        <x:v>SAM</x:v>
      </x:c>
      <x:c r="E63" s="54" t="n">
        <x:v>67</x:v>
      </x:c>
      <x:c r="F63" s="108" t="b">
        <x:v>0</x:v>
      </x:c>
      <x:c r="G63" s="111" t="n">
        <x:v>0.6119403</x:v>
      </x:c>
      <x:c r="H63" s="111" t="n">
        <x:v>0.43760174</x:v>
      </x:c>
      <x:c r="I63" s="111" t="n">
        <x:v>0.43318006</x:v>
      </x:c>
      <x:c r="J63" s="96" t="n">
        <x:f>(I63-H63)*100</x:f>
        <x:v>-0.4421680000000039</x:v>
      </x:c>
      <x:c r="K63" s="54"/>
      <x:c r="L63" s="54"/>
      <x:c r="M63" s="54" t="str">
        <x:f>IF(OR(K63="",L63=""),"",L63-K63)</x:f>
      </x:c>
      <x:c r="N63" s="54" t="str">
        <x:f>IF(M63="","",ABS(M63))</x:f>
      </x:c>
    </x:row>
    <x:row r="64">
      <x:c r="A64" s="54" t="n">
        <x:v>2026</x:v>
      </x:c>
      <x:c r="B64" s="54" t="n">
        <x:v>50902</x:v>
      </x:c>
      <x:c r="C64" s="54" t="str">
        <x:v>김한별</x:v>
      </x:c>
      <x:c r="D64" s="54" t="str">
        <x:v>NC</x:v>
      </x:c>
      <x:c r="E64" s="54" t="n">
        <x:v>513</x:v>
      </x:c>
      <x:c r="F64" s="108" t="b">
        <x:v>1</x:v>
      </x:c>
      <x:c r="G64" s="111" t="n">
        <x:v>0.41325536</x:v>
      </x:c>
      <x:c r="H64" s="111" t="n">
        <x:v>0.45744953000000005</x:v>
      </x:c>
      <x:c r="I64" s="111" t="n">
        <x:v>0.45778529</x:v>
      </x:c>
      <x:c r="J64" s="96" t="n">
        <x:f>(I64-H64)*100</x:f>
        <x:v>0.033575999999996275</x:v>
      </x:c>
      <x:c r="K64" s="54" t="n">
        <x:v>50</x:v>
      </x:c>
      <x:c r="L64" s="54" t="n">
        <x:v>43</x:v>
      </x:c>
      <x:c r="M64" s="54" t="n">
        <x:f>IF(OR(K64="",L64=""),"",L64-K64)</x:f>
        <x:v>-7</x:v>
      </x:c>
      <x:c r="N64" s="54" t="n">
        <x:f>IF(M64="","",ABS(M64))</x:f>
        <x:v>7</x:v>
      </x:c>
    </x:row>
    <x:row r="65">
      <x:c r="A65" s="54" t="n">
        <x:v>2026</x:v>
      </x:c>
      <x:c r="B65" s="54" t="n">
        <x:v>56595</x:v>
      </x:c>
      <x:c r="C65" s="54" t="str">
        <x:v>김한홀</x:v>
      </x:c>
      <x:c r="D65" s="54" t="str">
        <x:v>LOT</x:v>
      </x:c>
      <x:c r="E65" s="54" t="n">
        <x:v>3</x:v>
      </x:c>
      <x:c r="F65" s="108" t="b">
        <x:v>0</x:v>
      </x:c>
      <x:c r="G65" s="111" t="n">
        <x:v>0.66666667</x:v>
      </x:c>
      <x:c r="H65" s="111" t="n">
        <x:v>0.69497213</x:v>
      </x:c>
      <x:c r="I65" s="111" t="n">
        <x:v>0.7118154699999999</x:v>
      </x:c>
      <x:c r="J65" s="96" t="n">
        <x:f>(I65-H65)*100</x:f>
        <x:v>1.6843339999999873</x:v>
      </x:c>
      <x:c r="K65" s="54"/>
      <x:c r="L65" s="54"/>
      <x:c r="M65" s="54" t="str">
        <x:f>IF(OR(K65="",L65=""),"",L65-K65)</x:f>
      </x:c>
      <x:c r="N65" s="54" t="str">
        <x:f>IF(M65="","",ABS(M65))</x:f>
      </x:c>
    </x:row>
    <x:row r="66">
      <x:c r="A66" s="54" t="n">
        <x:v>2026</x:v>
      </x:c>
      <x:c r="B66" s="54" t="n">
        <x:v>61404</x:v>
      </x:c>
      <x:c r="C66" s="54" t="str">
        <x:v>김헌곤</x:v>
      </x:c>
      <x:c r="D66" s="54" t="str">
        <x:v>SAM</x:v>
      </x:c>
      <x:c r="E66" s="54" t="n">
        <x:v>285</x:v>
      </x:c>
      <x:c r="F66" s="108" t="b">
        <x:v>0</x:v>
      </x:c>
      <x:c r="G66" s="111" t="n">
        <x:v>0.48771929999999997</x:v>
      </x:c>
      <x:c r="H66" s="111" t="n">
        <x:v>0.46166243</x:v>
      </x:c>
      <x:c r="I66" s="111" t="n">
        <x:v>0.46984271</x:v>
      </x:c>
      <x:c r="J66" s="96" t="n">
        <x:f>(I66-H66)*100</x:f>
        <x:v>0.8180279999999984</x:v>
      </x:c>
      <x:c r="K66" s="54"/>
      <x:c r="L66" s="54"/>
      <x:c r="M66" s="54" t="str">
        <x:f>IF(OR(K66="",L66=""),"",L66-K66)</x:f>
      </x:c>
      <x:c r="N66" s="54" t="str">
        <x:f>IF(M66="","",ABS(M66))</x:f>
      </x:c>
    </x:row>
    <x:row r="67">
      <x:c r="A67" s="54" t="n">
        <x:v>2026</x:v>
      </x:c>
      <x:c r="B67" s="54" t="n">
        <x:v>76290</x:v>
      </x:c>
      <x:c r="C67" s="54" t="str">
        <x:v>김현수</x:v>
      </x:c>
      <x:c r="D67" s="54" t="str">
        <x:v>KT</x:v>
      </x:c>
      <x:c r="E67" s="54" t="n">
        <x:v>1937</x:v>
      </x:c>
      <x:c r="F67" s="108" t="b">
        <x:v>1</x:v>
      </x:c>
      <x:c r="G67" s="111" t="n">
        <x:v>0.42694889</x:v>
      </x:c>
      <x:c r="H67" s="111" t="n">
        <x:v>0.43662407999999997</x:v>
      </x:c>
      <x:c r="I67" s="111" t="n">
        <x:v>0.43457568</x:v>
      </x:c>
      <x:c r="J67" s="96" t="n">
        <x:f>(I67-H67)*100</x:f>
        <x:v>-0.20483999999999503</x:v>
      </x:c>
      <x:c r="K67" s="54" t="n">
        <x:v>114</x:v>
      </x:c>
      <x:c r="L67" s="54" t="n">
        <x:v>120</x:v>
      </x:c>
      <x:c r="M67" s="54" t="n">
        <x:f>IF(OR(K67="",L67=""),"",L67-K67)</x:f>
        <x:v>6</x:v>
      </x:c>
      <x:c r="N67" s="54" t="n">
        <x:f>IF(M67="","",ABS(M67))</x:f>
        <x:v>6</x:v>
      </x:c>
    </x:row>
    <x:row r="68">
      <x:c r="A68" s="54" t="n">
        <x:v>2026</x:v>
      </x:c>
      <x:c r="B68" s="54" t="n">
        <x:v>54166</x:v>
      </x:c>
      <x:c r="C68" s="54" t="str">
        <x:v>김현종</x:v>
      </x:c>
      <x:c r="D68" s="54" t="str">
        <x:v>LG</x:v>
      </x:c>
      <x:c r="E68" s="54" t="n">
        <x:v>49</x:v>
      </x:c>
      <x:c r="F68" s="108" t="b">
        <x:v>0</x:v>
      </x:c>
      <x:c r="G68" s="111" t="n">
        <x:v>0.46938776</x:v>
      </x:c>
      <x:c r="H68" s="111" t="n">
        <x:v>0.40152577</x:v>
      </x:c>
      <x:c r="I68" s="111" t="n">
        <x:v>0.41778965999999995</x:v>
      </x:c>
      <x:c r="J68" s="96" t="n">
        <x:f>(I68-H68)*100</x:f>
        <x:v>1.6263889999999948</x:v>
      </x:c>
      <x:c r="K68" s="54"/>
      <x:c r="L68" s="54"/>
      <x:c r="M68" s="54" t="str">
        <x:f>IF(OR(K68="",L68=""),"",L68-K68)</x:f>
      </x:c>
      <x:c r="N68" s="54" t="str">
        <x:f>IF(M68="","",ABS(M68))</x:f>
      </x:c>
    </x:row>
    <x:row r="69">
      <x:c r="A69" s="54" t="n">
        <x:v>2026</x:v>
      </x:c>
      <x:c r="B69" s="54" t="n">
        <x:v>51417</x:v>
      </x:c>
      <x:c r="C69" s="54" t="str">
        <x:v>김현준</x:v>
      </x:c>
      <x:c r="D69" s="54" t="str">
        <x:v>SAM</x:v>
      </x:c>
      <x:c r="E69" s="54" t="n">
        <x:v>185</x:v>
      </x:c>
      <x:c r="F69" s="108" t="b">
        <x:v>0</x:v>
      </x:c>
      <x:c r="G69" s="111" t="n">
        <x:v>0.36216216</x:v>
      </x:c>
      <x:c r="H69" s="111" t="n">
        <x:v>0.43739058</x:v>
      </x:c>
      <x:c r="I69" s="111" t="n">
        <x:v>0.43806137999999994</x:v>
      </x:c>
      <x:c r="J69" s="96" t="n">
        <x:f>(I69-H69)*100</x:f>
        <x:v>0.06707999999999714</x:v>
      </x:c>
      <x:c r="K69" s="54"/>
      <x:c r="L69" s="54"/>
      <x:c r="M69" s="54" t="str">
        <x:f>IF(OR(K69="",L69=""),"",L69-K69)</x:f>
      </x:c>
      <x:c r="N69" s="54" t="str">
        <x:f>IF(M69="","",ABS(M69))</x:f>
      </x:c>
    </x:row>
    <x:row r="70">
      <x:c r="A70" s="54" t="n">
        <x:v>2026</x:v>
      </x:c>
      <x:c r="B70" s="54" t="n">
        <x:v>68912</x:v>
      </x:c>
      <x:c r="C70" s="54" t="str">
        <x:v>김형준</x:v>
      </x:c>
      <x:c r="D70" s="54" t="str">
        <x:v>NC</x:v>
      </x:c>
      <x:c r="E70" s="54" t="n">
        <x:v>1284</x:v>
      </x:c>
      <x:c r="F70" s="108" t="b">
        <x:v>1</x:v>
      </x:c>
      <x:c r="G70" s="111" t="n">
        <x:v>0.46028037</x:v>
      </x:c>
      <x:c r="H70" s="111" t="n">
        <x:v>0.45750079</x:v>
      </x:c>
      <x:c r="I70" s="111" t="n">
        <x:v>0.45656151</x:v>
      </x:c>
      <x:c r="J70" s="96" t="n">
        <x:f>(I70-H70)*100</x:f>
        <x:v>-0.09392799999999868</x:v>
      </x:c>
      <x:c r="K70" s="54" t="n">
        <x:v>49</x:v>
      </x:c>
      <x:c r="L70" s="54" t="n">
        <x:v>49</x:v>
      </x:c>
      <x:c r="M70" s="54" t="n">
        <x:f>IF(OR(K70="",L70=""),"",L70-K70)</x:f>
        <x:v>0</x:v>
      </x:c>
      <x:c r="N70" s="54" t="str">
        <x:f>IF(M70="","",ABS(M70))</x:f>
      </x:c>
    </x:row>
    <x:row r="71">
      <x:c r="A71" s="54" t="n">
        <x:v>2026</x:v>
      </x:c>
      <x:c r="B71" s="54" t="n">
        <x:v>65653</x:v>
      </x:c>
      <x:c r="C71" s="54" t="str">
        <x:v>김호령</x:v>
      </x:c>
      <x:c r="D71" s="54" t="str">
        <x:v>KIA</x:v>
      </x:c>
      <x:c r="E71" s="54" t="n">
        <x:v>1801</x:v>
      </x:c>
      <x:c r="F71" s="108" t="b">
        <x:v>1</x:v>
      </x:c>
      <x:c r="G71" s="111" t="n">
        <x:v>0.4858412</x:v>
      </x:c>
      <x:c r="H71" s="111" t="n">
        <x:v>0.47813916</x:v>
      </x:c>
      <x:c r="I71" s="111" t="n">
        <x:v>0.47770068000000004</x:v>
      </x:c>
      <x:c r="J71" s="96" t="n">
        <x:f>(I71-H71)*100</x:f>
        <x:v>-0.043847999999996334</x:v>
      </x:c>
      <x:c r="K71" s="54" t="n">
        <x:v>6</x:v>
      </x:c>
      <x:c r="L71" s="54" t="n">
        <x:v>6</x:v>
      </x:c>
      <x:c r="M71" s="54" t="n">
        <x:f>IF(OR(K71="",L71=""),"",L71-K71)</x:f>
        <x:v>0</x:v>
      </x:c>
      <x:c r="N71" s="54" t="str">
        <x:f>IF(M71="","",ABS(M71))</x:f>
      </x:c>
    </x:row>
    <x:row r="72">
      <x:c r="A72" s="54" t="n">
        <x:v>2026</x:v>
      </x:c>
      <x:c r="B72" s="54" t="n">
        <x:v>51344</x:v>
      </x:c>
      <x:c r="C72" s="54" t="str">
        <x:v>김휘집</x:v>
      </x:c>
      <x:c r="D72" s="54" t="str">
        <x:v>NC</x:v>
      </x:c>
      <x:c r="E72" s="54" t="n">
        <x:v>874</x:v>
      </x:c>
      <x:c r="F72" s="108" t="b">
        <x:v>1</x:v>
      </x:c>
      <x:c r="G72" s="111" t="n">
        <x:v>0.44164760000000003</x:v>
      </x:c>
      <x:c r="H72" s="111" t="n">
        <x:v>0.45569451</x:v>
      </x:c>
      <x:c r="I72" s="111" t="n">
        <x:v>0.45574266</x:v>
      </x:c>
      <x:c r="J72" s="96" t="n">
        <x:f>(I72-H72)*100</x:f>
        <x:v>0.004815000000002456</x:v>
      </x:c>
      <x:c r="K72" s="54" t="n">
        <x:v>59</x:v>
      </x:c>
      <x:c r="L72" s="54" t="n">
        <x:v>55</x:v>
      </x:c>
      <x:c r="M72" s="54" t="n">
        <x:f>IF(OR(K72="",L72=""),"",L72-K72)</x:f>
        <x:v>-4</x:v>
      </x:c>
      <x:c r="N72" s="54" t="n">
        <x:f>IF(M72="","",ABS(M72))</x:f>
        <x:v>4</x:v>
      </x:c>
    </x:row>
    <x:row r="73">
      <x:c r="A73" s="54" t="n">
        <x:v>2026</x:v>
      </x:c>
      <x:c r="B73" s="54" t="n">
        <x:v>62947</x:v>
      </x:c>
      <x:c r="C73" s="54" t="str">
        <x:v>나성범</x:v>
      </x:c>
      <x:c r="D73" s="54" t="str">
        <x:v>KIA</x:v>
      </x:c>
      <x:c r="E73" s="54" t="n">
        <x:v>1785</x:v>
      </x:c>
      <x:c r="F73" s="108" t="b">
        <x:v>1</x:v>
      </x:c>
      <x:c r="G73" s="111" t="n">
        <x:v>0.51876751</x:v>
      </x:c>
      <x:c r="H73" s="111" t="n">
        <x:v>0.43429865</x:v>
      </x:c>
      <x:c r="I73" s="111" t="n">
        <x:v>0.43111795</x:v>
      </x:c>
      <x:c r="J73" s="96" t="n">
        <x:f>(I73-H73)*100</x:f>
        <x:v>-0.3180699999999981</x:v>
      </x:c>
      <x:c r="K73" s="54" t="n">
        <x:v>125</x:v>
      </x:c>
      <x:c r="L73" s="54" t="n">
        <x:v>132</x:v>
      </x:c>
      <x:c r="M73" s="54" t="n">
        <x:f>IF(OR(K73="",L73=""),"",L73-K73)</x:f>
        <x:v>7</x:v>
      </x:c>
      <x:c r="N73" s="54" t="n">
        <x:f>IF(M73="","",ABS(M73))</x:f>
        <x:v>7</x:v>
      </x:c>
    </x:row>
    <x:row r="74">
      <x:c r="A74" s="54" t="n">
        <x:v>2026</x:v>
      </x:c>
      <x:c r="B74" s="54" t="n">
        <x:v>51551</x:v>
      </x:c>
      <x:c r="C74" s="54" t="str">
        <x:v>나승엽</x:v>
      </x:c>
      <x:c r="D74" s="54" t="str">
        <x:v>LOT</x:v>
      </x:c>
      <x:c r="E74" s="54" t="n">
        <x:v>1247</x:v>
      </x:c>
      <x:c r="F74" s="108" t="b">
        <x:v>1</x:v>
      </x:c>
      <x:c r="G74" s="111" t="n">
        <x:v>0.38251804</x:v>
      </x:c>
      <x:c r="H74" s="111" t="n">
        <x:v>0.44639025</x:v>
      </x:c>
      <x:c r="I74" s="111" t="n">
        <x:v>0.44632284</x:v>
      </x:c>
      <x:c r="J74" s="96" t="n">
        <x:f>(I74-H74)*100</x:f>
        <x:v>-0.006740999999998998</x:v>
      </x:c>
      <x:c r="K74" s="54" t="n">
        <x:v>82</x:v>
      </x:c>
      <x:c r="L74" s="54" t="n">
        <x:v>86</x:v>
      </x:c>
      <x:c r="M74" s="54" t="n">
        <x:f>IF(OR(K74="",L74=""),"",L74-K74)</x:f>
        <x:v>4</x:v>
      </x:c>
      <x:c r="N74" s="54" t="n">
        <x:f>IF(M74="","",ABS(M74))</x:f>
        <x:v>4</x:v>
      </x:c>
    </x:row>
    <x:row r="75">
      <x:c r="A75" s="54" t="n">
        <x:v>2026</x:v>
      </x:c>
      <x:c r="B75" s="54" t="n">
        <x:v>69737</x:v>
      </x:c>
      <x:c r="C75" s="54" t="str">
        <x:v>노시환</x:v>
      </x:c>
      <x:c r="D75" s="54" t="str">
        <x:v>HAN</x:v>
      </x:c>
      <x:c r="E75" s="54" t="n">
        <x:v>1948</x:v>
      </x:c>
      <x:c r="F75" s="108" t="b">
        <x:v>1</x:v>
      </x:c>
      <x:c r="G75" s="111" t="n">
        <x:v>0.45841889</x:v>
      </x:c>
      <x:c r="H75" s="111" t="n">
        <x:v>0.45573014</x:v>
      </x:c>
      <x:c r="I75" s="111" t="n">
        <x:v>0.45500084</x:v>
      </x:c>
      <x:c r="J75" s="96" t="n">
        <x:f>(I75-H75)*100</x:f>
        <x:v>-0.07292999999999883</x:v>
      </x:c>
      <x:c r="K75" s="54" t="n">
        <x:v>58</x:v>
      </x:c>
      <x:c r="L75" s="54" t="n">
        <x:v>57</x:v>
      </x:c>
      <x:c r="M75" s="54" t="n">
        <x:f>IF(OR(K75="",L75=""),"",L75-K75)</x:f>
        <x:v>-1</x:v>
      </x:c>
      <x:c r="N75" s="54" t="n">
        <x:f>IF(M75="","",ABS(M75))</x:f>
        <x:v>1</x:v>
      </x:c>
    </x:row>
    <x:row r="76">
      <x:c r="A76" s="54" t="n">
        <x:v>2026</x:v>
      </x:c>
      <x:c r="B76" s="54" t="n">
        <x:v>62931</x:v>
      </x:c>
      <x:c r="C76" s="54" t="str">
        <x:v>노진혁</x:v>
      </x:c>
      <x:c r="D76" s="54" t="str">
        <x:v>LOT</x:v>
      </x:c>
      <x:c r="E76" s="54" t="n">
        <x:v>826</x:v>
      </x:c>
      <x:c r="F76" s="108" t="b">
        <x:v>1</x:v>
      </x:c>
      <x:c r="G76" s="111" t="n">
        <x:v>0.46368039000000005</x:v>
      </x:c>
      <x:c r="H76" s="111" t="n">
        <x:v>0.4595516</x:v>
      </x:c>
      <x:c r="I76" s="111" t="n">
        <x:v>0.45646448</x:v>
      </x:c>
      <x:c r="J76" s="96" t="n">
        <x:f>(I76-H76)*100</x:f>
        <x:v>-0.3087119999999999</x:v>
      </x:c>
      <x:c r="K76" s="54" t="n">
        <x:v>39</x:v>
      </x:c>
      <x:c r="L76" s="54" t="n">
        <x:v>51</x:v>
      </x:c>
      <x:c r="M76" s="54" t="n">
        <x:f>IF(OR(K76="",L76=""),"",L76-K76)</x:f>
        <x:v>12</x:v>
      </x:c>
      <x:c r="N76" s="54" t="n">
        <x:f>IF(M76="","",ABS(M76))</x:f>
        <x:v>12</x:v>
      </x:c>
    </x:row>
    <x:row r="77">
      <x:c r="A77" s="54" t="n">
        <x:v>2026</x:v>
      </x:c>
      <x:c r="B77" s="54" t="n">
        <x:v>54944</x:v>
      </x:c>
      <x:c r="C77" s="54" t="str">
        <x:v>데이비슨</x:v>
      </x:c>
      <x:c r="D77" s="54" t="str">
        <x:v>NC · KIW</x:v>
      </x:c>
      <x:c r="E77" s="54" t="n">
        <x:v>1670</x:v>
      </x:c>
      <x:c r="F77" s="108" t="b">
        <x:v>1</x:v>
      </x:c>
      <x:c r="G77" s="111" t="n">
        <x:v>0.53832335</x:v>
      </x:c>
      <x:c r="H77" s="111" t="n">
        <x:v>0.4621743</x:v>
      </x:c>
      <x:c r="I77" s="111" t="n">
        <x:v>0.46200257</x:v>
      </x:c>
      <x:c r="J77" s="96" t="n">
        <x:f>(I77-H77)*100</x:f>
        <x:v>-0.017172999999998106</x:v>
      </x:c>
      <x:c r="K77" s="54" t="n">
        <x:v>23</x:v>
      </x:c>
      <x:c r="L77" s="54" t="n">
        <x:v>31</x:v>
      </x:c>
      <x:c r="M77" s="54" t="n">
        <x:f>IF(OR(K77="",L77=""),"",L77-K77)</x:f>
        <x:v>8</x:v>
      </x:c>
      <x:c r="N77" s="54" t="n">
        <x:f>IF(M77="","",ABS(M77))</x:f>
        <x:v>8</x:v>
      </x:c>
    </x:row>
    <x:row r="78">
      <x:c r="A78" s="54" t="n">
        <x:v>2026</x:v>
      </x:c>
      <x:c r="B78" s="54" t="n">
        <x:v>56632</x:v>
      </x:c>
      <x:c r="C78" s="54" t="str">
        <x:v>데일</x:v>
      </x:c>
      <x:c r="D78" s="54" t="str">
        <x:v>KIA</x:v>
      </x:c>
      <x:c r="E78" s="54" t="n">
        <x:v>490</x:v>
      </x:c>
      <x:c r="F78" s="108" t="b">
        <x:v>1</x:v>
      </x:c>
      <x:c r="G78" s="111" t="n">
        <x:v>0.51632653</x:v>
      </x:c>
      <x:c r="H78" s="111" t="n">
        <x:v>0.45264155</x:v>
      </x:c>
      <x:c r="I78" s="111" t="n">
        <x:v>0.45303053</x:v>
      </x:c>
      <x:c r="J78" s="96" t="n">
        <x:f>(I78-H78)*100</x:f>
        <x:v>0.03889799999999832</x:v>
      </x:c>
      <x:c r="K78" s="54" t="n">
        <x:v>62</x:v>
      </x:c>
      <x:c r="L78" s="54" t="n">
        <x:v>65</x:v>
      </x:c>
      <x:c r="M78" s="54" t="n">
        <x:f>IF(OR(K78="",L78=""),"",L78-K78)</x:f>
        <x:v>3</x:v>
      </x:c>
      <x:c r="N78" s="54" t="n">
        <x:f>IF(M78="","",ABS(M78))</x:f>
        <x:v>3</x:v>
      </x:c>
    </x:row>
    <x:row r="79">
      <x:c r="A79" s="54" t="n">
        <x:v>2026</x:v>
      </x:c>
      <x:c r="B79" s="54" t="n">
        <x:v>66965</x:v>
      </x:c>
      <x:c r="C79" s="54" t="str">
        <x:v>도태훈</x:v>
      </x:c>
      <x:c r="D79" s="54" t="str">
        <x:v>NC</x:v>
      </x:c>
      <x:c r="E79" s="54" t="n">
        <x:v>343</x:v>
      </x:c>
      <x:c r="F79" s="108" t="b">
        <x:v>1</x:v>
      </x:c>
      <x:c r="G79" s="111" t="n">
        <x:v>0.37026238999999994</x:v>
      </x:c>
      <x:c r="H79" s="111" t="n">
        <x:v>0.43243307999999997</x:v>
      </x:c>
      <x:c r="I79" s="111" t="n">
        <x:v>0.43043121999999995</x:v>
      </x:c>
      <x:c r="J79" s="96" t="n">
        <x:f>(I79-H79)*100</x:f>
        <x:v>-0.2001860000000022</x:v>
      </x:c>
      <x:c r="K79" s="54" t="n">
        <x:v>132</x:v>
      </x:c>
      <x:c r="L79" s="54" t="n">
        <x:v>135</x:v>
      </x:c>
      <x:c r="M79" s="54" t="n">
        <x:f>IF(OR(K79="",L79=""),"",L79-K79)</x:f>
        <x:v>3</x:v>
      </x:c>
      <x:c r="N79" s="54" t="n">
        <x:f>IF(M79="","",ABS(M79))</x:f>
        <x:v>3</x:v>
      </x:c>
    </x:row>
    <x:row r="80">
      <x:c r="A80" s="54" t="n">
        <x:v>2026</x:v>
      </x:c>
      <x:c r="B80" s="54" t="n">
        <x:v>54400</x:v>
      </x:c>
      <x:c r="C80" s="54" t="str">
        <x:v>디아즈</x:v>
      </x:c>
      <x:c r="D80" s="54" t="str">
        <x:v>SAM</x:v>
      </x:c>
      <x:c r="E80" s="54" t="n">
        <x:v>1986</x:v>
      </x:c>
      <x:c r="F80" s="108" t="b">
        <x:v>1</x:v>
      </x:c>
      <x:c r="G80" s="111" t="n">
        <x:v>0.43202417</x:v>
      </x:c>
      <x:c r="H80" s="111" t="n">
        <x:v>0.41133872</x:v>
      </x:c>
      <x:c r="I80" s="111" t="n">
        <x:v>0.40964288000000004</x:v>
      </x:c>
      <x:c r="J80" s="96" t="n">
        <x:f>(I80-H80)*100</x:f>
        <x:v>-0.16958399999999485</x:v>
      </x:c>
      <x:c r="K80" s="54" t="n">
        <x:v>155</x:v>
      </x:c>
      <x:c r="L80" s="54" t="n">
        <x:v>155</x:v>
      </x:c>
      <x:c r="M80" s="54" t="n">
        <x:f>IF(OR(K80="",L80=""),"",L80-K80)</x:f>
        <x:v>0</x:v>
      </x:c>
      <x:c r="N80" s="54" t="str">
        <x:f>IF(M80="","",ABS(M80))</x:f>
      </x:c>
    </x:row>
    <x:row r="81">
      <x:c r="A81" s="54" t="n">
        <x:v>2026</x:v>
      </x:c>
      <x:c r="B81" s="54" t="n">
        <x:v>54529</x:v>
      </x:c>
      <x:c r="C81" s="54" t="str">
        <x:v>레이예스</x:v>
      </x:c>
      <x:c r="D81" s="54" t="str">
        <x:v>LOT</x:v>
      </x:c>
      <x:c r="E81" s="54" t="n">
        <x:v>1870</x:v>
      </x:c>
      <x:c r="F81" s="108" t="b">
        <x:v>1</x:v>
      </x:c>
      <x:c r="G81" s="111" t="n">
        <x:v>0.5315508</x:v>
      </x:c>
      <x:c r="H81" s="111" t="n">
        <x:v>0.42883150000000003</x:v>
      </x:c>
      <x:c r="I81" s="111" t="n">
        <x:v>0.4294695</x:v>
      </x:c>
      <x:c r="J81" s="96" t="n">
        <x:f>(I81-H81)*100</x:f>
        <x:v>0.06379999999999719</x:v>
      </x:c>
      <x:c r="K81" s="54" t="n">
        <x:v>137</x:v>
      </x:c>
      <x:c r="L81" s="54" t="n">
        <x:v>136</x:v>
      </x:c>
      <x:c r="M81" s="54" t="n">
        <x:f>IF(OR(K81="",L81=""),"",L81-K81)</x:f>
        <x:v>-1</x:v>
      </x:c>
      <x:c r="N81" s="54" t="n">
        <x:f>IF(M81="","",ABS(M81))</x:f>
        <x:v>1</x:v>
      </x:c>
    </x:row>
    <x:row r="82">
      <x:c r="A82" s="54" t="n">
        <x:v>2026</x:v>
      </x:c>
      <x:c r="B82" s="54" t="n">
        <x:v>53404</x:v>
      </x:c>
      <x:c r="C82" s="54" t="str">
        <x:v>류승민</x:v>
      </x:c>
      <x:c r="D82" s="54" t="str">
        <x:v>SAM · DOO</x:v>
      </x:c>
      <x:c r="E82" s="54" t="n">
        <x:v>350</x:v>
      </x:c>
      <x:c r="F82" s="108" t="b">
        <x:v>1</x:v>
      </x:c>
      <x:c r="G82" s="111" t="n">
        <x:v>0.45142857</x:v>
      </x:c>
      <x:c r="H82" s="111" t="n">
        <x:v>0.43892525</x:v>
      </x:c>
      <x:c r="I82" s="111" t="n">
        <x:v>0.43454594999999996</x:v>
      </x:c>
      <x:c r="J82" s="96" t="n">
        <x:f>(I82-H82)*100</x:f>
        <x:v>-0.43793000000000304</x:v>
      </x:c>
      <x:c r="K82" s="54" t="n">
        <x:v>106</x:v>
      </x:c>
      <x:c r="L82" s="54" t="n">
        <x:v>121</x:v>
      </x:c>
      <x:c r="M82" s="54" t="n">
        <x:f>IF(OR(K82="",L82=""),"",L82-K82)</x:f>
        <x:v>15</x:v>
      </x:c>
      <x:c r="N82" s="54" t="n">
        <x:f>IF(M82="","",ABS(M82))</x:f>
        <x:v>15</x:v>
      </x:c>
    </x:row>
    <x:row r="83">
      <x:c r="A83" s="54" t="n">
        <x:v>2026</x:v>
      </x:c>
      <x:c r="B83" s="54" t="n">
        <x:v>62234</x:v>
      </x:c>
      <x:c r="C83" s="54" t="str">
        <x:v>류지혁</x:v>
      </x:c>
      <x:c r="D83" s="54" t="str">
        <x:v>SAM</x:v>
      </x:c>
      <x:c r="E83" s="54" t="n">
        <x:v>1762</x:v>
      </x:c>
      <x:c r="F83" s="108" t="b">
        <x:v>1</x:v>
      </x:c>
      <x:c r="G83" s="111" t="n">
        <x:v>0.42111237</x:v>
      </x:c>
      <x:c r="H83" s="111" t="n">
        <x:v>0.44167746999999996</x:v>
      </x:c>
      <x:c r="I83" s="111" t="n">
        <x:v>0.43948842</x:v>
      </x:c>
      <x:c r="J83" s="96" t="n">
        <x:f>(I83-H83)*100</x:f>
        <x:v>-0.21890499999999702</x:v>
      </x:c>
      <x:c r="K83" s="54" t="n">
        <x:v>97</x:v>
      </x:c>
      <x:c r="L83" s="54" t="n">
        <x:v>101</x:v>
      </x:c>
      <x:c r="M83" s="54" t="n">
        <x:f>IF(OR(K83="",L83=""),"",L83-K83)</x:f>
        <x:v>4</x:v>
      </x:c>
      <x:c r="N83" s="54" t="n">
        <x:f>IF(M83="","",ABS(M83))</x:f>
        <x:v>4</x:v>
      </x:c>
    </x:row>
    <x:row r="84">
      <x:c r="A84" s="54" t="n">
        <x:v>2026</x:v>
      </x:c>
      <x:c r="B84" s="54" t="n">
        <x:v>53036</x:v>
      </x:c>
      <x:c r="C84" s="54" t="str">
        <x:v>류현인</x:v>
      </x:c>
      <x:c r="D84" s="54" t="str">
        <x:v>KT</x:v>
      </x:c>
      <x:c r="E84" s="54" t="n">
        <x:v>663</x:v>
      </x:c>
      <x:c r="F84" s="108" t="b">
        <x:v>1</x:v>
      </x:c>
      <x:c r="G84" s="111" t="n">
        <x:v>0.49321266999999996</x:v>
      </x:c>
      <x:c r="H84" s="111" t="n">
        <x:v>0.45698970000000005</x:v>
      </x:c>
      <x:c r="I84" s="111" t="n">
        <x:v>0.45921841999999996</x:v>
      </x:c>
      <x:c r="J84" s="96" t="n">
        <x:f>(I84-H84)*100</x:f>
        <x:v>0.22287199999999063</x:v>
      </x:c>
      <x:c r="K84" s="54" t="n">
        <x:v>53</x:v>
      </x:c>
      <x:c r="L84" s="54" t="n">
        <x:v>40</x:v>
      </x:c>
      <x:c r="M84" s="54" t="n">
        <x:f>IF(OR(K84="",L84=""),"",L84-K84)</x:f>
        <x:v>-13</x:v>
      </x:c>
      <x:c r="N84" s="54" t="n">
        <x:f>IF(M84="","",ABS(M84))</x:f>
        <x:v>13</x:v>
      </x:c>
    </x:row>
    <x:row r="85">
      <x:c r="A85" s="54" t="n">
        <x:v>2026</x:v>
      </x:c>
      <x:c r="B85" s="54" t="n">
        <x:v>54219</x:v>
      </x:c>
      <x:c r="C85" s="54" t="str">
        <x:v>류현준</x:v>
      </x:c>
      <x:c r="D85" s="54" t="str">
        <x:v>DOO</x:v>
      </x:c>
      <x:c r="E85" s="54" t="n">
        <x:v>4</x:v>
      </x:c>
      <x:c r="F85" s="108" t="b">
        <x:v>0</x:v>
      </x:c>
      <x:c r="G85" s="111" t="n">
        <x:v>0.75</x:v>
      </x:c>
      <x:c r="H85" s="111" t="n">
        <x:v>0.44113157000000003</x:v>
      </x:c>
      <x:c r="I85" s="111" t="n">
        <x:v>0.41114449000000003</x:v>
      </x:c>
      <x:c r="J85" s="96" t="n">
        <x:f>(I85-H85)*100</x:f>
        <x:v>-2.9987079999999997</x:v>
      </x:c>
      <x:c r="K85" s="54"/>
      <x:c r="L85" s="54"/>
      <x:c r="M85" s="54" t="str">
        <x:f>IF(OR(K85="",L85=""),"",L85-K85)</x:f>
      </x:c>
      <x:c r="N85" s="54" t="str">
        <x:f>IF(M85="","",ABS(M85))</x:f>
      </x:c>
    </x:row>
    <x:row r="86">
      <x:c r="A86" s="54" t="n">
        <x:v>2026</x:v>
      </x:c>
      <x:c r="B86" s="54" t="n">
        <x:v>50868</x:v>
      </x:c>
      <x:c r="C86" s="54" t="str">
        <x:v>류효승</x:v>
      </x:c>
      <x:c r="D86" s="54" t="str">
        <x:v>SSG</x:v>
      </x:c>
      <x:c r="E86" s="54" t="n">
        <x:v>99</x:v>
      </x:c>
      <x:c r="F86" s="108" t="b">
        <x:v>0</x:v>
      </x:c>
      <x:c r="G86" s="111" t="n">
        <x:v>0.48484847999999997</x:v>
      </x:c>
      <x:c r="H86" s="111" t="n">
        <x:v>0.46302973999999997</x:v>
      </x:c>
      <x:c r="I86" s="111" t="n">
        <x:v>0.46958759</x:v>
      </x:c>
      <x:c r="J86" s="96" t="n">
        <x:f>(I86-H86)*100</x:f>
        <x:v>0.6557850000000032</x:v>
      </x:c>
      <x:c r="K86" s="54"/>
      <x:c r="L86" s="54"/>
      <x:c r="M86" s="54" t="str">
        <x:f>IF(OR(K86="",L86=""),"",L86-K86)</x:f>
      </x:c>
      <x:c r="N86" s="54" t="str">
        <x:f>IF(M86="","",ABS(M86))</x:f>
      </x:c>
    </x:row>
    <x:row r="87">
      <x:c r="A87" s="54" t="n">
        <x:v>2026</x:v>
      </x:c>
      <x:c r="B87" s="54" t="n">
        <x:v>56813</x:v>
      </x:c>
      <x:c r="C87" s="54" t="str">
        <x:v>마드리스</x:v>
      </x:c>
      <x:c r="D87" s="54" t="str">
        <x:v>SSG</x:v>
      </x:c>
      <x:c r="E87" s="54" t="n">
        <x:v>297</x:v>
      </x:c>
      <x:c r="F87" s="108" t="b">
        <x:v>0</x:v>
      </x:c>
      <x:c r="G87" s="111" t="n">
        <x:v>0.50505051</x:v>
      </x:c>
      <x:c r="H87" s="111" t="n">
        <x:v>0.43097679</x:v>
      </x:c>
      <x:c r="I87" s="111" t="n">
        <x:v>0.42685309</x:v>
      </x:c>
      <x:c r="J87" s="96" t="n">
        <x:f>(I87-H87)*100</x:f>
        <x:v>-0.4123700000000008</x:v>
      </x:c>
      <x:c r="K87" s="54"/>
      <x:c r="L87" s="54"/>
      <x:c r="M87" s="54" t="str">
        <x:f>IF(OR(K87="",L87=""),"",L87-K87)</x:f>
      </x:c>
      <x:c r="N87" s="54" t="str">
        <x:f>IF(M87="","",ABS(M87))</x:f>
      </x:c>
    </x:row>
    <x:row r="88">
      <x:c r="A88" s="54" t="n">
        <x:v>2026</x:v>
      </x:c>
      <x:c r="B88" s="54" t="n">
        <x:v>69102</x:v>
      </x:c>
      <x:c r="C88" s="54" t="str">
        <x:v>문보경</x:v>
      </x:c>
      <x:c r="D88" s="54" t="str">
        <x:v>LG</x:v>
      </x:c>
      <x:c r="E88" s="54" t="n">
        <x:v>1510</x:v>
      </x:c>
      <x:c r="F88" s="108" t="b">
        <x:v>1</x:v>
      </x:c>
      <x:c r="G88" s="111" t="n">
        <x:v>0.40463576</x:v>
      </x:c>
      <x:c r="H88" s="111" t="n">
        <x:v>0.44425742999999995</x:v>
      </x:c>
      <x:c r="I88" s="111" t="n">
        <x:v>0.44318835999999995</x:v>
      </x:c>
      <x:c r="J88" s="96" t="n">
        <x:f>(I88-H88)*100</x:f>
        <x:v>-0.10690700000000053</x:v>
      </x:c>
      <x:c r="K88" s="54" t="n">
        <x:v>88</x:v>
      </x:c>
      <x:c r="L88" s="54" t="n">
        <x:v>92</x:v>
      </x:c>
      <x:c r="M88" s="54" t="n">
        <x:f>IF(OR(K88="",L88=""),"",L88-K88)</x:f>
        <x:v>4</x:v>
      </x:c>
      <x:c r="N88" s="54" t="n">
        <x:f>IF(M88="","",ABS(M88))</x:f>
        <x:v>4</x:v>
      </x:c>
    </x:row>
    <x:row r="89">
      <x:c r="A89" s="54" t="n">
        <x:v>2026</x:v>
      </x:c>
      <x:c r="B89" s="54" t="n">
        <x:v>64007</x:v>
      </x:c>
      <x:c r="C89" s="54" t="str">
        <x:v>문상철</x:v>
      </x:c>
      <x:c r="D89" s="54" t="str">
        <x:v>KT</x:v>
      </x:c>
      <x:c r="E89" s="54" t="n">
        <x:v>10</x:v>
      </x:c>
      <x:c r="F89" s="108" t="b">
        <x:v>0</x:v>
      </x:c>
      <x:c r="G89" s="111" t="n">
        <x:v>0.4</x:v>
      </x:c>
      <x:c r="H89" s="111" t="n">
        <x:v>0.4060388</x:v>
      </x:c>
      <x:c r="I89" s="111" t="n">
        <x:v>0.36497681</x:v>
      </x:c>
      <x:c r="J89" s="96" t="n">
        <x:f>(I89-H89)*100</x:f>
        <x:v>-4.106198999999999</x:v>
      </x:c>
      <x:c r="K89" s="54"/>
      <x:c r="L89" s="54"/>
      <x:c r="M89" s="54" t="str">
        <x:f>IF(OR(K89="",L89=""),"",L89-K89)</x:f>
      </x:c>
      <x:c r="N89" s="54" t="str">
        <x:f>IF(M89="","",ABS(M89))</x:f>
      </x:c>
    </x:row>
    <x:row r="90">
      <x:c r="A90" s="54" t="n">
        <x:v>2026</x:v>
      </x:c>
      <x:c r="B90" s="54" t="n">
        <x:v>68119</x:v>
      </x:c>
      <x:c r="C90" s="54" t="str">
        <x:v>문성주</x:v>
      </x:c>
      <x:c r="D90" s="54" t="str">
        <x:v>LG</x:v>
      </x:c>
      <x:c r="E90" s="54" t="n">
        <x:v>886</x:v>
      </x:c>
      <x:c r="F90" s="108" t="b">
        <x:v>1</x:v>
      </x:c>
      <x:c r="G90" s="111" t="n">
        <x:v>0.44469526000000004</x:v>
      </x:c>
      <x:c r="H90" s="111" t="n">
        <x:v>0.43496105999999995</x:v>
      </x:c>
      <x:c r="I90" s="111" t="n">
        <x:v>0.43285233</x:v>
      </x:c>
      <x:c r="J90" s="96" t="n">
        <x:f>(I90-H90)*100</x:f>
        <x:v>-0.21087299999999476</x:v>
      </x:c>
      <x:c r="K90" s="54" t="n">
        <x:v>120</x:v>
      </x:c>
      <x:c r="L90" s="54" t="n">
        <x:v>130</x:v>
      </x:c>
      <x:c r="M90" s="54" t="n">
        <x:f>IF(OR(K90="",L90=""),"",L90-K90)</x:f>
        <x:v>10</x:v>
      </x:c>
      <x:c r="N90" s="54" t="n">
        <x:f>IF(M90="","",ABS(M90))</x:f>
        <x:v>10</x:v>
      </x:c>
    </x:row>
    <x:row r="91">
      <x:c r="A91" s="54" t="n">
        <x:v>2026</x:v>
      </x:c>
      <x:c r="B91" s="54" t="n">
        <x:v>52121</x:v>
      </x:c>
      <x:c r="C91" s="54" t="str">
        <x:v>문정빈</x:v>
      </x:c>
      <x:c r="D91" s="54" t="str">
        <x:v>LG</x:v>
      </x:c>
      <x:c r="E91" s="54" t="n">
        <x:v>979</x:v>
      </x:c>
      <x:c r="F91" s="108" t="b">
        <x:v>1</x:v>
      </x:c>
      <x:c r="G91" s="111" t="n">
        <x:v>0.43615935</x:v>
      </x:c>
      <x:c r="H91" s="111" t="n">
        <x:v>0.46395667</x:v>
      </x:c>
      <x:c r="I91" s="111" t="n">
        <x:v>0.46828719999999996</x:v>
      </x:c>
      <x:c r="J91" s="96" t="n">
        <x:f>(I91-H91)*100</x:f>
        <x:v>0.43305299999999436</x:v>
      </x:c>
      <x:c r="K91" s="54" t="n">
        <x:v>20</x:v>
      </x:c>
      <x:c r="L91" s="54" t="n">
        <x:v>17</x:v>
      </x:c>
      <x:c r="M91" s="54" t="n">
        <x:f>IF(OR(K91="",L91=""),"",L91-K91)</x:f>
        <x:v>-3</x:v>
      </x:c>
      <x:c r="N91" s="54" t="n">
        <x:f>IF(M91="","",ABS(M91))</x:f>
        <x:v>3</x:v>
      </x:c>
    </x:row>
    <x:row r="92">
      <x:c r="A92" s="54" t="n">
        <x:v>2026</x:v>
      </x:c>
      <x:c r="B92" s="54" t="n">
        <x:v>53764</x:v>
      </x:c>
      <x:c r="C92" s="54" t="str">
        <x:v>문현빈</x:v>
      </x:c>
      <x:c r="D92" s="54" t="str">
        <x:v>HAN</x:v>
      </x:c>
      <x:c r="E92" s="54" t="n">
        <x:v>1907</x:v>
      </x:c>
      <x:c r="F92" s="108" t="b">
        <x:v>1</x:v>
      </x:c>
      <x:c r="G92" s="111" t="n">
        <x:v>0.43628736</x:v>
      </x:c>
      <x:c r="H92" s="111" t="n">
        <x:v>0.42234826</x:v>
      </x:c>
      <x:c r="I92" s="111" t="n">
        <x:v>0.41796356</x:v>
      </x:c>
      <x:c r="J92" s="96" t="n">
        <x:f>(I92-H92)*100</x:f>
        <x:v>-0.43846999999999636</x:v>
      </x:c>
      <x:c r="K92" s="54" t="n">
        <x:v>149</x:v>
      </x:c>
      <x:c r="L92" s="54" t="n">
        <x:v>151</x:v>
      </x:c>
      <x:c r="M92" s="54" t="n">
        <x:f>IF(OR(K92="",L92=""),"",L92-K92)</x:f>
        <x:v>2</x:v>
      </x:c>
      <x:c r="N92" s="54" t="n">
        <x:f>IF(M92="","",ABS(M92))</x:f>
        <x:v>2</x:v>
      </x:c>
    </x:row>
    <x:row r="93">
      <x:c r="A93" s="54" t="n">
        <x:v>2026</x:v>
      </x:c>
      <x:c r="B93" s="54" t="n">
        <x:v>79215</x:v>
      </x:c>
      <x:c r="C93" s="54" t="str">
        <x:v>박건우</x:v>
      </x:c>
      <x:c r="D93" s="54" t="str">
        <x:v>NC</x:v>
      </x:c>
      <x:c r="E93" s="54" t="n">
        <x:v>1591</x:v>
      </x:c>
      <x:c r="F93" s="108" t="b">
        <x:v>1</x:v>
      </x:c>
      <x:c r="G93" s="111" t="n">
        <x:v>0.47265871</x:v>
      </x:c>
      <x:c r="H93" s="111" t="n">
        <x:v>0.44174881</x:v>
      </x:c>
      <x:c r="I93" s="111" t="n">
        <x:v>0.4389904</x:v>
      </x:c>
      <x:c r="J93" s="96" t="n">
        <x:f>(I93-H93)*100</x:f>
        <x:v>-0.2758409999999989</x:v>
      </x:c>
      <x:c r="K93" s="54" t="n">
        <x:v>95</x:v>
      </x:c>
      <x:c r="L93" s="54" t="n">
        <x:v>102</x:v>
      </x:c>
      <x:c r="M93" s="54" t="n">
        <x:f>IF(OR(K93="",L93=""),"",L93-K93)</x:f>
        <x:v>7</x:v>
      </x:c>
      <x:c r="N93" s="54" t="n">
        <x:f>IF(M93="","",ABS(M93))</x:f>
        <x:v>7</x:v>
      </x:c>
    </x:row>
    <x:row r="94">
      <x:c r="A94" s="54" t="n">
        <x:v>2026</x:v>
      </x:c>
      <x:c r="B94" s="54" t="n">
        <x:v>55509</x:v>
      </x:c>
      <x:c r="C94" s="54" t="str">
        <x:v>박건우</x:v>
      </x:c>
      <x:c r="D94" s="54" t="str">
        <x:v>LOT</x:v>
      </x:c>
      <x:c r="E94" s="54" t="n">
        <x:v>73</x:v>
      </x:c>
      <x:c r="F94" s="108" t="b">
        <x:v>0</x:v>
      </x:c>
      <x:c r="G94" s="111" t="n">
        <x:v>0.61643836</x:v>
      </x:c>
      <x:c r="H94" s="111" t="n">
        <x:v>0.46856898999999996</x:v>
      </x:c>
      <x:c r="I94" s="111" t="n">
        <x:v>0.46514926</x:v>
      </x:c>
      <x:c r="J94" s="96" t="n">
        <x:f>(I94-H94)*100</x:f>
        <x:v>-0.3419729999999954</x:v>
      </x:c>
      <x:c r="K94" s="54"/>
      <x:c r="L94" s="54"/>
      <x:c r="M94" s="54" t="str">
        <x:f>IF(OR(K94="",L94=""),"",L94-K94)</x:f>
      </x:c>
      <x:c r="N94" s="54" t="str">
        <x:f>IF(M94="","",ABS(M94))</x:f>
      </x:c>
    </x:row>
    <x:row r="95">
      <x:c r="A95" s="54" t="n">
        <x:v>2026</x:v>
      </x:c>
      <x:c r="B95" s="54" t="n">
        <x:v>64468</x:v>
      </x:c>
      <x:c r="C95" s="54" t="str">
        <x:v>박계범</x:v>
      </x:c>
      <x:c r="D95" s="54" t="str">
        <x:v>SAM</x:v>
      </x:c>
      <x:c r="E95" s="54" t="n">
        <x:v>156</x:v>
      </x:c>
      <x:c r="F95" s="108" t="b">
        <x:v>0</x:v>
      </x:c>
      <x:c r="G95" s="111" t="n">
        <x:v>0.5</x:v>
      </x:c>
      <x:c r="H95" s="111" t="n">
        <x:v>0.46808891</x:v>
      </x:c>
      <x:c r="I95" s="111" t="n">
        <x:v>0.47217224</x:v>
      </x:c>
      <x:c r="J95" s="96" t="n">
        <x:f>(I95-H95)*100</x:f>
        <x:v>0.4083329999999996</x:v>
      </x:c>
      <x:c r="K95" s="54"/>
      <x:c r="L95" s="54"/>
      <x:c r="M95" s="54" t="str">
        <x:f>IF(OR(K95="",L95=""),"",L95-K95)</x:f>
      </x:c>
      <x:c r="N95" s="54" t="str">
        <x:f>IF(M95="","",ABS(M95))</x:f>
      </x:c>
    </x:row>
    <x:row r="96">
      <x:c r="A96" s="54" t="n">
        <x:v>2026</x:v>
      </x:c>
      <x:c r="B96" s="54" t="n">
        <x:v>79365</x:v>
      </x:c>
      <x:c r="C96" s="54" t="str">
        <x:v>박동원</x:v>
      </x:c>
      <x:c r="D96" s="54" t="str">
        <x:v>LG</x:v>
      </x:c>
      <x:c r="E96" s="54" t="n">
        <x:v>1380</x:v>
      </x:c>
      <x:c r="F96" s="108" t="b">
        <x:v>1</x:v>
      </x:c>
      <x:c r="G96" s="111" t="n">
        <x:v>0.46521738999999995</x:v>
      </x:c>
      <x:c r="H96" s="111" t="n">
        <x:v>0.43552537</x:v>
      </x:c>
      <x:c r="I96" s="111" t="n">
        <x:v>0.43686189</x:v>
      </x:c>
      <x:c r="J96" s="96" t="n">
        <x:f>(I96-H96)*100</x:f>
        <x:v>0.13365199999999522</x:v>
      </x:c>
      <x:c r="K96" s="54" t="n">
        <x:v>118</x:v>
      </x:c>
      <x:c r="L96" s="54" t="n">
        <x:v>110</x:v>
      </x:c>
      <x:c r="M96" s="54" t="n">
        <x:f>IF(OR(K96="",L96=""),"",L96-K96)</x:f>
        <x:v>-8</x:v>
      </x:c>
      <x:c r="N96" s="54" t="n">
        <x:f>IF(M96="","",ABS(M96))</x:f>
        <x:v>8</x:v>
      </x:c>
    </x:row>
    <x:row r="97">
      <x:c r="A97" s="54" t="n">
        <x:v>2026</x:v>
      </x:c>
      <x:c r="B97" s="54" t="n">
        <x:v>50657</x:v>
      </x:c>
      <x:c r="C97" s="54" t="str">
        <x:v>박민</x:v>
      </x:c>
      <x:c r="D97" s="54" t="str">
        <x:v>KIA</x:v>
      </x:c>
      <x:c r="E97" s="54" t="n">
        <x:v>701</x:v>
      </x:c>
      <x:c r="F97" s="108" t="b">
        <x:v>1</x:v>
      </x:c>
      <x:c r="G97" s="111" t="n">
        <x:v>0.44793152999999997</x:v>
      </x:c>
      <x:c r="H97" s="111" t="n">
        <x:v>0.46167903000000005</x:v>
      </x:c>
      <x:c r="I97" s="111" t="n">
        <x:v>0.46320374999999997</x:v>
      </x:c>
      <x:c r="J97" s="96" t="n">
        <x:f>(I97-H97)*100</x:f>
        <x:v>0.1524719999999924</x:v>
      </x:c>
      <x:c r="K97" s="54" t="n">
        <x:v>26</x:v>
      </x:c>
      <x:c r="L97" s="54" t="n">
        <x:v>24</x:v>
      </x:c>
      <x:c r="M97" s="54" t="n">
        <x:f>IF(OR(K97="",L97=""),"",L97-K97)</x:f>
        <x:v>-2</x:v>
      </x:c>
      <x:c r="N97" s="54" t="n">
        <x:f>IF(M97="","",ABS(M97))</x:f>
        <x:v>2</x:v>
      </x:c>
    </x:row>
    <x:row r="98">
      <x:c r="A98" s="54" t="n">
        <x:v>2026</x:v>
      </x:c>
      <x:c r="B98" s="54" t="n">
        <x:v>62907</x:v>
      </x:c>
      <x:c r="C98" s="54" t="str">
        <x:v>박민우</x:v>
      </x:c>
      <x:c r="D98" s="54" t="str">
        <x:v>NC</x:v>
      </x:c>
      <x:c r="E98" s="54" t="n">
        <x:v>1717</x:v>
      </x:c>
      <x:c r="F98" s="108" t="b">
        <x:v>1</x:v>
      </x:c>
      <x:c r="G98" s="111" t="n">
        <x:v>0.41351194</x:v>
      </x:c>
      <x:c r="H98" s="111" t="n">
        <x:v>0.4368955</x:v>
      </x:c>
      <x:c r="I98" s="111" t="n">
        <x:v>0.43746139</x:v>
      </x:c>
      <x:c r="J98" s="96" t="n">
        <x:f>(I98-H98)*100</x:f>
        <x:v>0.05658900000000133</x:v>
      </x:c>
      <x:c r="K98" s="54" t="n">
        <x:v>112</x:v>
      </x:c>
      <x:c r="L98" s="54" t="n">
        <x:v>108</x:v>
      </x:c>
      <x:c r="M98" s="54" t="n">
        <x:f>IF(OR(K98="",L98=""),"",L98-K98)</x:f>
        <x:v>-4</x:v>
      </x:c>
      <x:c r="N98" s="54" t="n">
        <x:f>IF(M98="","",ABS(M98))</x:f>
        <x:v>4</x:v>
      </x:c>
    </x:row>
    <x:row r="99">
      <x:c r="A99" s="54" t="n">
        <x:v>2026</x:v>
      </x:c>
      <x:c r="B99" s="54" t="n">
        <x:v>52634</x:v>
      </x:c>
      <x:c r="C99" s="54" t="str">
        <x:v>박상준</x:v>
      </x:c>
      <x:c r="D99" s="54" t="str">
        <x:v>KIA</x:v>
      </x:c>
      <x:c r="E99" s="54" t="n">
        <x:v>552</x:v>
      </x:c>
      <x:c r="F99" s="108" t="b">
        <x:v>1</x:v>
      </x:c>
      <x:c r="G99" s="111" t="n">
        <x:v>0.46557971000000004</x:v>
      </x:c>
      <x:c r="H99" s="111" t="n">
        <x:v>0.44158115000000003</x:v>
      </x:c>
      <x:c r="I99" s="111" t="n">
        <x:v>0.43502914</x:v>
      </x:c>
      <x:c r="J99" s="96" t="n">
        <x:f>(I99-H99)*100</x:f>
        <x:v>-0.6552010000000053</x:v>
      </x:c>
      <x:c r="K99" s="54" t="n">
        <x:v>98</x:v>
      </x:c>
      <x:c r="L99" s="54" t="n">
        <x:v>115</x:v>
      </x:c>
      <x:c r="M99" s="54" t="n">
        <x:f>IF(OR(K99="",L99=""),"",L99-K99)</x:f>
        <x:v>17</x:v>
      </x:c>
      <x:c r="N99" s="54" t="n">
        <x:f>IF(M99="","",ABS(M99))</x:f>
        <x:v>17</x:v>
      </x:c>
    </x:row>
    <x:row r="100">
      <x:c r="A100" s="54" t="n">
        <x:v>2026</x:v>
      </x:c>
      <x:c r="B100" s="54" t="n">
        <x:v>53305</x:v>
      </x:c>
      <x:c r="C100" s="54" t="str">
        <x:v>박성빈</x:v>
      </x:c>
      <x:c r="D100" s="54" t="str">
        <x:v>KIW</x:v>
      </x:c>
      <x:c r="E100" s="54" t="n">
        <x:v>92</x:v>
      </x:c>
      <x:c r="F100" s="108" t="b">
        <x:v>0</x:v>
      </x:c>
      <x:c r="G100" s="111" t="n">
        <x:v>0.5217391299999999</x:v>
      </x:c>
      <x:c r="H100" s="111" t="n">
        <x:v>0.44076751999999997</x:v>
      </x:c>
      <x:c r="I100" s="111" t="n">
        <x:v>0.45705334999999997</x:v>
      </x:c>
      <x:c r="J100" s="96" t="n">
        <x:f>(I100-H100)*100</x:f>
        <x:v>1.6285830000000001</x:v>
      </x:c>
      <x:c r="K100" s="54"/>
      <x:c r="L100" s="54"/>
      <x:c r="M100" s="54" t="str">
        <x:f>IF(OR(K100="",L100=""),"",L100-K100)</x:f>
      </x:c>
      <x:c r="N100" s="54" t="str">
        <x:f>IF(M100="","",ABS(M100))</x:f>
      </x:c>
    </x:row>
    <x:row r="101">
      <x:c r="A101" s="54" t="n">
        <x:v>2026</x:v>
      </x:c>
      <x:c r="B101" s="54" t="n">
        <x:v>51298</x:v>
      </x:c>
      <x:c r="C101" s="54" t="str">
        <x:v>박성재</x:v>
      </x:c>
      <x:c r="D101" s="54" t="str">
        <x:v>DOO</x:v>
      </x:c>
      <x:c r="E101" s="54" t="n">
        <x:v>20</x:v>
      </x:c>
      <x:c r="F101" s="108" t="b">
        <x:v>0</x:v>
      </x:c>
      <x:c r="G101" s="111" t="n">
        <x:v>0.65</x:v>
      </x:c>
      <x:c r="H101" s="111" t="n">
        <x:v>0.48531007000000004</x:v>
      </x:c>
      <x:c r="I101" s="111" t="n">
        <x:v>0.51154137</x:v>
      </x:c>
      <x:c r="J101" s="96" t="n">
        <x:f>(I101-H101)*100</x:f>
        <x:v>2.6231299999999957</x:v>
      </x:c>
      <x:c r="K101" s="54"/>
      <x:c r="L101" s="54"/>
      <x:c r="M101" s="54" t="str">
        <x:f>IF(OR(K101="",L101=""),"",L101-K101)</x:f>
      </x:c>
      <x:c r="N101" s="54" t="str">
        <x:f>IF(M101="","",ABS(M101))</x:f>
      </x:c>
    </x:row>
    <x:row r="102">
      <x:c r="A102" s="54" t="n">
        <x:v>2026</x:v>
      </x:c>
      <x:c r="B102" s="54" t="n">
        <x:v>67893</x:v>
      </x:c>
      <x:c r="C102" s="54" t="str">
        <x:v>박성한</x:v>
      </x:c>
      <x:c r="D102" s="54" t="str">
        <x:v>SSG</x:v>
      </x:c>
      <x:c r="E102" s="54" t="n">
        <x:v>2232</x:v>
      </x:c>
      <x:c r="F102" s="108" t="b">
        <x:v>1</x:v>
      </x:c>
      <x:c r="G102" s="111" t="n">
        <x:v>0.35663082</x:v>
      </x:c>
      <x:c r="H102" s="111" t="n">
        <x:v>0.44210855000000004</x:v>
      </x:c>
      <x:c r="I102" s="111" t="n">
        <x:v>0.44265566</x:v>
      </x:c>
      <x:c r="J102" s="96" t="n">
        <x:f>(I102-H102)*100</x:f>
        <x:v>0.05471099999999618</x:v>
      </x:c>
      <x:c r="K102" s="54" t="n">
        <x:v>92</x:v>
      </x:c>
      <x:c r="L102" s="54" t="n">
        <x:v>94</x:v>
      </x:c>
      <x:c r="M102" s="54" t="n">
        <x:f>IF(OR(K102="",L102=""),"",L102-K102)</x:f>
        <x:v>2</x:v>
      </x:c>
      <x:c r="N102" s="54" t="n">
        <x:f>IF(M102="","",ABS(M102))</x:f>
        <x:v>2</x:v>
      </x:c>
    </x:row>
    <x:row r="103">
      <x:c r="A103" s="54" t="n">
        <x:v>2026</x:v>
      </x:c>
      <x:c r="B103" s="54" t="n">
        <x:v>62244</x:v>
      </x:c>
      <x:c r="C103" s="54" t="str">
        <x:v>박세혁</x:v>
      </x:c>
      <x:c r="D103" s="54" t="str">
        <x:v>SAM</x:v>
      </x:c>
      <x:c r="E103" s="54" t="n">
        <x:v>197</x:v>
      </x:c>
      <x:c r="F103" s="108" t="b">
        <x:v>0</x:v>
      </x:c>
      <x:c r="G103" s="111" t="n">
        <x:v>0.49746193</x:v>
      </x:c>
      <x:c r="H103" s="111" t="n">
        <x:v>0.47884926</x:v>
      </x:c>
      <x:c r="I103" s="111" t="n">
        <x:v>0.48275052</x:v>
      </x:c>
      <x:c r="J103" s="96" t="n">
        <x:f>(I103-H103)*100</x:f>
        <x:v>0.39012600000000175</x:v>
      </x:c>
      <x:c r="K103" s="54"/>
      <x:c r="L103" s="54"/>
      <x:c r="M103" s="54" t="str">
        <x:f>IF(OR(K103="",L103=""),"",L103-K103)</x:f>
      </x:c>
      <x:c r="N103" s="54" t="str">
        <x:f>IF(M103="","",ABS(M103))</x:f>
      </x:c>
    </x:row>
    <x:row r="104">
      <x:c r="A104" s="54" t="n">
        <x:v>2026</x:v>
      </x:c>
      <x:c r="B104" s="54" t="n">
        <x:v>52305</x:v>
      </x:c>
      <x:c r="C104" s="54" t="str">
        <x:v>박수종</x:v>
      </x:c>
      <x:c r="D104" s="54" t="str">
        <x:v>KIW</x:v>
      </x:c>
      <x:c r="E104" s="54" t="n">
        <x:v>209</x:v>
      </x:c>
      <x:c r="F104" s="108" t="b">
        <x:v>0</x:v>
      </x:c>
      <x:c r="G104" s="111" t="n">
        <x:v>0.40669856000000004</x:v>
      </x:c>
      <x:c r="H104" s="111" t="n">
        <x:v>0.4387408</x:v>
      </x:c>
      <x:c r="I104" s="111" t="n">
        <x:v>0.43600309000000004</x:v>
      </x:c>
      <x:c r="J104" s="96" t="n">
        <x:f>(I104-H104)*100</x:f>
        <x:v>-0.2737709999999949</x:v>
      </x:c>
      <x:c r="K104" s="54"/>
      <x:c r="L104" s="54"/>
      <x:c r="M104" s="54" t="str">
        <x:f>IF(OR(K104="",L104=""),"",L104-K104)</x:f>
      </x:c>
      <x:c r="N104" s="54" t="str">
        <x:f>IF(M104="","",ABS(M104))</x:f>
      </x:c>
    </x:row>
    <x:row r="105">
      <x:c r="A105" s="54" t="n">
        <x:v>2026</x:v>
      </x:c>
      <x:c r="B105" s="54" t="n">
        <x:v>69418</x:v>
      </x:c>
      <x:c r="C105" s="54" t="str">
        <x:v>박승규</x:v>
      </x:c>
      <x:c r="D105" s="54" t="str">
        <x:v>SAM</x:v>
      </x:c>
      <x:c r="E105" s="54" t="n">
        <x:v>1203</x:v>
      </x:c>
      <x:c r="F105" s="108" t="b">
        <x:v>1</x:v>
      </x:c>
      <x:c r="G105" s="111" t="n">
        <x:v>0.43059019</x:v>
      </x:c>
      <x:c r="H105" s="111" t="n">
        <x:v>0.43361405</x:v>
      </x:c>
      <x:c r="I105" s="111" t="n">
        <x:v>0.43498645</x:v>
      </x:c>
      <x:c r="J105" s="96" t="n">
        <x:f>(I105-H105)*100</x:f>
        <x:v>0.13724000000000514</x:v>
      </x:c>
      <x:c r="K105" s="54" t="n">
        <x:v>127</x:v>
      </x:c>
      <x:c r="L105" s="54" t="n">
        <x:v>116</x:v>
      </x:c>
      <x:c r="M105" s="54" t="n">
        <x:f>IF(OR(K105="",L105=""),"",L105-K105)</x:f>
        <x:v>-11</x:v>
      </x:c>
      <x:c r="N105" s="54" t="n">
        <x:f>IF(M105="","",ABS(M105))</x:f>
        <x:v>11</x:v>
      </x:c>
    </x:row>
    <x:row r="106">
      <x:c r="A106" s="54" t="n">
        <x:v>2026</x:v>
      </x:c>
      <x:c r="B106" s="54" t="n">
        <x:v>62802</x:v>
      </x:c>
      <x:c r="C106" s="54" t="str">
        <x:v>박승욱</x:v>
      </x:c>
      <x:c r="D106" s="54" t="str">
        <x:v>LOT</x:v>
      </x:c>
      <x:c r="E106" s="54" t="n">
        <x:v>540</x:v>
      </x:c>
      <x:c r="F106" s="108" t="b">
        <x:v>1</x:v>
      </x:c>
      <x:c r="G106" s="111" t="n">
        <x:v>0.48148148</x:v>
      </x:c>
      <x:c r="H106" s="111" t="n">
        <x:v>0.46775894</x:v>
      </x:c>
      <x:c r="I106" s="111" t="n">
        <x:v>0.46963535</x:v>
      </x:c>
      <x:c r="J106" s="96" t="n">
        <x:f>(I106-H106)*100</x:f>
        <x:v>0.1876409999999995</x:v>
      </x:c>
      <x:c r="K106" s="54" t="n">
        <x:v>16</x:v>
      </x:c>
      <x:c r="L106" s="54" t="n">
        <x:v>12</x:v>
      </x:c>
      <x:c r="M106" s="54" t="n">
        <x:f>IF(OR(K106="",L106=""),"",L106-K106)</x:f>
        <x:v>-4</x:v>
      </x:c>
      <x:c r="N106" s="54" t="n">
        <x:f>IF(M106="","",ABS(M106))</x:f>
        <x:v>4</x:v>
      </x:c>
    </x:row>
    <x:row r="107">
      <x:c r="A107" s="54" t="n">
        <x:v>2026</x:v>
      </x:c>
      <x:c r="B107" s="54" t="n">
        <x:v>50996</x:v>
      </x:c>
      <x:c r="C107" s="54" t="str">
        <x:v>박시원</x:v>
      </x:c>
      <x:c r="D107" s="54" t="str">
        <x:v>NC</x:v>
      </x:c>
      <x:c r="E107" s="54" t="n">
        <x:v>462</x:v>
      </x:c>
      <x:c r="F107" s="108" t="b">
        <x:v>1</x:v>
      </x:c>
      <x:c r="G107" s="111" t="n">
        <x:v>0.47835498</x:v>
      </x:c>
      <x:c r="H107" s="111" t="n">
        <x:v>0.44542461000000005</x:v>
      </x:c>
      <x:c r="I107" s="111" t="n">
        <x:v>0.44670291</x:v>
      </x:c>
      <x:c r="J107" s="96" t="n">
        <x:f>(I107-H107)*100</x:f>
        <x:v>0.12782999999999545</x:v>
      </x:c>
      <x:c r="K107" s="54" t="n">
        <x:v>84</x:v>
      </x:c>
      <x:c r="L107" s="54" t="n">
        <x:v>84</x:v>
      </x:c>
      <x:c r="M107" s="54" t="n">
        <x:f>IF(OR(K107="",L107=""),"",L107-K107)</x:f>
        <x:v>0</x:v>
      </x:c>
      <x:c r="N107" s="54" t="str">
        <x:f>IF(M107="","",ABS(M107))</x:f>
      </x:c>
    </x:row>
    <x:row r="108">
      <x:c r="A108" s="54" t="n">
        <x:v>2026</x:v>
      </x:c>
      <x:c r="B108" s="54" t="n">
        <x:v>55121</x:v>
      </x:c>
      <x:c r="C108" s="54" t="str">
        <x:v>박시원</x:v>
      </x:c>
      <x:c r="D108" s="54" t="str">
        <x:v>LG</x:v>
      </x:c>
      <x:c r="E108" s="54" t="n">
        <x:v>4</x:v>
      </x:c>
      <x:c r="F108" s="108" t="b">
        <x:v>0</x:v>
      </x:c>
      <x:c r="G108" s="111" t="n">
        <x:v>0.5</x:v>
      </x:c>
      <x:c r="H108" s="111" t="n">
        <x:v>0.6261879100000001</x:v>
      </x:c>
      <x:c r="I108" s="111" t="n">
        <x:v>0.53528368</x:v>
      </x:c>
      <x:c r="J108" s="96" t="n">
        <x:f>(I108-H108)*100</x:f>
        <x:v>-9.090423000000003</x:v>
      </x:c>
      <x:c r="K108" s="54"/>
      <x:c r="L108" s="54"/>
      <x:c r="M108" s="54" t="str">
        <x:f>IF(OR(K108="",L108=""),"",L108-K108)</x:f>
      </x:c>
      <x:c r="N108" s="54" t="str">
        <x:f>IF(M108="","",ABS(M108))</x:f>
      </x:c>
    </x:row>
    <x:row r="109">
      <x:c r="A109" s="54" t="n">
        <x:v>2026</x:v>
      </x:c>
      <x:c r="B109" s="54" t="n">
        <x:v>55563</x:v>
      </x:c>
      <x:c r="C109" s="54" t="str">
        <x:v>박재엽</x:v>
      </x:c>
      <x:c r="D109" s="54" t="str">
        <x:v>LOT</x:v>
      </x:c>
      <x:c r="E109" s="54" t="n">
        <x:v>19</x:v>
      </x:c>
      <x:c r="F109" s="108" t="b">
        <x:v>0</x:v>
      </x:c>
      <x:c r="G109" s="111" t="n">
        <x:v>0.47368421</x:v>
      </x:c>
      <x:c r="H109" s="111" t="n">
        <x:v>0.41542818</x:v>
      </x:c>
      <x:c r="I109" s="111" t="n">
        <x:v>0.41087486</x:v>
      </x:c>
      <x:c r="J109" s="96" t="n">
        <x:f>(I109-H109)*100</x:f>
        <x:v>-0.4553319999999972</x:v>
      </x:c>
      <x:c r="K109" s="54"/>
      <x:c r="L109" s="54"/>
      <x:c r="M109" s="54" t="str">
        <x:f>IF(OR(K109="",L109=""),"",L109-K109)</x:f>
      </x:c>
      <x:c r="N109" s="54" t="str">
        <x:f>IF(M109="","",ABS(M109))</x:f>
      </x:c>
    </x:row>
    <x:row r="110">
      <x:c r="A110" s="54" t="n">
        <x:v>2026</x:v>
      </x:c>
      <x:c r="B110" s="54" t="n">
        <x:v>55636</x:v>
      </x:c>
      <x:c r="C110" s="54" t="str">
        <x:v>박재현</x:v>
      </x:c>
      <x:c r="D110" s="54" t="str">
        <x:v>KIA</x:v>
      </x:c>
      <x:c r="E110" s="54" t="n">
        <x:v>1612</x:v>
      </x:c>
      <x:c r="F110" s="108" t="b">
        <x:v>1</x:v>
      </x:c>
      <x:c r="G110" s="111" t="n">
        <x:v>0.52915633</x:v>
      </x:c>
      <x:c r="H110" s="111" t="n">
        <x:v>0.42753272000000003</x:v>
      </x:c>
      <x:c r="I110" s="111" t="n">
        <x:v>0.42651904</x:v>
      </x:c>
      <x:c r="J110" s="96" t="n">
        <x:f>(I110-H110)*100</x:f>
        <x:v>-0.10136800000000168</x:v>
      </x:c>
      <x:c r="K110" s="54" t="n">
        <x:v>144</x:v>
      </x:c>
      <x:c r="L110" s="54" t="n">
        <x:v>142</x:v>
      </x:c>
      <x:c r="M110" s="54" t="n">
        <x:f>IF(OR(K110="",L110=""),"",L110-K110)</x:f>
        <x:v>-2</x:v>
      </x:c>
      <x:c r="N110" s="54" t="n">
        <x:f>IF(M110="","",ABS(M110))</x:f>
        <x:v>2</x:v>
      </x:c>
    </x:row>
    <x:row r="111">
      <x:c r="A111" s="54" t="n">
        <x:v>2026</x:v>
      </x:c>
      <x:c r="B111" s="54" t="n">
        <x:v>67609</x:v>
      </x:c>
      <x:c r="C111" s="54" t="str">
        <x:v>박정우</x:v>
      </x:c>
      <x:c r="D111" s="54" t="str">
        <x:v>KIA</x:v>
      </x:c>
      <x:c r="E111" s="54" t="n">
        <x:v>322</x:v>
      </x:c>
      <x:c r="F111" s="108" t="b">
        <x:v>1</x:v>
      </x:c>
      <x:c r="G111" s="111" t="n">
        <x:v>0.3757764</x:v>
      </x:c>
      <x:c r="H111" s="111" t="n">
        <x:v>0.40284586</x:v>
      </x:c>
      <x:c r="I111" s="111" t="n">
        <x:v>0.40614922999999997</x:v>
      </x:c>
      <x:c r="J111" s="96" t="n">
        <x:f>(I111-H111)*100</x:f>
        <x:v>0.3303369999999972</x:v>
      </x:c>
      <x:c r="K111" s="54" t="n">
        <x:v>158</x:v>
      </x:c>
      <x:c r="L111" s="54" t="n">
        <x:v>158</x:v>
      </x:c>
      <x:c r="M111" s="54" t="n">
        <x:f>IF(OR(K111="",L111=""),"",L111-K111)</x:f>
        <x:v>0</x:v>
      </x:c>
      <x:c r="N111" s="54" t="str">
        <x:f>IF(M111="","",ABS(M111))</x:f>
      </x:c>
    </x:row>
    <x:row r="112">
      <x:c r="A112" s="54" t="n">
        <x:v>2026</x:v>
      </x:c>
      <x:c r="B112" s="54" t="n">
        <x:v>50709</x:v>
      </x:c>
      <x:c r="C112" s="54" t="str">
        <x:v>박정현</x:v>
      </x:c>
      <x:c r="D112" s="54" t="str">
        <x:v>HAN</x:v>
      </x:c>
      <x:c r="E112" s="54" t="n">
        <x:v>285</x:v>
      </x:c>
      <x:c r="F112" s="108" t="b">
        <x:v>0</x:v>
      </x:c>
      <x:c r="G112" s="111" t="n">
        <x:v>0.45614035</x:v>
      </x:c>
      <x:c r="H112" s="111" t="n">
        <x:v>0.44796075</x:v>
      </x:c>
      <x:c r="I112" s="111" t="n">
        <x:v>0.44126413999999997</x:v>
      </x:c>
      <x:c r="J112" s="96" t="n">
        <x:f>(I112-H112)*100</x:f>
        <x:v>-0.6696610000000047</x:v>
      </x:c>
      <x:c r="K112" s="54"/>
      <x:c r="L112" s="54"/>
      <x:c r="M112" s="54" t="str">
        <x:f>IF(OR(K112="",L112=""),"",L112-K112)</x:f>
      </x:c>
      <x:c r="N112" s="54" t="str">
        <x:f>IF(M112="","",ABS(M112))</x:f>
      </x:c>
    </x:row>
    <x:row r="113">
      <x:c r="A113" s="54" t="n">
        <x:v>2026</x:v>
      </x:c>
      <x:c r="B113" s="54" t="n">
        <x:v>50357</x:v>
      </x:c>
      <x:c r="C113" s="54" t="str">
        <x:v>박주홍</x:v>
      </x:c>
      <x:c r="D113" s="54" t="str">
        <x:v>KIW</x:v>
      </x:c>
      <x:c r="E113" s="54" t="n">
        <x:v>736</x:v>
      </x:c>
      <x:c r="F113" s="108" t="b">
        <x:v>1</x:v>
      </x:c>
      <x:c r="G113" s="111" t="n">
        <x:v>0.39402174</x:v>
      </x:c>
      <x:c r="H113" s="111" t="n">
        <x:v>0.45628439</x:v>
      </x:c>
      <x:c r="I113" s="111" t="n">
        <x:v>0.45137233000000004</x:v>
      </x:c>
      <x:c r="J113" s="96" t="n">
        <x:f>(I113-H113)*100</x:f>
        <x:v>-0.49120599999999404</x:v>
      </x:c>
      <x:c r="K113" s="54" t="n">
        <x:v>54</x:v>
      </x:c>
      <x:c r="L113" s="54" t="n">
        <x:v>71</x:v>
      </x:c>
      <x:c r="M113" s="54" t="n">
        <x:f>IF(OR(K113="",L113=""),"",L113-K113)</x:f>
        <x:v>17</x:v>
      </x:c>
      <x:c r="N113" s="54" t="n">
        <x:f>IF(M113="","",ABS(M113))</x:f>
        <x:v>17</x:v>
      </x:c>
    </x:row>
    <x:row r="114">
      <x:c r="A114" s="54" t="n">
        <x:v>2026</x:v>
      </x:c>
      <x:c r="B114" s="54" t="n">
        <x:v>55252</x:v>
      </x:c>
      <x:c r="C114" s="54" t="str">
        <x:v>박준순</x:v>
      </x:c>
      <x:c r="D114" s="54" t="str">
        <x:v>DOO</x:v>
      </x:c>
      <x:c r="E114" s="54" t="n">
        <x:v>1301</x:v>
      </x:c>
      <x:c r="F114" s="108" t="b">
        <x:v>1</x:v>
      </x:c>
      <x:c r="G114" s="111" t="n">
        <x:v>0.55111453</x:v>
      </x:c>
      <x:c r="H114" s="111" t="n">
        <x:v>0.43359116999999997</x:v>
      </x:c>
      <x:c r="I114" s="111" t="n">
        <x:v>0.4363626</x:v>
      </x:c>
      <x:c r="J114" s="96" t="n">
        <x:f>(I114-H114)*100</x:f>
        <x:v>0.2771430000000019</x:v>
      </x:c>
      <x:c r="K114" s="54" t="n">
        <x:v>128</x:v>
      </x:c>
      <x:c r="L114" s="54" t="n">
        <x:v>112</x:v>
      </x:c>
      <x:c r="M114" s="54" t="n">
        <x:f>IF(OR(K114="",L114=""),"",L114-K114)</x:f>
        <x:v>-16</x:v>
      </x:c>
      <x:c r="N114" s="54" t="n">
        <x:f>IF(M114="","",ABS(M114))</x:f>
        <x:v>16</x:v>
      </x:c>
    </x:row>
    <x:row r="115">
      <x:c r="A115" s="54" t="n">
        <x:v>2026</x:v>
      </x:c>
      <x:c r="B115" s="54" t="n">
        <x:v>50204</x:v>
      </x:c>
      <x:c r="C115" s="54" t="str">
        <x:v>박지훈</x:v>
      </x:c>
      <x:c r="D115" s="54" t="str">
        <x:v>DOO</x:v>
      </x:c>
      <x:c r="E115" s="54" t="n">
        <x:v>1129</x:v>
      </x:c>
      <x:c r="F115" s="108" t="b">
        <x:v>1</x:v>
      </x:c>
      <x:c r="G115" s="111" t="n">
        <x:v>0.44464128</x:v>
      </x:c>
      <x:c r="H115" s="111" t="n">
        <x:v>0.48181839</x:v>
      </x:c>
      <x:c r="I115" s="111" t="n">
        <x:v>0.48181826</x:v>
      </x:c>
      <x:c r="J115" s="96" t="n">
        <x:f>(I115-H115)*100</x:f>
        <x:v>-0.000012999999998708489</x:v>
      </x:c>
      <x:c r="K115" s="54" t="n">
        <x:v>3</x:v>
      </x:c>
      <x:c r="L115" s="54" t="n">
        <x:v>3</x:v>
      </x:c>
      <x:c r="M115" s="54" t="n">
        <x:f>IF(OR(K115="",L115=""),"",L115-K115)</x:f>
        <x:v>0</x:v>
      </x:c>
      <x:c r="N115" s="54" t="str">
        <x:f>IF(M115="","",ABS(M115))</x:f>
      </x:c>
    </x:row>
    <x:row r="116">
      <x:c r="A116" s="54" t="n">
        <x:v>2026</x:v>
      </x:c>
      <x:c r="B116" s="54" t="n">
        <x:v>52348</x:v>
      </x:c>
      <x:c r="C116" s="54" t="str">
        <x:v>박찬혁</x:v>
      </x:c>
      <x:c r="D116" s="54" t="str">
        <x:v>KIW</x:v>
      </x:c>
      <x:c r="E116" s="54" t="n">
        <x:v>1054</x:v>
      </x:c>
      <x:c r="F116" s="108" t="b">
        <x:v>1</x:v>
      </x:c>
      <x:c r="G116" s="111" t="n">
        <x:v>0.45351044</x:v>
      </x:c>
      <x:c r="H116" s="111" t="n">
        <x:v>0.4560636</x:v>
      </x:c>
      <x:c r="I116" s="111" t="n">
        <x:v>0.45485125</x:v>
      </x:c>
      <x:c r="J116" s="96" t="n">
        <x:f>(I116-H116)*100</x:f>
        <x:v>-0.12123500000000287</x:v>
      </x:c>
      <x:c r="K116" s="54" t="n">
        <x:v>57</x:v>
      </x:c>
      <x:c r="L116" s="54" t="n">
        <x:v>58</x:v>
      </x:c>
      <x:c r="M116" s="54" t="n">
        <x:f>IF(OR(K116="",L116=""),"",L116-K116)</x:f>
        <x:v>1</x:v>
      </x:c>
      <x:c r="N116" s="54" t="n">
        <x:f>IF(M116="","",ABS(M116))</x:f>
        <x:v>1</x:v>
      </x:c>
    </x:row>
    <x:row r="117">
      <x:c r="A117" s="54" t="n">
        <x:v>2026</x:v>
      </x:c>
      <x:c r="B117" s="54" t="n">
        <x:v>55530</x:v>
      </x:c>
      <x:c r="C117" s="54" t="str">
        <x:v>박찬형</x:v>
      </x:c>
      <x:c r="D117" s="54" t="str">
        <x:v>LOT</x:v>
      </x:c>
      <x:c r="E117" s="54" t="n">
        <x:v>110</x:v>
      </x:c>
      <x:c r="F117" s="108" t="b">
        <x:v>0</x:v>
      </x:c>
      <x:c r="G117" s="111" t="n">
        <x:v>0.56363636</x:v>
      </x:c>
      <x:c r="H117" s="111" t="n">
        <x:v>0.41185158</x:v>
      </x:c>
      <x:c r="I117" s="111" t="n">
        <x:v>0.41129908</x:v>
      </x:c>
      <x:c r="J117" s="96" t="n">
        <x:f>(I117-H117)*100</x:f>
        <x:v>-0.05525000000000113</x:v>
      </x:c>
      <x:c r="K117" s="54"/>
      <x:c r="L117" s="54"/>
      <x:c r="M117" s="54" t="str">
        <x:f>IF(OR(K117="",L117=""),"",L117-K117)</x:f>
      </x:c>
      <x:c r="N117" s="54" t="str">
        <x:f>IF(M117="","",ABS(M117))</x:f>
      </x:c>
    </x:row>
    <x:row r="118">
      <x:c r="A118" s="54" t="n">
        <x:v>2026</x:v>
      </x:c>
      <x:c r="B118" s="54" t="n">
        <x:v>64646</x:v>
      </x:c>
      <x:c r="C118" s="54" t="str">
        <x:v>박찬호</x:v>
      </x:c>
      <x:c r="D118" s="54" t="str">
        <x:v>DOO</x:v>
      </x:c>
      <x:c r="E118" s="54" t="n">
        <x:v>1988</x:v>
      </x:c>
      <x:c r="F118" s="108" t="b">
        <x:v>1</x:v>
      </x:c>
      <x:c r="G118" s="111" t="n">
        <x:v>0.4250503</x:v>
      </x:c>
      <x:c r="H118" s="111" t="n">
        <x:v>0.45813086</x:v>
      </x:c>
      <x:c r="I118" s="111" t="n">
        <x:v>0.45740717</x:v>
      </x:c>
      <x:c r="J118" s="96" t="n">
        <x:f>(I118-H118)*100</x:f>
        <x:v>-0.0723689999999999</x:v>
      </x:c>
      <x:c r="K118" s="54" t="n">
        <x:v>46</x:v>
      </x:c>
      <x:c r="L118" s="54" t="n">
        <x:v>44</x:v>
      </x:c>
      <x:c r="M118" s="54" t="n">
        <x:f>IF(OR(K118="",L118=""),"",L118-K118)</x:f>
        <x:v>-2</x:v>
      </x:c>
      <x:c r="N118" s="54" t="n">
        <x:f>IF(M118="","",ABS(M118))</x:f>
        <x:v>2</x:v>
      </x:c>
    </x:row>
    <x:row r="119">
      <x:c r="A119" s="54" t="n">
        <x:v>2026</x:v>
      </x:c>
      <x:c r="B119" s="54" t="n">
        <x:v>54303</x:v>
      </x:c>
      <x:c r="C119" s="54" t="str">
        <x:v>박채울</x:v>
      </x:c>
      <x:c r="D119" s="54" t="str">
        <x:v>KIW</x:v>
      </x:c>
      <x:c r="E119" s="54" t="n">
        <x:v>82</x:v>
      </x:c>
      <x:c r="F119" s="108" t="b">
        <x:v>0</x:v>
      </x:c>
      <x:c r="G119" s="111" t="n">
        <x:v>0.62195122</x:v>
      </x:c>
      <x:c r="H119" s="111" t="n">
        <x:v>0.49359452</x:v>
      </x:c>
      <x:c r="I119" s="111" t="n">
        <x:v>0.48785473</x:v>
      </x:c>
      <x:c r="J119" s="96" t="n">
        <x:f>(I119-H119)*100</x:f>
        <x:v>-0.5739789999999967</x:v>
      </x:c>
      <x:c r="K119" s="54"/>
      <x:c r="L119" s="54"/>
      <x:c r="M119" s="54" t="str">
        <x:f>IF(OR(K119="",L119=""),"",L119-K119)</x:f>
      </x:c>
      <x:c r="N119" s="54" t="str">
        <x:f>IF(M119="","",ABS(M119))</x:f>
      </x:c>
    </x:row>
    <x:row r="120">
      <x:c r="A120" s="54" t="n">
        <x:v>2026</x:v>
      </x:c>
      <x:c r="B120" s="54" t="n">
        <x:v>56304</x:v>
      </x:c>
      <x:c r="C120" s="54" t="str">
        <x:v>박한결</x:v>
      </x:c>
      <x:c r="D120" s="54" t="str">
        <x:v>KIW</x:v>
      </x:c>
      <x:c r="E120" s="54" t="n">
        <x:v>167</x:v>
      </x:c>
      <x:c r="F120" s="108" t="b">
        <x:v>0</x:v>
      </x:c>
      <x:c r="G120" s="111" t="n">
        <x:v>0.49101796</x:v>
      </x:c>
      <x:c r="H120" s="111" t="n">
        <x:v>0.45338591</x:v>
      </x:c>
      <x:c r="I120" s="111" t="n">
        <x:v>0.46193916</x:v>
      </x:c>
      <x:c r="J120" s="96" t="n">
        <x:f>(I120-H120)*100</x:f>
        <x:v>0.8553250000000012</x:v>
      </x:c>
      <x:c r="K120" s="54"/>
      <x:c r="L120" s="54"/>
      <x:c r="M120" s="54" t="str">
        <x:f>IF(OR(K120="",L120=""),"",L120-K120)</x:f>
      </x:c>
      <x:c r="N120" s="54" t="str">
        <x:f>IF(M120="","",ABS(M120))</x:f>
      </x:c>
    </x:row>
    <x:row r="121">
      <x:c r="A121" s="54" t="n">
        <x:v>2026</x:v>
      </x:c>
      <x:c r="B121" s="54" t="n">
        <x:v>62415</x:v>
      </x:c>
      <x:c r="C121" s="54" t="str">
        <x:v>박해민</x:v>
      </x:c>
      <x:c r="D121" s="54" t="str">
        <x:v>LG</x:v>
      </x:c>
      <x:c r="E121" s="54" t="n">
        <x:v>1880</x:v>
      </x:c>
      <x:c r="F121" s="108" t="b">
        <x:v>1</x:v>
      </x:c>
      <x:c r="G121" s="111" t="n">
        <x:v>0.4106383</x:v>
      </x:c>
      <x:c r="H121" s="111" t="n">
        <x:v>0.44744484999999995</x:v>
      </x:c>
      <x:c r="I121" s="111" t="n">
        <x:v>0.44878138</x:v>
      </x:c>
      <x:c r="J121" s="96" t="n">
        <x:f>(I121-H121)*100</x:f>
        <x:v>0.1336530000000058</x:v>
      </x:c>
      <x:c r="K121" s="54" t="n">
        <x:v>79</x:v>
      </x:c>
      <x:c r="L121" s="54" t="n">
        <x:v>79</x:v>
      </x:c>
      <x:c r="M121" s="54" t="n">
        <x:f>IF(OR(K121="",L121=""),"",L121-K121)</x:f>
        <x:v>0</x:v>
      </x:c>
      <x:c r="N121" s="54" t="str">
        <x:f>IF(M121="","",ABS(M121))</x:f>
      </x:c>
    </x:row>
    <x:row r="122">
      <x:c r="A122" s="54" t="n">
        <x:v>2026</x:v>
      </x:c>
      <x:c r="B122" s="54" t="n">
        <x:v>55798</x:v>
      </x:c>
      <x:c r="C122" s="54" t="str">
        <x:v>배승수</x:v>
      </x:c>
      <x:c r="D122" s="54" t="str">
        <x:v>HAN</x:v>
      </x:c>
      <x:c r="E122" s="54" t="n">
        <x:v>2</x:v>
      </x:c>
      <x:c r="F122" s="108" t="b">
        <x:v>0</x:v>
      </x:c>
      <x:c r="G122" s="111" t="n">
        <x:v>0.5</x:v>
      </x:c>
      <x:c r="H122" s="111" t="n">
        <x:v>0.34814722000000003</x:v>
      </x:c>
      <x:c r="I122" s="111" t="n">
        <x:v>0.36512703</x:v>
      </x:c>
      <x:c r="J122" s="96" t="n">
        <x:f>(I122-H122)*100</x:f>
        <x:v>1.6979809999999984</x:v>
      </x:c>
      <x:c r="K122" s="54"/>
      <x:c r="L122" s="54"/>
      <x:c r="M122" s="54" t="str">
        <x:f>IF(OR(K122="",L122=""),"",L122-K122)</x:f>
      </x:c>
      <x:c r="N122" s="54" t="str">
        <x:f>IF(M122="","",ABS(M122))</x:f>
      </x:c>
    </x:row>
    <x:row r="123">
      <x:c r="A123" s="54" t="n">
        <x:v>2026</x:v>
      </x:c>
      <x:c r="B123" s="54" t="n">
        <x:v>64166</x:v>
      </x:c>
      <x:c r="C123" s="54" t="str">
        <x:v>배정대</x:v>
      </x:c>
      <x:c r="D123" s="54" t="str">
        <x:v>KT</x:v>
      </x:c>
      <x:c r="E123" s="54" t="n">
        <x:v>422</x:v>
      </x:c>
      <x:c r="F123" s="108" t="b">
        <x:v>1</x:v>
      </x:c>
      <x:c r="G123" s="111" t="n">
        <x:v>0.48341232</x:v>
      </x:c>
      <x:c r="H123" s="111" t="n">
        <x:v>0.47193843</x:v>
      </x:c>
      <x:c r="I123" s="111" t="n">
        <x:v>0.47476502000000004</x:v>
      </x:c>
      <x:c r="J123" s="96" t="n">
        <x:f>(I123-H123)*100</x:f>
        <x:v>0.28265900000000177</x:v>
      </x:c>
      <x:c r="K123" s="54" t="n">
        <x:v>8</x:v>
      </x:c>
      <x:c r="L123" s="54" t="n">
        <x:v>7</x:v>
      </x:c>
      <x:c r="M123" s="54" t="n">
        <x:f>IF(OR(K123="",L123=""),"",L123-K123)</x:f>
        <x:v>-1</x:v>
      </x:c>
      <x:c r="N123" s="54" t="n">
        <x:f>IF(M123="","",ABS(M123))</x:f>
        <x:v>1</x:v>
      </x:c>
    </x:row>
    <x:row r="124">
      <x:c r="A124" s="54" t="n">
        <x:v>2026</x:v>
      </x:c>
      <x:c r="B124" s="54" t="n">
        <x:v>69727</x:v>
      </x:c>
      <x:c r="C124" s="54" t="str">
        <x:v>변우혁</x:v>
      </x:c>
      <x:c r="D124" s="54" t="str">
        <x:v>KIA</x:v>
      </x:c>
      <x:c r="E124" s="54" t="n">
        <x:v>261</x:v>
      </x:c>
      <x:c r="F124" s="108" t="b">
        <x:v>0</x:v>
      </x:c>
      <x:c r="G124" s="111" t="n">
        <x:v>0.50574713</x:v>
      </x:c>
      <x:c r="H124" s="111" t="n">
        <x:v>0.46009903</x:v>
      </x:c>
      <x:c r="I124" s="111" t="n">
        <x:v>0.46538908</x:v>
      </x:c>
      <x:c r="J124" s="96" t="n">
        <x:f>(I124-H124)*100</x:f>
        <x:v>0.5290049999999991</x:v>
      </x:c>
      <x:c r="K124" s="54"/>
      <x:c r="L124" s="54"/>
      <x:c r="M124" s="54" t="str">
        <x:f>IF(OR(K124="",L124=""),"",L124-K124)</x:f>
      </x:c>
      <x:c r="N124" s="54" t="str">
        <x:f>IF(M124="","",ABS(M124))</x:f>
      </x:c>
    </x:row>
    <x:row r="125">
      <x:c r="A125" s="54" t="n">
        <x:v>2026</x:v>
      </x:c>
      <x:c r="B125" s="54" t="n">
        <x:v>56322</x:v>
      </x:c>
      <x:c r="C125" s="54" t="str">
        <x:v>브룩스</x:v>
      </x:c>
      <x:c r="D125" s="54" t="str">
        <x:v>KIW</x:v>
      </x:c>
      <x:c r="E125" s="54" t="n">
        <x:v>619</x:v>
      </x:c>
      <x:c r="F125" s="108" t="b">
        <x:v>1</x:v>
      </x:c>
      <x:c r="G125" s="111" t="n">
        <x:v>0.46688207</x:v>
      </x:c>
      <x:c r="H125" s="111" t="n">
        <x:v>0.43004622</x:v>
      </x:c>
      <x:c r="I125" s="111" t="n">
        <x:v>0.42473863</x:v>
      </x:c>
      <x:c r="J125" s="96" t="n">
        <x:f>(I125-H125)*100</x:f>
        <x:v>-0.5307589999999973</x:v>
      </x:c>
      <x:c r="K125" s="54" t="n">
        <x:v>136</x:v>
      </x:c>
      <x:c r="L125" s="54" t="n">
        <x:v>146</x:v>
      </x:c>
      <x:c r="M125" s="54" t="n">
        <x:f>IF(OR(K125="",L125=""),"",L125-K125)</x:f>
        <x:v>10</x:v>
      </x:c>
      <x:c r="N125" s="54" t="n">
        <x:f>IF(M125="","",ABS(M125))</x:f>
        <x:v>10</x:v>
      </x:c>
    </x:row>
    <x:row r="126">
      <x:c r="A126" s="54" t="n">
        <x:v>2026</x:v>
      </x:c>
      <x:c r="B126" s="54" t="n">
        <x:v>56950</x:v>
      </x:c>
      <x:c r="C126" s="54" t="str">
        <x:v>블레인</x:v>
      </x:c>
      <x:c r="D126" s="54" t="str">
        <x:v>NC</x:v>
      </x:c>
      <x:c r="E126" s="54" t="n">
        <x:v>541</x:v>
      </x:c>
      <x:c r="F126" s="108" t="b">
        <x:v>1</x:v>
      </x:c>
      <x:c r="G126" s="111" t="n">
        <x:v>0.46210721</x:v>
      </x:c>
      <x:c r="H126" s="111" t="n">
        <x:v>0.45123547</x:v>
      </x:c>
      <x:c r="I126" s="111" t="n">
        <x:v>0.4497891</x:v>
      </x:c>
      <x:c r="J126" s="96" t="n">
        <x:f>(I126-H126)*100</x:f>
        <x:v>-0.144637000000003</x:v>
      </x:c>
      <x:c r="K126" s="54" t="n">
        <x:v>67</x:v>
      </x:c>
      <x:c r="L126" s="54" t="n">
        <x:v>77</x:v>
      </x:c>
      <x:c r="M126" s="54" t="n">
        <x:f>IF(OR(K126="",L126=""),"",L126-K126)</x:f>
        <x:v>10</x:v>
      </x:c>
      <x:c r="N126" s="54" t="n">
        <x:f>IF(M126="","",ABS(M126))</x:f>
        <x:v>10</x:v>
      </x:c>
    </x:row>
    <x:row r="127">
      <x:c r="A127" s="54" t="n">
        <x:v>2026</x:v>
      </x:c>
      <x:c r="B127" s="54" t="n">
        <x:v>78168</x:v>
      </x:c>
      <x:c r="C127" s="54" t="str">
        <x:v>서건창</x:v>
      </x:c>
      <x:c r="D127" s="54" t="str">
        <x:v>KIW</x:v>
      </x:c>
      <x:c r="E127" s="54" t="n">
        <x:v>1514</x:v>
      </x:c>
      <x:c r="F127" s="108" t="b">
        <x:v>1</x:v>
      </x:c>
      <x:c r="G127" s="111" t="n">
        <x:v>0.35799207000000005</x:v>
      </x:c>
      <x:c r="H127" s="111" t="n">
        <x:v>0.41937413999999995</x:v>
      </x:c>
      <x:c r="I127" s="111" t="n">
        <x:v>0.42205746</x:v>
      </x:c>
      <x:c r="J127" s="96" t="n">
        <x:f>(I127-H127)*100</x:f>
        <x:v>0.26833200000000446</x:v>
      </x:c>
      <x:c r="K127" s="54" t="n">
        <x:v>150</x:v>
      </x:c>
      <x:c r="L127" s="54" t="n">
        <x:v>148</x:v>
      </x:c>
      <x:c r="M127" s="54" t="n">
        <x:f>IF(OR(K127="",L127=""),"",L127-K127)</x:f>
        <x:v>-2</x:v>
      </x:c>
      <x:c r="N127" s="54" t="n">
        <x:f>IF(M127="","",ABS(M127))</x:f>
        <x:v>2</x:v>
      </x:c>
    </x:row>
    <x:row r="128">
      <x:c r="A128" s="54" t="n">
        <x:v>2026</x:v>
      </x:c>
      <x:c r="B128" s="54" t="n">
        <x:v>69995</x:v>
      </x:c>
      <x:c r="C128" s="54" t="str">
        <x:v>서호철</x:v>
      </x:c>
      <x:c r="D128" s="54" t="str">
        <x:v>NC</x:v>
      </x:c>
      <x:c r="E128" s="54" t="n">
        <x:v>582</x:v>
      </x:c>
      <x:c r="F128" s="108" t="b">
        <x:v>1</x:v>
      </x:c>
      <x:c r="G128" s="111" t="n">
        <x:v>0.52233677</x:v>
      </x:c>
      <x:c r="H128" s="111" t="n">
        <x:v>0.46127139</x:v>
      </x:c>
      <x:c r="I128" s="111" t="n">
        <x:v>0.46249889000000005</x:v>
      </x:c>
      <x:c r="J128" s="96" t="n">
        <x:f>(I128-H128)*100</x:f>
        <x:v>0.1227500000000048</x:v>
      </x:c>
      <x:c r="K128" s="54" t="n">
        <x:v>29</x:v>
      </x:c>
      <x:c r="L128" s="54" t="n">
        <x:v>28</x:v>
      </x:c>
      <x:c r="M128" s="54" t="n">
        <x:f>IF(OR(K128="",L128=""),"",L128-K128)</x:f>
        <x:v>-1</x:v>
      </x:c>
      <x:c r="N128" s="54" t="n">
        <x:f>IF(M128="","",ABS(M128))</x:f>
        <x:v>1</x:v>
      </x:c>
    </x:row>
    <x:row r="129">
      <x:c r="A129" s="54" t="n">
        <x:v>2026</x:v>
      </x:c>
      <x:c r="B129" s="54" t="n">
        <x:v>52804</x:v>
      </x:c>
      <x:c r="C129" s="54" t="str">
        <x:v>석정우</x:v>
      </x:c>
      <x:c r="D129" s="54" t="str">
        <x:v>SSG</x:v>
      </x:c>
      <x:c r="E129" s="54" t="n">
        <x:v>14</x:v>
      </x:c>
      <x:c r="F129" s="108" t="b">
        <x:v>0</x:v>
      </x:c>
      <x:c r="G129" s="111" t="n">
        <x:v>0.35714286</x:v>
      </x:c>
      <x:c r="H129" s="111" t="n">
        <x:v>0.5471589099999999</x:v>
      </x:c>
      <x:c r="I129" s="111" t="n">
        <x:v>0.54730035</x:v>
      </x:c>
      <x:c r="J129" s="96" t="n">
        <x:f>(I129-H129)*100</x:f>
        <x:v>0.01414400000000482</x:v>
      </x:c>
      <x:c r="K129" s="54"/>
      <x:c r="L129" s="54"/>
      <x:c r="M129" s="54" t="str">
        <x:f>IF(OR(K129="",L129=""),"",L129-K129)</x:f>
      </x:c>
      <x:c r="N129" s="54" t="str">
        <x:f>IF(M129="","",ABS(M129))</x:f>
      </x:c>
    </x:row>
    <x:row r="130">
      <x:c r="A130" s="54" t="n">
        <x:v>2026</x:v>
      </x:c>
      <x:c r="B130" s="54" t="n">
        <x:v>56236</x:v>
      </x:c>
      <x:c r="C130" s="54" t="str">
        <x:v>세베리노</x:v>
      </x:c>
      <x:c r="D130" s="54" t="str">
        <x:v>DOO</x:v>
      </x:c>
      <x:c r="E130" s="54" t="n">
        <x:v>358</x:v>
      </x:c>
      <x:c r="F130" s="108" t="b">
        <x:v>1</x:v>
      </x:c>
      <x:c r="G130" s="111" t="n">
        <x:v>0.45251397</x:v>
      </x:c>
      <x:c r="H130" s="111" t="n">
        <x:v>0.41391899000000004</x:v>
      </x:c>
      <x:c r="I130" s="111" t="n">
        <x:v>0.41601864</x:v>
      </x:c>
      <x:c r="J130" s="96" t="n">
        <x:f>(I130-H130)*100</x:f>
        <x:v>0.2099649999999953</x:v>
      </x:c>
      <x:c r="K130" s="54" t="n">
        <x:v>153</x:v>
      </x:c>
      <x:c r="L130" s="54" t="n">
        <x:v>153</x:v>
      </x:c>
      <x:c r="M130" s="54" t="n">
        <x:f>IF(OR(K130="",L130=""),"",L130-K130)</x:f>
        <x:v>0</x:v>
      </x:c>
      <x:c r="N130" s="54" t="str">
        <x:f>IF(M130="","",ABS(M130))</x:f>
      </x:c>
    </x:row>
    <x:row r="131">
      <x:c r="A131" s="54" t="n">
        <x:v>2026</x:v>
      </x:c>
      <x:c r="B131" s="54" t="n">
        <x:v>53057</x:v>
      </x:c>
      <x:c r="C131" s="54" t="str">
        <x:v>손민석</x:v>
      </x:c>
      <x:c r="D131" s="54" t="str">
        <x:v>KT</x:v>
      </x:c>
      <x:c r="E131" s="54" t="n">
        <x:v>3</x:v>
      </x:c>
      <x:c r="F131" s="108" t="b">
        <x:v>0</x:v>
      </x:c>
      <x:c r="G131" s="111" t="n">
        <x:v>0.66666667</x:v>
      </x:c>
      <x:c r="H131" s="111" t="n">
        <x:v>0.47784903</x:v>
      </x:c>
      <x:c r="I131" s="111" t="n">
        <x:v>0.4875212</x:v>
      </x:c>
      <x:c r="J131" s="96" t="n">
        <x:f>(I131-H131)*100</x:f>
        <x:v>0.967216999999998</x:v>
      </x:c>
      <x:c r="K131" s="54"/>
      <x:c r="L131" s="54"/>
      <x:c r="M131" s="54" t="str">
        <x:f>IF(OR(K131="",L131=""),"",L131-K131)</x:f>
      </x:c>
      <x:c r="N131" s="54" t="str">
        <x:f>IF(M131="","",ABS(M131))</x:f>
      </x:c>
    </x:row>
    <x:row r="132">
      <x:c r="A132" s="54" t="n">
        <x:v>2026</x:v>
      </x:c>
      <x:c r="B132" s="54" t="n">
        <x:v>51528</x:v>
      </x:c>
      <x:c r="C132" s="54" t="str">
        <x:v>손성빈</x:v>
      </x:c>
      <x:c r="D132" s="54" t="str">
        <x:v>LOT</x:v>
      </x:c>
      <x:c r="E132" s="54" t="n">
        <x:v>1194</x:v>
      </x:c>
      <x:c r="F132" s="108" t="b">
        <x:v>1</x:v>
      </x:c>
      <x:c r="G132" s="111" t="n">
        <x:v>0.49748744</x:v>
      </x:c>
      <x:c r="H132" s="111" t="n">
        <x:v>0.47303805</x:v>
      </x:c>
      <x:c r="I132" s="111" t="n">
        <x:v>0.47281844</x:v>
      </x:c>
      <x:c r="J132" s="96" t="n">
        <x:f>(I132-H132)*100</x:f>
        <x:v>-0.02196099999999812</x:v>
      </x:c>
      <x:c r="K132" s="54" t="n">
        <x:v>7</x:v>
      </x:c>
      <x:c r="L132" s="54" t="n">
        <x:v>8</x:v>
      </x:c>
      <x:c r="M132" s="54" t="n">
        <x:f>IF(OR(K132="",L132=""),"",L132-K132)</x:f>
        <x:v>1</x:v>
      </x:c>
      <x:c r="N132" s="54" t="n">
        <x:f>IF(M132="","",ABS(M132))</x:f>
        <x:v>1</x:v>
      </x:c>
    </x:row>
    <x:row r="133">
      <x:c r="A133" s="54" t="n">
        <x:v>2026</x:v>
      </x:c>
      <x:c r="B133" s="54" t="n">
        <x:v>77532</x:v>
      </x:c>
      <x:c r="C133" s="54" t="str">
        <x:v>손아섭</x:v>
      </x:c>
      <x:c r="D133" s="54" t="str">
        <x:v>HAN · DOO</x:v>
      </x:c>
      <x:c r="E133" s="54" t="n">
        <x:v>650</x:v>
      </x:c>
      <x:c r="F133" s="108" t="b">
        <x:v>1</x:v>
      </x:c>
      <x:c r="G133" s="111" t="n">
        <x:v>0.41846153999999997</x:v>
      </x:c>
      <x:c r="H133" s="111" t="n">
        <x:v>0.43966225000000003</x:v>
      </x:c>
      <x:c r="I133" s="111" t="n">
        <x:v>0.44048619</x:v>
      </x:c>
      <x:c r="J133" s="96" t="n">
        <x:f>(I133-H133)*100</x:f>
        <x:v>0.08239399999999675</x:v>
      </x:c>
      <x:c r="K133" s="54" t="n">
        <x:v>104</x:v>
      </x:c>
      <x:c r="L133" s="54" t="n">
        <x:v>98</x:v>
      </x:c>
      <x:c r="M133" s="54" t="n">
        <x:f>IF(OR(K133="",L133=""),"",L133-K133)</x:f>
        <x:v>-6</x:v>
      </x:c>
      <x:c r="N133" s="54" t="n">
        <x:f>IF(M133="","",ABS(M133))</x:f>
        <x:v>6</x:v>
      </x:c>
    </x:row>
    <x:row r="134">
      <x:c r="A134" s="54" t="n">
        <x:v>2026</x:v>
      </x:c>
      <x:c r="B134" s="54" t="n">
        <x:v>54156</x:v>
      </x:c>
      <x:c r="C134" s="54" t="str">
        <x:v>손용준</x:v>
      </x:c>
      <x:c r="D134" s="54" t="str">
        <x:v>LG</x:v>
      </x:c>
      <x:c r="E134" s="54" t="n">
        <x:v>36</x:v>
      </x:c>
      <x:c r="F134" s="108" t="b">
        <x:v>0</x:v>
      </x:c>
      <x:c r="G134" s="111" t="n">
        <x:v>0.38888889</x:v>
      </x:c>
      <x:c r="H134" s="111" t="n">
        <x:v>0.37783457</x:v>
      </x:c>
      <x:c r="I134" s="111" t="n">
        <x:v>0.39931452</x:v>
      </x:c>
      <x:c r="J134" s="96" t="n">
        <x:f>(I134-H134)*100</x:f>
        <x:v>2.1479950000000025</x:v>
      </x:c>
      <x:c r="K134" s="54"/>
      <x:c r="L134" s="54"/>
      <x:c r="M134" s="54" t="str">
        <x:f>IF(OR(K134="",L134=""),"",L134-K134)</x:f>
      </x:c>
      <x:c r="N134" s="54" t="str">
        <x:f>IF(M134="","",ABS(M134))</x:f>
      </x:c>
    </x:row>
    <x:row r="135">
      <x:c r="A135" s="54" t="n">
        <x:v>2026</x:v>
      </x:c>
      <x:c r="B135" s="54" t="n">
        <x:v>50150</x:v>
      </x:c>
      <x:c r="C135" s="54" t="str">
        <x:v>손호영</x:v>
      </x:c>
      <x:c r="D135" s="54" t="str">
        <x:v>LOT</x:v>
      </x:c>
      <x:c r="E135" s="54" t="n">
        <x:v>648</x:v>
      </x:c>
      <x:c r="F135" s="108" t="b">
        <x:v>1</x:v>
      </x:c>
      <x:c r="G135" s="111" t="n">
        <x:v>0.50308642</x:v>
      </x:c>
      <x:c r="H135" s="111" t="n">
        <x:v>0.44028814</x:v>
      </x:c>
      <x:c r="I135" s="111" t="n">
        <x:v>0.43564514000000004</x:v>
      </x:c>
      <x:c r="J135" s="96" t="n">
        <x:f>(I135-H135)*100</x:f>
        <x:v>-0.46429999999999527</x:v>
      </x:c>
      <x:c r="K135" s="54" t="n">
        <x:v>101</x:v>
      </x:c>
      <x:c r="L135" s="54" t="n">
        <x:v>113</x:v>
      </x:c>
      <x:c r="M135" s="54" t="n">
        <x:f>IF(OR(K135="",L135=""),"",L135-K135)</x:f>
        <x:v>12</x:v>
      </x:c>
      <x:c r="N135" s="54" t="n">
        <x:f>IF(M135="","",ABS(M135))</x:f>
        <x:v>12</x:v>
      </x:c>
    </x:row>
    <x:row r="136">
      <x:c r="A136" s="54" t="n">
        <x:v>2026</x:v>
      </x:c>
      <x:c r="B136" s="54" t="n">
        <x:v>54394</x:v>
      </x:c>
      <x:c r="C136" s="54" t="str">
        <x:v>송지후</x:v>
      </x:c>
      <x:c r="D136" s="54" t="str">
        <x:v>KIW</x:v>
      </x:c>
      <x:c r="E136" s="54" t="n">
        <x:v>133</x:v>
      </x:c>
      <x:c r="F136" s="108" t="b">
        <x:v>0</x:v>
      </x:c>
      <x:c r="G136" s="111" t="n">
        <x:v>0.39097744</x:v>
      </x:c>
      <x:c r="H136" s="111" t="n">
        <x:v>0.47634492</x:v>
      </x:c>
      <x:c r="I136" s="111" t="n">
        <x:v>0.47574241</x:v>
      </x:c>
      <x:c r="J136" s="96" t="n">
        <x:f>(I136-H136)*100</x:f>
        <x:v>-0.060251000000000055</x:v>
      </x:c>
      <x:c r="K136" s="54"/>
      <x:c r="L136" s="54"/>
      <x:c r="M136" s="54" t="str">
        <x:f>IF(OR(K136="",L136=""),"",L136-K136)</x:f>
      </x:c>
      <x:c r="N136" s="54" t="str">
        <x:f>IF(M136="","",ABS(M136))</x:f>
      </x:c>
    </x:row>
    <x:row r="137">
      <x:c r="A137" s="54" t="n">
        <x:v>2026</x:v>
      </x:c>
      <x:c r="B137" s="54" t="n">
        <x:v>68110</x:v>
      </x:c>
      <x:c r="C137" s="54" t="str">
        <x:v>송찬의</x:v>
      </x:c>
      <x:c r="D137" s="54" t="str">
        <x:v>LG</x:v>
      </x:c>
      <x:c r="E137" s="54" t="n">
        <x:v>1248</x:v>
      </x:c>
      <x:c r="F137" s="108" t="b">
        <x:v>1</x:v>
      </x:c>
      <x:c r="G137" s="111" t="n">
        <x:v>0.46794872</x:v>
      </x:c>
      <x:c r="H137" s="111" t="n">
        <x:v>0.45961413</x:v>
      </x:c>
      <x:c r="I137" s="111" t="n">
        <x:v>0.46108065000000004</x:v>
      </x:c>
      <x:c r="J137" s="96" t="n">
        <x:f>(I137-H137)*100</x:f>
        <x:v>0.14665200000000267</x:v>
      </x:c>
      <x:c r="K137" s="54" t="n">
        <x:v>38</x:v>
      </x:c>
      <x:c r="L137" s="54" t="n">
        <x:v>32</x:v>
      </x:c>
      <x:c r="M137" s="54" t="n">
        <x:f>IF(OR(K137="",L137=""),"",L137-K137)</x:f>
        <x:v>-6</x:v>
      </x:c>
      <x:c r="N137" s="54" t="n">
        <x:f>IF(M137="","",ABS(M137))</x:f>
        <x:v>6</x:v>
      </x:c>
    </x:row>
    <x:row r="138">
      <x:c r="A138" s="54" t="n">
        <x:v>2026</x:v>
      </x:c>
      <x:c r="B138" s="54" t="n">
        <x:v>65207</x:v>
      </x:c>
      <x:c r="C138" s="54" t="str">
        <x:v>신민재</x:v>
      </x:c>
      <x:c r="D138" s="54" t="str">
        <x:v>LG</x:v>
      </x:c>
      <x:c r="E138" s="54" t="n">
        <x:v>1464</x:v>
      </x:c>
      <x:c r="F138" s="108" t="b">
        <x:v>1</x:v>
      </x:c>
      <x:c r="G138" s="111" t="n">
        <x:v>0.38934426</x:v>
      </x:c>
      <x:c r="H138" s="111" t="n">
        <x:v>0.43351323</x:v>
      </x:c>
      <x:c r="I138" s="111" t="n">
        <x:v>0.43336715</x:v>
      </x:c>
      <x:c r="J138" s="96" t="n">
        <x:f>(I138-H138)*100</x:f>
        <x:v>-0.01460800000000484</x:v>
      </x:c>
      <x:c r="K138" s="54" t="n">
        <x:v>129</x:v>
      </x:c>
      <x:c r="L138" s="54" t="n">
        <x:v>126</x:v>
      </x:c>
      <x:c r="M138" s="54" t="n">
        <x:f>IF(OR(K138="",L138=""),"",L138-K138)</x:f>
        <x:v>-3</x:v>
      </x:c>
      <x:c r="N138" s="54" t="n">
        <x:f>IF(M138="","",ABS(M138))</x:f>
        <x:v>3</x:v>
      </x:c>
    </x:row>
    <x:row r="139">
      <x:c r="A139" s="54" t="n">
        <x:v>2026</x:v>
      </x:c>
      <x:c r="B139" s="54" t="n">
        <x:v>66662</x:v>
      </x:c>
      <x:c r="C139" s="54" t="str">
        <x:v>신범수</x:v>
      </x:c>
      <x:c r="D139" s="54" t="str">
        <x:v>SSG</x:v>
      </x:c>
      <x:c r="E139" s="54" t="n">
        <x:v>69</x:v>
      </x:c>
      <x:c r="F139" s="108" t="b">
        <x:v>0</x:v>
      </x:c>
      <x:c r="G139" s="111" t="n">
        <x:v>0.5652173899999999</x:v>
      </x:c>
      <x:c r="H139" s="111" t="n">
        <x:v>0.44000195</x:v>
      </x:c>
      <x:c r="I139" s="111" t="n">
        <x:v>0.44179592</x:v>
      </x:c>
      <x:c r="J139" s="96" t="n">
        <x:f>(I139-H139)*100</x:f>
        <x:v>0.17939700000000336</x:v>
      </x:c>
      <x:c r="K139" s="54"/>
      <x:c r="L139" s="54"/>
      <x:c r="M139" s="54" t="str">
        <x:f>IF(OR(K139="",L139=""),"",L139-K139)</x:f>
      </x:c>
      <x:c r="N139" s="54" t="str">
        <x:f>IF(M139="","",ABS(M139))</x:f>
      </x:c>
    </x:row>
    <x:row r="140">
      <x:c r="A140" s="54" t="n">
        <x:v>2026</x:v>
      </x:c>
      <x:c r="B140" s="54" t="n">
        <x:v>53989</x:v>
      </x:c>
      <x:c r="C140" s="54" t="str">
        <x:v>신성호</x:v>
      </x:c>
      <x:c r="D140" s="54" t="str">
        <x:v>NC</x:v>
      </x:c>
      <x:c r="E140" s="54" t="n">
        <x:v>3</x:v>
      </x:c>
      <x:c r="F140" s="108" t="b">
        <x:v>0</x:v>
      </x:c>
      <x:c r="G140" s="111" t="n">
        <x:v>0.33333333000000004</x:v>
      </x:c>
      <x:c r="H140" s="111" t="n">
        <x:v>0.06403694</x:v>
      </x:c>
      <x:c r="I140" s="111" t="n">
        <x:v>0.03630213</x:v>
      </x:c>
      <x:c r="J140" s="96" t="n">
        <x:f>(I140-H140)*100</x:f>
        <x:v>-2.773481</x:v>
      </x:c>
      <x:c r="K140" s="54"/>
      <x:c r="L140" s="54"/>
      <x:c r="M140" s="54" t="str">
        <x:f>IF(OR(K140="",L140=""),"",L140-K140)</x:f>
      </x:c>
      <x:c r="N140" s="54" t="str">
        <x:f>IF(M140="","",ABS(M140))</x:f>
      </x:c>
    </x:row>
    <x:row r="141">
      <x:c r="A141" s="54" t="n">
        <x:v>2026</x:v>
      </x:c>
      <x:c r="B141" s="54" t="n">
        <x:v>69508</x:v>
      </x:c>
      <x:c r="C141" s="54" t="str">
        <x:v>신윤후</x:v>
      </x:c>
      <x:c r="D141" s="54" t="str">
        <x:v>LOT</x:v>
      </x:c>
      <x:c r="E141" s="54" t="n">
        <x:v>79</x:v>
      </x:c>
      <x:c r="F141" s="108" t="b">
        <x:v>0</x:v>
      </x:c>
      <x:c r="G141" s="111" t="n">
        <x:v>0.5443038</x:v>
      </x:c>
      <x:c r="H141" s="111" t="n">
        <x:v>0.46271225</x:v>
      </x:c>
      <x:c r="I141" s="111" t="n">
        <x:v>0.46357198</x:v>
      </x:c>
      <x:c r="J141" s="96" t="n">
        <x:f>(I141-H141)*100</x:f>
        <x:v>0.0859730000000003</x:v>
      </x:c>
      <x:c r="K141" s="54"/>
      <x:c r="L141" s="54"/>
      <x:c r="M141" s="54" t="str">
        <x:f>IF(OR(K141="",L141=""),"",L141-K141)</x:f>
      </x:c>
      <x:c r="N141" s="54" t="str">
        <x:f>IF(M141="","",ABS(M141))</x:f>
      </x:c>
    </x:row>
    <x:row r="142">
      <x:c r="A142" s="54" t="n">
        <x:v>2026</x:v>
      </x:c>
      <x:c r="B142" s="54" t="n">
        <x:v>56909</x:v>
      </x:c>
      <x:c r="C142" s="54" t="str">
        <x:v>신재인</x:v>
      </x:c>
      <x:c r="D142" s="54" t="str">
        <x:v>NC</x:v>
      </x:c>
      <x:c r="E142" s="54" t="n">
        <x:v>469</x:v>
      </x:c>
      <x:c r="F142" s="108" t="b">
        <x:v>1</x:v>
      </x:c>
      <x:c r="G142" s="111" t="n">
        <x:v>0.35181237000000004</x:v>
      </x:c>
      <x:c r="H142" s="111" t="n">
        <x:v>0.42390864</x:v>
      </x:c>
      <x:c r="I142" s="111" t="n">
        <x:v>0.42765591999999997</x:v>
      </x:c>
      <x:c r="J142" s="96" t="n">
        <x:f>(I142-H142)*100</x:f>
        <x:v>0.3747279999999964</x:v>
      </x:c>
      <x:c r="K142" s="54" t="n">
        <x:v>146</x:v>
      </x:c>
      <x:c r="L142" s="54" t="n">
        <x:v>140</x:v>
      </x:c>
      <x:c r="M142" s="54" t="n">
        <x:f>IF(OR(K142="",L142=""),"",L142-K142)</x:f>
        <x:v>-6</x:v>
      </x:c>
      <x:c r="N142" s="54" t="n">
        <x:f>IF(M142="","",ABS(M142))</x:f>
        <x:v>6</x:v>
      </x:c>
    </x:row>
    <x:row r="143">
      <x:c r="A143" s="54" t="n">
        <x:v>2026</x:v>
      </x:c>
      <x:c r="B143" s="54" t="n">
        <x:v>64006</x:v>
      </x:c>
      <x:c r="C143" s="54" t="str">
        <x:v>심우준</x:v>
      </x:c>
      <x:c r="D143" s="54" t="str">
        <x:v>HAN</x:v>
      </x:c>
      <x:c r="E143" s="54" t="n">
        <x:v>1461</x:v>
      </x:c>
      <x:c r="F143" s="108" t="b">
        <x:v>1</x:v>
      </x:c>
      <x:c r="G143" s="111" t="n">
        <x:v>0.46269678</x:v>
      </x:c>
      <x:c r="H143" s="111" t="n">
        <x:v>0.46175288000000003</x:v>
      </x:c>
      <x:c r="I143" s="111" t="n">
        <x:v>0.46277227000000004</x:v>
      </x:c>
      <x:c r="J143" s="96" t="n">
        <x:f>(I143-H143)*100</x:f>
        <x:v>0.10193900000000089</x:v>
      </x:c>
      <x:c r="K143" s="54" t="n">
        <x:v>24</x:v>
      </x:c>
      <x:c r="L143" s="54" t="n">
        <x:v>26</x:v>
      </x:c>
      <x:c r="M143" s="54" t="n">
        <x:f>IF(OR(K143="",L143=""),"",L143-K143)</x:f>
        <x:v>2</x:v>
      </x:c>
      <x:c r="N143" s="54" t="n">
        <x:f>IF(M143="","",ABS(M143))</x:f>
        <x:v>2</x:v>
      </x:c>
    </x:row>
    <x:row r="144">
      <x:c r="A144" s="54" t="n">
        <x:v>2026</x:v>
      </x:c>
      <x:c r="B144" s="54" t="n">
        <x:v>55438</x:v>
      </x:c>
      <x:c r="C144" s="54" t="str">
        <x:v>심재훈</x:v>
      </x:c>
      <x:c r="D144" s="54" t="str">
        <x:v>SAM</x:v>
      </x:c>
      <x:c r="E144" s="54" t="n">
        <x:v>157</x:v>
      </x:c>
      <x:c r="F144" s="108" t="b">
        <x:v>0</x:v>
      </x:c>
      <x:c r="G144" s="111" t="n">
        <x:v>0.46496814999999997</x:v>
      </x:c>
      <x:c r="H144" s="111" t="n">
        <x:v>0.41391126</x:v>
      </x:c>
      <x:c r="I144" s="111" t="n">
        <x:v>0.41707915</x:v>
      </x:c>
      <x:c r="J144" s="96" t="n">
        <x:f>(I144-H144)*100</x:f>
        <x:v>0.31678900000000065</x:v>
      </x:c>
      <x:c r="K144" s="54"/>
      <x:c r="L144" s="54"/>
      <x:c r="M144" s="54" t="str">
        <x:f>IF(OR(K144="",L144=""),"",L144-K144)</x:f>
      </x:c>
      <x:c r="N144" s="54" t="str">
        <x:f>IF(M144="","",ABS(M144))</x:f>
      </x:c>
    </x:row>
    <x:row r="145">
      <x:c r="A145" s="54" t="n">
        <x:v>2026</x:v>
      </x:c>
      <x:c r="B145" s="54" t="n">
        <x:v>56613</x:v>
      </x:c>
      <x:c r="C145" s="54" t="str">
        <x:v>아데를린</x:v>
      </x:c>
      <x:c r="D145" s="54" t="str">
        <x:v>KIA</x:v>
      </x:c>
      <x:c r="E145" s="54" t="n">
        <x:v>464</x:v>
      </x:c>
      <x:c r="F145" s="108" t="b">
        <x:v>1</x:v>
      </x:c>
      <x:c r="G145" s="111" t="n">
        <x:v>0.57758621</x:v>
      </x:c>
      <x:c r="H145" s="111" t="n">
        <x:v>0.42381191</x:v>
      </x:c>
      <x:c r="I145" s="111" t="n">
        <x:v>0.41989385</x:v>
      </x:c>
      <x:c r="J145" s="96" t="n">
        <x:f>(I145-H145)*100</x:f>
        <x:v>-0.3918060000000001</x:v>
      </x:c>
      <x:c r="K145" s="54" t="n">
        <x:v>147</x:v>
      </x:c>
      <x:c r="L145" s="54" t="n">
        <x:v>150</x:v>
      </x:c>
      <x:c r="M145" s="54" t="n">
        <x:f>IF(OR(K145="",L145=""),"",L145-K145)</x:f>
        <x:v>3</x:v>
      </x:c>
      <x:c r="N145" s="54" t="n">
        <x:f>IF(M145="","",ABS(M145))</x:f>
        <x:v>3</x:v>
      </x:c>
    </x:row>
    <x:row r="146">
      <x:c r="A146" s="54" t="n">
        <x:v>2026</x:v>
      </x:c>
      <x:c r="B146" s="54" t="n">
        <x:v>66864</x:v>
      </x:c>
      <x:c r="C146" s="54" t="str">
        <x:v>안상현</x:v>
      </x:c>
      <x:c r="D146" s="54" t="str">
        <x:v>SSG</x:v>
      </x:c>
      <x:c r="E146" s="54" t="n">
        <x:v>803</x:v>
      </x:c>
      <x:c r="F146" s="108" t="b">
        <x:v>1</x:v>
      </x:c>
      <x:c r="G146" s="111" t="n">
        <x:v>0.45828144000000004</x:v>
      </x:c>
      <x:c r="H146" s="111" t="n">
        <x:v>0.45626154</x:v>
      </x:c>
      <x:c r="I146" s="111" t="n">
        <x:v>0.45002716</x:v>
      </x:c>
      <x:c r="J146" s="96" t="n">
        <x:f>(I146-H146)*100</x:f>
        <x:v>-0.6234380000000039</x:v>
      </x:c>
      <x:c r="K146" s="54" t="n">
        <x:v>55</x:v>
      </x:c>
      <x:c r="L146" s="54" t="n">
        <x:v>76</x:v>
      </x:c>
      <x:c r="M146" s="54" t="n">
        <x:f>IF(OR(K146="",L146=""),"",L146-K146)</x:f>
        <x:v>21</x:v>
      </x:c>
      <x:c r="N146" s="54" t="n">
        <x:f>IF(M146="","",ABS(M146))</x:f>
        <x:v>21</x:v>
      </x:c>
    </x:row>
    <x:row r="147">
      <x:c r="A147" s="54" t="n">
        <x:v>2026</x:v>
      </x:c>
      <x:c r="B147" s="54" t="n">
        <x:v>50901</x:v>
      </x:c>
      <x:c r="C147" s="54" t="str">
        <x:v>안인산</x:v>
      </x:c>
      <x:c r="D147" s="54" t="str">
        <x:v>KT</x:v>
      </x:c>
      <x:c r="E147" s="54" t="n">
        <x:v>11</x:v>
      </x:c>
      <x:c r="F147" s="108" t="b">
        <x:v>0</x:v>
      </x:c>
      <x:c r="G147" s="111" t="n">
        <x:v>0.63636364</x:v>
      </x:c>
      <x:c r="H147" s="111" t="n">
        <x:v>0.41361378000000004</x:v>
      </x:c>
      <x:c r="I147" s="111" t="n">
        <x:v>0.43876508999999997</x:v>
      </x:c>
      <x:c r="J147" s="96" t="n">
        <x:f>(I147-H147)*100</x:f>
        <x:v>2.5151309999999927</x:v>
      </x:c>
      <x:c r="K147" s="54"/>
      <x:c r="L147" s="54"/>
      <x:c r="M147" s="54" t="str">
        <x:f>IF(OR(K147="",L147=""),"",L147-K147)</x:f>
      </x:c>
      <x:c r="N147" s="54" t="str">
        <x:f>IF(M147="","",ABS(M147))</x:f>
      </x:c>
    </x:row>
    <x:row r="148">
      <x:c r="A148" s="54" t="n">
        <x:v>2026</x:v>
      </x:c>
      <x:c r="B148" s="54" t="n">
        <x:v>51203</x:v>
      </x:c>
      <x:c r="C148" s="54" t="str">
        <x:v>안재석</x:v>
      </x:c>
      <x:c r="D148" s="54" t="str">
        <x:v>DOO</x:v>
      </x:c>
      <x:c r="E148" s="54" t="n">
        <x:v>1289</x:v>
      </x:c>
      <x:c r="F148" s="108" t="b">
        <x:v>1</x:v>
      </x:c>
      <x:c r="G148" s="111" t="n">
        <x:v>0.49418154000000003</x:v>
      </x:c>
      <x:c r="H148" s="111" t="n">
        <x:v>0.43579104999999996</x:v>
      </x:c>
      <x:c r="I148" s="111" t="n">
        <x:v>0.43086544000000004</x:v>
      </x:c>
      <x:c r="J148" s="96" t="n">
        <x:f>(I148-H148)*100</x:f>
        <x:v>-0.49256099999999137</x:v>
      </x:c>
      <x:c r="K148" s="54" t="n">
        <x:v>117</x:v>
      </x:c>
      <x:c r="L148" s="54" t="n">
        <x:v>134</x:v>
      </x:c>
      <x:c r="M148" s="54" t="n">
        <x:f>IF(OR(K148="",L148=""),"",L148-K148)</x:f>
        <x:v>17</x:v>
      </x:c>
      <x:c r="N148" s="54" t="n">
        <x:f>IF(M148="","",ABS(M148))</x:f>
        <x:v>17</x:v>
      </x:c>
    </x:row>
    <x:row r="149">
      <x:c r="A149" s="54" t="n">
        <x:v>2026</x:v>
      </x:c>
      <x:c r="B149" s="54" t="n">
        <x:v>56811</x:v>
      </x:c>
      <x:c r="C149" s="54" t="str">
        <x:v>안재연</x:v>
      </x:c>
      <x:c r="D149" s="54" t="str">
        <x:v>SSG</x:v>
      </x:c>
      <x:c r="E149" s="54" t="n">
        <x:v>11</x:v>
      </x:c>
      <x:c r="F149" s="108" t="b">
        <x:v>0</x:v>
      </x:c>
      <x:c r="G149" s="111" t="n">
        <x:v>0.45454545</x:v>
      </x:c>
      <x:c r="H149" s="111" t="n">
        <x:v>0.46617366</x:v>
      </x:c>
      <x:c r="I149" s="111" t="n">
        <x:v>0.45514527</x:v>
      </x:c>
      <x:c r="J149" s="96" t="n">
        <x:f>(I149-H149)*100</x:f>
        <x:v>-1.102839</x:v>
      </x:c>
      <x:c r="K149" s="54"/>
      <x:c r="L149" s="54"/>
      <x:c r="M149" s="54" t="str">
        <x:f>IF(OR(K149="",L149=""),"",L149-K149)</x:f>
      </x:c>
      <x:c r="N149" s="54" t="str">
        <x:f>IF(M149="","",ABS(M149))</x:f>
      </x:c>
    </x:row>
    <x:row r="150">
      <x:c r="A150" s="54" t="n">
        <x:v>2026</x:v>
      </x:c>
      <x:c r="B150" s="54" t="n">
        <x:v>64022</x:v>
      </x:c>
      <x:c r="C150" s="54" t="str">
        <x:v>안중열</x:v>
      </x:c>
      <x:c r="D150" s="54" t="str">
        <x:v>NC</x:v>
      </x:c>
      <x:c r="E150" s="54" t="n">
        <x:v>477</x:v>
      </x:c>
      <x:c r="F150" s="108" t="b">
        <x:v>1</x:v>
      </x:c>
      <x:c r="G150" s="111" t="n">
        <x:v>0.44025157</x:v>
      </x:c>
      <x:c r="H150" s="111" t="n">
        <x:v>0.43310386</x:v>
      </x:c>
      <x:c r="I150" s="111" t="n">
        <x:v>0.43775047</x:v>
      </x:c>
      <x:c r="J150" s="96" t="n">
        <x:f>(I150-H150)*100</x:f>
        <x:v>0.46466099999999955</x:v>
      </x:c>
      <x:c r="K150" s="54" t="n">
        <x:v>131</x:v>
      </x:c>
      <x:c r="L150" s="54" t="n">
        <x:v>107</x:v>
      </x:c>
      <x:c r="M150" s="54" t="n">
        <x:f>IF(OR(K150="",L150=""),"",L150-K150)</x:f>
        <x:v>-24</x:v>
      </x:c>
      <x:c r="N150" s="54" t="n">
        <x:f>IF(M150="","",ABS(M150))</x:f>
        <x:v>24</x:v>
      </x:c>
    </x:row>
    <x:row r="151">
      <x:c r="A151" s="54" t="n">
        <x:v>2026</x:v>
      </x:c>
      <x:c r="B151" s="54" t="n">
        <x:v>67006</x:v>
      </x:c>
      <x:c r="C151" s="54" t="str">
        <x:v>안치영</x:v>
      </x:c>
      <x:c r="D151" s="54" t="str">
        <x:v>KT</x:v>
      </x:c>
      <x:c r="E151" s="54" t="n">
        <x:v>20</x:v>
      </x:c>
      <x:c r="F151" s="108" t="b">
        <x:v>0</x:v>
      </x:c>
      <x:c r="G151" s="111" t="n">
        <x:v>0.35</x:v>
      </x:c>
      <x:c r="H151" s="111" t="n">
        <x:v>0.34228118</x:v>
      </x:c>
      <x:c r="I151" s="111" t="n">
        <x:v>0.33833859</x:v>
      </x:c>
      <x:c r="J151" s="96" t="n">
        <x:f>(I151-H151)*100</x:f>
        <x:v>-0.39425900000000236</x:v>
      </x:c>
      <x:c r="K151" s="54"/>
      <x:c r="L151" s="54"/>
      <x:c r="M151" s="54" t="str">
        <x:f>IF(OR(K151="",L151=""),"",L151-K151)</x:f>
      </x:c>
      <x:c r="N151" s="54" t="str">
        <x:f>IF(M151="","",ABS(M151))</x:f>
      </x:c>
    </x:row>
    <x:row r="152">
      <x:c r="A152" s="54" t="n">
        <x:v>2026</x:v>
      </x:c>
      <x:c r="B152" s="54" t="n">
        <x:v>79608</x:v>
      </x:c>
      <x:c r="C152" s="54" t="str">
        <x:v>안치홍</x:v>
      </x:c>
      <x:c r="D152" s="54" t="str">
        <x:v>KIW</x:v>
      </x:c>
      <x:c r="E152" s="54" t="n">
        <x:v>1625</x:v>
      </x:c>
      <x:c r="F152" s="108" t="b">
        <x:v>1</x:v>
      </x:c>
      <x:c r="G152" s="111" t="n">
        <x:v>0.44430769</x:v>
      </x:c>
      <x:c r="H152" s="111" t="n">
        <x:v>0.43847505</x:v>
      </x:c>
      <x:c r="I152" s="111" t="n">
        <x:v>0.44129033999999995</x:v>
      </x:c>
      <x:c r="J152" s="96" t="n">
        <x:f>(I152-H152)*100</x:f>
        <x:v>0.28152899999999703</x:v>
      </x:c>
      <x:c r="K152" s="54" t="n">
        <x:v>107</x:v>
      </x:c>
      <x:c r="L152" s="54" t="n">
        <x:v>96</x:v>
      </x:c>
      <x:c r="M152" s="54" t="n">
        <x:f>IF(OR(K152="",L152=""),"",L152-K152)</x:f>
        <x:v>-11</x:v>
      </x:c>
      <x:c r="N152" s="54" t="n">
        <x:f>IF(M152="","",ABS(M152))</x:f>
        <x:v>11</x:v>
      </x:c>
    </x:row>
    <x:row r="153">
      <x:c r="A153" s="54" t="n">
        <x:v>2026</x:v>
      </x:c>
      <x:c r="B153" s="54" t="n">
        <x:v>52001</x:v>
      </x:c>
      <x:c r="C153" s="54" t="str">
        <x:v>안현민</x:v>
      </x:c>
      <x:c r="D153" s="54" t="str">
        <x:v>KT</x:v>
      </x:c>
      <x:c r="E153" s="54" t="n">
        <x:v>1233</x:v>
      </x:c>
      <x:c r="F153" s="108" t="b">
        <x:v>1</x:v>
      </x:c>
      <x:c r="G153" s="111" t="n">
        <x:v>0.34630981</x:v>
      </x:c>
      <x:c r="H153" s="111" t="n">
        <x:v>0.45028914999999997</x:v>
      </x:c>
      <x:c r="I153" s="111" t="n">
        <x:v>0.45204442</x:v>
      </x:c>
      <x:c r="J153" s="96" t="n">
        <x:f>(I153-H153)*100</x:f>
        <x:v>0.1755270000000031</x:v>
      </x:c>
      <x:c r="K153" s="54" t="n">
        <x:v>72</x:v>
      </x:c>
      <x:c r="L153" s="54" t="n">
        <x:v>68</x:v>
      </x:c>
      <x:c r="M153" s="54" t="n">
        <x:f>IF(OR(K153="",L153=""),"",L153-K153)</x:f>
        <x:v>-4</x:v>
      </x:c>
      <x:c r="N153" s="54" t="n">
        <x:f>IF(M153="","",ABS(M153))</x:f>
        <x:v>4</x:v>
      </x:c>
    </x:row>
    <x:row r="154">
      <x:c r="A154" s="54" t="n">
        <x:v>2026</x:v>
      </x:c>
      <x:c r="B154" s="54" t="n">
        <x:v>64153</x:v>
      </x:c>
      <x:c r="C154" s="54" t="str">
        <x:v>양석환</x:v>
      </x:c>
      <x:c r="D154" s="54" t="str">
        <x:v>DOO</x:v>
      </x:c>
      <x:c r="E154" s="54" t="n">
        <x:v>437</x:v>
      </x:c>
      <x:c r="F154" s="108" t="b">
        <x:v>1</x:v>
      </x:c>
      <x:c r="G154" s="111" t="n">
        <x:v>0.5583524</x:v>
      </x:c>
      <x:c r="H154" s="111" t="n">
        <x:v>0.46346887999999997</x:v>
      </x:c>
      <x:c r="I154" s="111" t="n">
        <x:v>0.46405734000000004</x:v>
      </x:c>
      <x:c r="J154" s="96" t="n">
        <x:f>(I154-H154)*100</x:f>
        <x:v>0.05884600000000684</x:v>
      </x:c>
      <x:c r="K154" s="54" t="n">
        <x:v>22</x:v>
      </x:c>
      <x:c r="L154" s="54" t="n">
        <x:v>22</x:v>
      </x:c>
      <x:c r="M154" s="54" t="n">
        <x:f>IF(OR(K154="",L154=""),"",L154-K154)</x:f>
        <x:v>0</x:v>
      </x:c>
      <x:c r="N154" s="54" t="str">
        <x:f>IF(M154="","",ABS(M154))</x:f>
      </x:c>
    </x:row>
    <x:row r="155">
      <x:c r="A155" s="54" t="n">
        <x:v>2026</x:v>
      </x:c>
      <x:c r="B155" s="54" t="n">
        <x:v>69403</x:v>
      </x:c>
      <x:c r="C155" s="54" t="str">
        <x:v>양우현</x:v>
      </x:c>
      <x:c r="D155" s="54" t="str">
        <x:v>SAM</x:v>
      </x:c>
      <x:c r="E155" s="54" t="n">
        <x:v>412</x:v>
      </x:c>
      <x:c r="F155" s="108" t="b">
        <x:v>1</x:v>
      </x:c>
      <x:c r="G155" s="111" t="n">
        <x:v>0.46359223</x:v>
      </x:c>
      <x:c r="H155" s="111" t="n">
        <x:v>0.41294492</x:v>
      </x:c>
      <x:c r="I155" s="111" t="n">
        <x:v>0.40859629</x:v>
      </x:c>
      <x:c r="J155" s="96" t="n">
        <x:f>(I155-H155)*100</x:f>
        <x:v>-0.434863000000002</x:v>
      </x:c>
      <x:c r="K155" s="54" t="n">
        <x:v>154</x:v>
      </x:c>
      <x:c r="L155" s="54" t="n">
        <x:v>156</x:v>
      </x:c>
      <x:c r="M155" s="54" t="n">
        <x:f>IF(OR(K155="",L155=""),"",L155-K155)</x:f>
        <x:v>2</x:v>
      </x:c>
      <x:c r="N155" s="54" t="n">
        <x:f>IF(M155="","",ABS(M155))</x:f>
        <x:v>2</x:v>
      </x:c>
    </x:row>
    <x:row r="156">
      <x:c r="A156" s="54" t="n">
        <x:v>2026</x:v>
      </x:c>
      <x:c r="B156" s="54" t="n">
        <x:v>76232</x:v>
      </x:c>
      <x:c r="C156" s="54" t="str">
        <x:v>양의지</x:v>
      </x:c>
      <x:c r="D156" s="54" t="str">
        <x:v>DOO</x:v>
      </x:c>
      <x:c r="E156" s="54" t="n">
        <x:v>1770</x:v>
      </x:c>
      <x:c r="F156" s="108" t="b">
        <x:v>1</x:v>
      </x:c>
      <x:c r="G156" s="111" t="n">
        <x:v>0.42768362000000004</x:v>
      </x:c>
      <x:c r="H156" s="111" t="n">
        <x:v>0.43714411</x:v>
      </x:c>
      <x:c r="I156" s="111" t="n">
        <x:v>0.43713621</x:v>
      </x:c>
      <x:c r="J156" s="96" t="n">
        <x:f>(I156-H156)*100</x:f>
        <x:v>-0.0007899999999949614</x:v>
      </x:c>
      <x:c r="K156" s="54" t="n">
        <x:v>111</x:v>
      </x:c>
      <x:c r="L156" s="54" t="n">
        <x:v>109</x:v>
      </x:c>
      <x:c r="M156" s="54" t="n">
        <x:f>IF(OR(K156="",L156=""),"",L156-K156)</x:f>
        <x:v>-2</x:v>
      </x:c>
      <x:c r="N156" s="54" t="n">
        <x:f>IF(M156="","",ABS(M156))</x:f>
        <x:v>2</x:v>
      </x:c>
    </x:row>
    <x:row r="157">
      <x:c r="A157" s="54" t="n">
        <x:v>2026</x:v>
      </x:c>
      <x:c r="B157" s="54" t="n">
        <x:v>55370</x:v>
      </x:c>
      <x:c r="C157" s="54" t="str">
        <x:v>양현종</x:v>
      </x:c>
      <x:c r="D157" s="54" t="str">
        <x:v>KIW</x:v>
      </x:c>
      <x:c r="E157" s="54" t="n">
        <x:v>185</x:v>
      </x:c>
      <x:c r="F157" s="108" t="b">
        <x:v>0</x:v>
      </x:c>
      <x:c r="G157" s="111" t="n">
        <x:v>0.42162162000000003</x:v>
      </x:c>
      <x:c r="H157" s="111" t="n">
        <x:v>0.48368527</x:v>
      </x:c>
      <x:c r="I157" s="111" t="n">
        <x:v>0.48473784000000003</x:v>
      </x:c>
      <x:c r="J157" s="96" t="n">
        <x:f>(I157-H157)*100</x:f>
        <x:v>0.10525700000000304</x:v>
      </x:c>
      <x:c r="K157" s="54"/>
      <x:c r="L157" s="54"/>
      <x:c r="M157" s="54" t="str">
        <x:f>IF(OR(K157="",L157=""),"",L157-K157)</x:f>
      </x:c>
      <x:c r="N157" s="54" t="str">
        <x:f>IF(M157="","",ABS(M157))</x:f>
      </x:c>
    </x:row>
    <x:row r="158">
      <x:c r="A158" s="54" t="n">
        <x:v>2026</x:v>
      </x:c>
      <x:c r="B158" s="54" t="n">
        <x:v>55392</x:v>
      </x:c>
      <x:c r="C158" s="54" t="str">
        <x:v>어준서</x:v>
      </x:c>
      <x:c r="D158" s="54" t="str">
        <x:v>KIW</x:v>
      </x:c>
      <x:c r="E158" s="54" t="n">
        <x:v>346</x:v>
      </x:c>
      <x:c r="F158" s="108" t="b">
        <x:v>1</x:v>
      </x:c>
      <x:c r="G158" s="111" t="n">
        <x:v>0.37572254</x:v>
      </x:c>
      <x:c r="H158" s="111" t="n">
        <x:v>0.43440855999999994</x:v>
      </x:c>
      <x:c r="I158" s="111" t="n">
        <x:v>0.43683516</x:v>
      </x:c>
      <x:c r="J158" s="96" t="n">
        <x:f>(I158-H158)*100</x:f>
        <x:v>0.24266000000000565</x:v>
      </x:c>
      <x:c r="K158" s="54" t="n">
        <x:v>122</x:v>
      </x:c>
      <x:c r="L158" s="54" t="n">
        <x:v>111</x:v>
      </x:c>
      <x:c r="M158" s="54" t="n">
        <x:f>IF(OR(K158="",L158=""),"",L158-K158)</x:f>
        <x:v>-11</x:v>
      </x:c>
      <x:c r="N158" s="54" t="n">
        <x:f>IF(M158="","",ABS(M158))</x:f>
        <x:v>11</x:v>
      </x:c>
    </x:row>
    <x:row r="159">
      <x:c r="A159" s="54" t="n">
        <x:v>2026</x:v>
      </x:c>
      <x:c r="B159" s="54" t="n">
        <x:v>53827</x:v>
      </x:c>
      <x:c r="C159" s="54" t="str">
        <x:v>에레디아</x:v>
      </x:c>
      <x:c r="D159" s="54" t="str">
        <x:v>SSG</x:v>
      </x:c>
      <x:c r="E159" s="54" t="n">
        <x:v>1376</x:v>
      </x:c>
      <x:c r="F159" s="108" t="b">
        <x:v>1</x:v>
      </x:c>
      <x:c r="G159" s="111" t="n">
        <x:v>0.54796512</x:v>
      </x:c>
      <x:c r="H159" s="111" t="n">
        <x:v>0.42709956</x:v>
      </x:c>
      <x:c r="I159" s="111" t="n">
        <x:v>0.42644539000000004</x:v>
      </x:c>
      <x:c r="J159" s="96" t="n">
        <x:f>(I159-H159)*100</x:f>
        <x:v>-0.0654169999999954</x:v>
      </x:c>
      <x:c r="K159" s="54" t="n">
        <x:v>145</x:v>
      </x:c>
      <x:c r="L159" s="54" t="n">
        <x:v>143</x:v>
      </x:c>
      <x:c r="M159" s="54" t="n">
        <x:f>IF(OR(K159="",L159=""),"",L159-K159)</x:f>
        <x:v>-2</x:v>
      </x:c>
      <x:c r="N159" s="54" t="n">
        <x:f>IF(M159="","",ABS(M159))</x:f>
        <x:v>2</x:v>
      </x:c>
    </x:row>
    <x:row r="160">
      <x:c r="A160" s="54" t="n">
        <x:v>2026</x:v>
      </x:c>
      <x:c r="B160" s="54" t="n">
        <x:v>55393</x:v>
      </x:c>
      <x:c r="C160" s="54" t="str">
        <x:v>여동욱</x:v>
      </x:c>
      <x:c r="D160" s="54" t="str">
        <x:v>KIW</x:v>
      </x:c>
      <x:c r="E160" s="54" t="n">
        <x:v>616</x:v>
      </x:c>
      <x:c r="F160" s="108" t="b">
        <x:v>1</x:v>
      </x:c>
      <x:c r="G160" s="111" t="n">
        <x:v>0.37662338</x:v>
      </x:c>
      <x:c r="H160" s="111" t="n">
        <x:v>0.45053415</x:v>
      </x:c>
      <x:c r="I160" s="111" t="n">
        <x:v>0.45400655</x:v>
      </x:c>
      <x:c r="J160" s="96" t="n">
        <x:f>(I160-H160)*100</x:f>
        <x:v>0.34723999999999866</x:v>
      </x:c>
      <x:c r="K160" s="54" t="n">
        <x:v>70</x:v>
      </x:c>
      <x:c r="L160" s="54" t="n">
        <x:v>64</x:v>
      </x:c>
      <x:c r="M160" s="54" t="n">
        <x:f>IF(OR(K160="",L160=""),"",L160-K160)</x:f>
        <x:v>-6</x:v>
      </x:c>
      <x:c r="N160" s="54" t="n">
        <x:f>IF(M160="","",ABS(M160))</x:f>
        <x:v>6</x:v>
      </x:c>
    </x:row>
    <x:row r="161">
      <x:c r="A161" s="54" t="n">
        <x:v>2026</x:v>
      </x:c>
      <x:c r="B161" s="54" t="n">
        <x:v>55339</x:v>
      </x:c>
      <x:c r="C161" s="54" t="str">
        <x:v>염승원</x:v>
      </x:c>
      <x:c r="D161" s="54" t="str">
        <x:v>KIW</x:v>
      </x:c>
      <x:c r="E161" s="54" t="n">
        <x:v>49</x:v>
      </x:c>
      <x:c r="F161" s="108" t="b">
        <x:v>0</x:v>
      </x:c>
      <x:c r="G161" s="111" t="n">
        <x:v>0.44897959</x:v>
      </x:c>
      <x:c r="H161" s="111" t="n">
        <x:v>0.45257291</x:v>
      </x:c>
      <x:c r="I161" s="111" t="n">
        <x:v>0.47851307</x:v>
      </x:c>
      <x:c r="J161" s="96" t="n">
        <x:f>(I161-H161)*100</x:f>
        <x:v>2.594015999999999</x:v>
      </x:c>
      <x:c r="K161" s="54"/>
      <x:c r="L161" s="54"/>
      <x:c r="M161" s="54" t="str">
        <x:f>IF(OR(K161="",L161=""),"",L161-K161)</x:f>
      </x:c>
      <x:c r="N161" s="54" t="str">
        <x:f>IF(M161="","",ABS(M161))</x:f>
      </x:c>
    </x:row>
    <x:row r="162">
      <x:c r="A162" s="54" t="n">
        <x:v>2026</x:v>
      </x:c>
      <x:c r="B162" s="54" t="n">
        <x:v>50208</x:v>
      </x:c>
      <x:c r="C162" s="54" t="str">
        <x:v>오명진</x:v>
      </x:c>
      <x:c r="D162" s="54" t="str">
        <x:v>DOO</x:v>
      </x:c>
      <x:c r="E162" s="54" t="n">
        <x:v>564</x:v>
      </x:c>
      <x:c r="F162" s="108" t="b">
        <x:v>1</x:v>
      </x:c>
      <x:c r="G162" s="111" t="n">
        <x:v>0.47163120999999997</x:v>
      </x:c>
      <x:c r="H162" s="111" t="n">
        <x:v>0.46433919</x:v>
      </x:c>
      <x:c r="I162" s="111" t="n">
        <x:v>0.46837987</x:v>
      </x:c>
      <x:c r="J162" s="96" t="n">
        <x:f>(I162-H162)*100</x:f>
        <x:v>0.4040679999999963</x:v>
      </x:c>
      <x:c r="K162" s="54" t="n">
        <x:v>19</x:v>
      </x:c>
      <x:c r="L162" s="54" t="n">
        <x:v>16</x:v>
      </x:c>
      <x:c r="M162" s="54" t="n">
        <x:f>IF(OR(K162="",L162=""),"",L162-K162)</x:f>
        <x:v>-3</x:v>
      </x:c>
      <x:c r="N162" s="54" t="n">
        <x:f>IF(M162="","",ABS(M162))</x:f>
        <x:v>3</x:v>
      </x:c>
    </x:row>
    <x:row r="163">
      <x:c r="A163" s="54" t="n">
        <x:v>2026</x:v>
      </x:c>
      <x:c r="B163" s="54" t="n">
        <x:v>55005</x:v>
      </x:c>
      <x:c r="C163" s="54" t="str">
        <x:v>오서진</x:v>
      </x:c>
      <x:c r="D163" s="54" t="str">
        <x:v>KT</x:v>
      </x:c>
      <x:c r="E163" s="54" t="n">
        <x:v>2</x:v>
      </x:c>
      <x:c r="F163" s="108" t="b">
        <x:v>0</x:v>
      </x:c>
      <x:c r="G163" s="111" t="n">
        <x:v>0.5</x:v>
      </x:c>
      <x:c r="H163" s="111" t="n">
        <x:v>0.15020862</x:v>
      </x:c>
      <x:c r="I163" s="111" t="n">
        <x:v>0.29300028</x:v>
      </x:c>
      <x:c r="J163" s="96" t="n">
        <x:f>(I163-H163)*100</x:f>
        <x:v>14.279166000000002</x:v>
      </x:c>
      <x:c r="K163" s="54"/>
      <x:c r="L163" s="54"/>
      <x:c r="M163" s="54" t="str">
        <x:f>IF(OR(K163="",L163=""),"",L163-K163)</x:f>
      </x:c>
      <x:c r="N163" s="54" t="str">
        <x:f>IF(M163="","",ABS(M163))</x:f>
      </x:c>
    </x:row>
    <x:row r="164">
      <x:c r="A164" s="54" t="n">
        <x:v>2026</x:v>
      </x:c>
      <x:c r="B164" s="54" t="n">
        <x:v>69636</x:v>
      </x:c>
      <x:c r="C164" s="54" t="str">
        <x:v>오선우</x:v>
      </x:c>
      <x:c r="D164" s="54" t="str">
        <x:v>KIA</x:v>
      </x:c>
      <x:c r="E164" s="54" t="n">
        <x:v>354</x:v>
      </x:c>
      <x:c r="F164" s="108" t="b">
        <x:v>1</x:v>
      </x:c>
      <x:c r="G164" s="111" t="n">
        <x:v>0.45480226</x:v>
      </x:c>
      <x:c r="H164" s="111" t="n">
        <x:v>0.4414064</x:v>
      </x:c>
      <x:c r="I164" s="111" t="n">
        <x:v>0.43254567</x:v>
      </x:c>
      <x:c r="J164" s="96" t="n">
        <x:f>(I164-H164)*100</x:f>
        <x:v>-0.8860729999999983</x:v>
      </x:c>
      <x:c r="K164" s="54" t="n">
        <x:v>99</x:v>
      </x:c>
      <x:c r="L164" s="54" t="n">
        <x:v>131</x:v>
      </x:c>
      <x:c r="M164" s="54" t="n">
        <x:f>IF(OR(K164="",L164=""),"",L164-K164)</x:f>
        <x:v>32</x:v>
      </x:c>
      <x:c r="N164" s="54" t="n">
        <x:f>IF(M164="","",ABS(M164))</x:f>
        <x:v>32</x:v>
      </x:c>
    </x:row>
    <x:row r="165">
      <x:c r="A165" s="54" t="n">
        <x:v>2026</x:v>
      </x:c>
      <x:c r="B165" s="54" t="n">
        <x:v>78756</x:v>
      </x:c>
      <x:c r="C165" s="54" t="str">
        <x:v>오선진</x:v>
      </x:c>
      <x:c r="D165" s="54" t="str">
        <x:v>KIW</x:v>
      </x:c>
      <x:c r="E165" s="54" t="n">
        <x:v>290</x:v>
      </x:c>
      <x:c r="F165" s="108" t="b">
        <x:v>0</x:v>
      </x:c>
      <x:c r="G165" s="111" t="n">
        <x:v>0.43793103</x:v>
      </x:c>
      <x:c r="H165" s="111" t="n">
        <x:v>0.47278962</x:v>
      </x:c>
      <x:c r="I165" s="111" t="n">
        <x:v>0.47818609</x:v>
      </x:c>
      <x:c r="J165" s="96" t="n">
        <x:f>(I165-H165)*100</x:f>
        <x:v>0.5396469999999987</x:v>
      </x:c>
      <x:c r="K165" s="54"/>
      <x:c r="L165" s="54"/>
      <x:c r="M165" s="54" t="str">
        <x:f>IF(OR(K165="",L165=""),"",L165-K165)</x:f>
      </x:c>
      <x:c r="N165" s="54" t="str">
        <x:f>IF(M165="","",ABS(M165))</x:f>
      </x:c>
    </x:row>
    <x:row r="166">
      <x:c r="A166" s="54" t="n">
        <x:v>2026</x:v>
      </x:c>
      <x:c r="B166" s="54" t="n">
        <x:v>53123</x:v>
      </x:c>
      <x:c r="C166" s="54" t="str">
        <x:v>오스틴</x:v>
      </x:c>
      <x:c r="D166" s="54" t="str">
        <x:v>LG</x:v>
      </x:c>
      <x:c r="E166" s="54" t="n">
        <x:v>2008</x:v>
      </x:c>
      <x:c r="F166" s="108" t="b">
        <x:v>1</x:v>
      </x:c>
      <x:c r="G166" s="111" t="n">
        <x:v>0.41782869</x:v>
      </x:c>
      <x:c r="H166" s="111" t="n">
        <x:v>0.43315708</x:v>
      </x:c>
      <x:c r="I166" s="111" t="n">
        <x:v>0.43365153</x:v>
      </x:c>
      <x:c r="J166" s="96" t="n">
        <x:f>(I166-H166)*100</x:f>
        <x:v>0.04944499999999796</x:v>
      </x:c>
      <x:c r="K166" s="54" t="n">
        <x:v>130</x:v>
      </x:c>
      <x:c r="L166" s="54" t="n">
        <x:v>124</x:v>
      </x:c>
      <x:c r="M166" s="54" t="n">
        <x:f>IF(OR(K166="",L166=""),"",L166-K166)</x:f>
        <x:v>-6</x:v>
      </x:c>
      <x:c r="N166" s="54" t="n">
        <x:f>IF(M166="","",ABS(M166))</x:f>
        <x:v>6</x:v>
      </x:c>
    </x:row>
    <x:row r="167">
      <x:c r="A167" s="54" t="n">
        <x:v>2026</x:v>
      </x:c>
      <x:c r="B167" s="54" t="n">
        <x:v>68904</x:v>
      </x:c>
      <x:c r="C167" s="54" t="str">
        <x:v>오영수</x:v>
      </x:c>
      <x:c r="D167" s="54" t="str">
        <x:v>NC</x:v>
      </x:c>
      <x:c r="E167" s="54" t="n">
        <x:v>216</x:v>
      </x:c>
      <x:c r="F167" s="108" t="b">
        <x:v>0</x:v>
      </x:c>
      <x:c r="G167" s="111" t="n">
        <x:v>0.47685184999999997</x:v>
      </x:c>
      <x:c r="H167" s="111" t="n">
        <x:v>0.42531146</x:v>
      </x:c>
      <x:c r="I167" s="111" t="n">
        <x:v>0.42270415</x:v>
      </x:c>
      <x:c r="J167" s="96" t="n">
        <x:f>(I167-H167)*100</x:f>
        <x:v>-0.2607309999999974</x:v>
      </x:c>
      <x:c r="K167" s="54"/>
      <x:c r="L167" s="54"/>
      <x:c r="M167" s="54" t="str">
        <x:f>IF(OR(K167="",L167=""),"",L167-K167)</x:f>
      </x:c>
      <x:c r="N167" s="54" t="str">
        <x:f>IF(M167="","",ABS(M167))</x:f>
      </x:c>
    </x:row>
    <x:row r="168">
      <x:c r="A168" s="54" t="n">
        <x:v>2026</x:v>
      </x:c>
      <x:c r="B168" s="54" t="n">
        <x:v>64504</x:v>
      </x:c>
      <x:c r="C168" s="54" t="str">
        <x:v>오윤석</x:v>
      </x:c>
      <x:c r="D168" s="54" t="str">
        <x:v>KT</x:v>
      </x:c>
      <x:c r="E168" s="54" t="n">
        <x:v>691</x:v>
      </x:c>
      <x:c r="F168" s="108" t="b">
        <x:v>1</x:v>
      </x:c>
      <x:c r="G168" s="111" t="n">
        <x:v>0.43560057999999996</x:v>
      </x:c>
      <x:c r="H168" s="111" t="n">
        <x:v>0.44374747999999997</x:v>
      </x:c>
      <x:c r="I168" s="111" t="n">
        <x:v>0.44657623</x:v>
      </x:c>
      <x:c r="J168" s="96" t="n">
        <x:f>(I168-H168)*100</x:f>
        <x:v>0.28287500000000465</x:v>
      </x:c>
      <x:c r="K168" s="54" t="n">
        <x:v>89</x:v>
      </x:c>
      <x:c r="L168" s="54" t="n">
        <x:v>85</x:v>
      </x:c>
      <x:c r="M168" s="54" t="n">
        <x:f>IF(OR(K168="",L168=""),"",L168-K168)</x:f>
        <x:v>-4</x:v>
      </x:c>
      <x:c r="N168" s="54" t="n">
        <x:f>IF(M168="","",ABS(M168))</x:f>
        <x:v>4</x:v>
      </x:c>
    </x:row>
    <x:row r="169">
      <x:c r="A169" s="54" t="n">
        <x:v>2026</x:v>
      </x:c>
      <x:c r="B169" s="54" t="n">
        <x:v>51991</x:v>
      </x:c>
      <x:c r="C169" s="54" t="str">
        <x:v>오장한</x:v>
      </x:c>
      <x:c r="D169" s="54" t="str">
        <x:v>NC</x:v>
      </x:c>
      <x:c r="E169" s="54" t="n">
        <x:v>196</x:v>
      </x:c>
      <x:c r="F169" s="108" t="b">
        <x:v>0</x:v>
      </x:c>
      <x:c r="G169" s="111" t="n">
        <x:v>0.60204082</x:v>
      </x:c>
      <x:c r="H169" s="111" t="n">
        <x:v>0.49493597</x:v>
      </x:c>
      <x:c r="I169" s="111" t="n">
        <x:v>0.50126622</x:v>
      </x:c>
      <x:c r="J169" s="96" t="n">
        <x:f>(I169-H169)*100</x:f>
        <x:v>0.6330249999999982</x:v>
      </x:c>
      <x:c r="K169" s="54"/>
      <x:c r="L169" s="54"/>
      <x:c r="M169" s="54" t="str">
        <x:f>IF(OR(K169="",L169=""),"",L169-K169)</x:f>
      </x:c>
      <x:c r="N169" s="54" t="str">
        <x:f>IF(M169="","",ABS(M169))</x:f>
      </x:c>
    </x:row>
    <x:row r="170">
      <x:c r="A170" s="54" t="n">
        <x:v>2026</x:v>
      </x:c>
      <x:c r="B170" s="54" t="n">
        <x:v>56754</x:v>
      </x:c>
      <x:c r="C170" s="54" t="str">
        <x:v>오재원</x:v>
      </x:c>
      <x:c r="D170" s="54" t="str">
        <x:v>HAN</x:v>
      </x:c>
      <x:c r="E170" s="54" t="n">
        <x:v>623</x:v>
      </x:c>
      <x:c r="F170" s="108" t="b">
        <x:v>1</x:v>
      </x:c>
      <x:c r="G170" s="111" t="n">
        <x:v>0.42857143000000003</x:v>
      </x:c>
      <x:c r="H170" s="111" t="n">
        <x:v>0.42870764</x:v>
      </x:c>
      <x:c r="I170" s="111" t="n">
        <x:v>0.42942053999999996</x:v>
      </x:c>
      <x:c r="J170" s="96" t="n">
        <x:f>(I170-H170)*100</x:f>
        <x:v>0.07128999999999608</x:v>
      </x:c>
      <x:c r="K170" s="54" t="n">
        <x:v>139</x:v>
      </x:c>
      <x:c r="L170" s="54" t="n">
        <x:v>137</x:v>
      </x:c>
      <x:c r="M170" s="54" t="n">
        <x:f>IF(OR(K170="",L170=""),"",L170-K170)</x:f>
        <x:v>-2</x:v>
      </x:c>
      <x:c r="N170" s="54" t="n">
        <x:f>IF(M170="","",ABS(M170))</x:f>
        <x:v>2</x:v>
      </x:c>
    </x:row>
    <x:row r="171">
      <x:c r="A171" s="54" t="n">
        <x:v>2026</x:v>
      </x:c>
      <x:c r="B171" s="54" t="n">
        <x:v>79109</x:v>
      </x:c>
      <x:c r="C171" s="54" t="str">
        <x:v>오지환</x:v>
      </x:c>
      <x:c r="D171" s="54" t="str">
        <x:v>LG</x:v>
      </x:c>
      <x:c r="E171" s="54" t="n">
        <x:v>1521</x:v>
      </x:c>
      <x:c r="F171" s="108" t="b">
        <x:v>1</x:v>
      </x:c>
      <x:c r="G171" s="111" t="n">
        <x:v>0.4365549</x:v>
      </x:c>
      <x:c r="H171" s="111" t="n">
        <x:v>0.43391076</x:v>
      </x:c>
      <x:c r="I171" s="111" t="n">
        <x:v>0.43441851</x:v>
      </x:c>
      <x:c r="J171" s="96" t="n">
        <x:f>(I171-H171)*100</x:f>
        <x:v>0.05077499999999735</x:v>
      </x:c>
      <x:c r="K171" s="54" t="n">
        <x:v>126</x:v>
      </x:c>
      <x:c r="L171" s="54" t="n">
        <x:v>122</x:v>
      </x:c>
      <x:c r="M171" s="54" t="n">
        <x:f>IF(OR(K171="",L171=""),"",L171-K171)</x:f>
        <x:v>-4</x:v>
      </x:c>
      <x:c r="N171" s="54" t="n">
        <x:f>IF(M171="","",ABS(M171))</x:f>
        <x:v>4</x:v>
      </x:c>
    </x:row>
    <x:row r="172">
      <x:c r="A172" s="54" t="n">
        <x:v>2026</x:v>
      </x:c>
      <x:c r="B172" s="54" t="n">
        <x:v>60558</x:v>
      </x:c>
      <x:c r="C172" s="54" t="str">
        <x:v>오태곤</x:v>
      </x:c>
      <x:c r="D172" s="54" t="str">
        <x:v>SSG</x:v>
      </x:c>
      <x:c r="E172" s="54" t="n">
        <x:v>990</x:v>
      </x:c>
      <x:c r="F172" s="108" t="b">
        <x:v>1</x:v>
      </x:c>
      <x:c r="G172" s="111" t="n">
        <x:v>0.50505051</x:v>
      </x:c>
      <x:c r="H172" s="111" t="n">
        <x:v>0.47092343999999997</x:v>
      </x:c>
      <x:c r="I172" s="111" t="n">
        <x:v>0.46868796</x:v>
      </x:c>
      <x:c r="J172" s="96" t="n">
        <x:f>(I172-H172)*100</x:f>
        <x:v>-0.22354799999999564</x:v>
      </x:c>
      <x:c r="K172" s="54" t="n">
        <x:v>11</x:v>
      </x:c>
      <x:c r="L172" s="54" t="n">
        <x:v>14</x:v>
      </x:c>
      <x:c r="M172" s="54" t="n">
        <x:f>IF(OR(K172="",L172=""),"",L172-K172)</x:f>
        <x:v>3</x:v>
      </x:c>
      <x:c r="N172" s="54" t="n">
        <x:f>IF(M172="","",ABS(M172))</x:f>
        <x:v>3</x:v>
      </x:c>
    </x:row>
    <x:row r="173">
      <x:c r="A173" s="54" t="n">
        <x:v>2026</x:v>
      </x:c>
      <x:c r="B173" s="54" t="n">
        <x:v>51996</x:v>
      </x:c>
      <x:c r="C173" s="54" t="str">
        <x:v>오태양</x:v>
      </x:c>
      <x:c r="D173" s="54" t="str">
        <x:v>NC</x:v>
      </x:c>
      <x:c r="E173" s="54" t="n">
        <x:v>73</x:v>
      </x:c>
      <x:c r="F173" s="108" t="b">
        <x:v>0</x:v>
      </x:c>
      <x:c r="G173" s="111" t="n">
        <x:v>0.41095889999999996</x:v>
      </x:c>
      <x:c r="H173" s="111" t="n">
        <x:v>0.41080711000000003</x:v>
      </x:c>
      <x:c r="I173" s="111" t="n">
        <x:v>0.41913598</x:v>
      </x:c>
      <x:c r="J173" s="96" t="n">
        <x:f>(I173-H173)*100</x:f>
        <x:v>0.8328869999999988</x:v>
      </x:c>
      <x:c r="K173" s="54"/>
      <x:c r="L173" s="54"/>
      <x:c r="M173" s="54" t="str">
        <x:f>IF(OR(K173="",L173=""),"",L173-K173)</x:f>
      </x:c>
      <x:c r="N173" s="54" t="str">
        <x:f>IF(M173="","",ABS(M173))</x:f>
      </x:c>
    </x:row>
    <x:row r="174">
      <x:c r="A174" s="54" t="n">
        <x:v>2026</x:v>
      </x:c>
      <x:c r="B174" s="54" t="n">
        <x:v>54307</x:v>
      </x:c>
      <x:c r="C174" s="54" t="str">
        <x:v>원성준</x:v>
      </x:c>
      <x:c r="D174" s="54" t="str">
        <x:v>KIW</x:v>
      </x:c>
      <x:c r="E174" s="54" t="n">
        <x:v>136</x:v>
      </x:c>
      <x:c r="F174" s="108" t="b">
        <x:v>0</x:v>
      </x:c>
      <x:c r="G174" s="111" t="n">
        <x:v>0.46323529</x:v>
      </x:c>
      <x:c r="H174" s="111" t="n">
        <x:v>0.43566273</x:v>
      </x:c>
      <x:c r="I174" s="111" t="n">
        <x:v>0.4366466</x:v>
      </x:c>
      <x:c r="J174" s="96" t="n">
        <x:f>(I174-H174)*100</x:f>
        <x:v>0.09838699999999978</x:v>
      </x:c>
      <x:c r="K174" s="54"/>
      <x:c r="L174" s="54"/>
      <x:c r="M174" s="54" t="str">
        <x:f>IF(OR(K174="",L174=""),"",L174-K174)</x:f>
      </x:c>
      <x:c r="N174" s="54" t="str">
        <x:f>IF(M174="","",ABS(M174))</x:f>
      </x:c>
    </x:row>
    <x:row r="175">
      <x:c r="A175" s="54" t="n">
        <x:v>2026</x:v>
      </x:c>
      <x:c r="B175" s="54" t="n">
        <x:v>61102</x:v>
      </x:c>
      <x:c r="C175" s="54" t="str">
        <x:v>유강남</x:v>
      </x:c>
      <x:c r="D175" s="54" t="str">
        <x:v>LOT</x:v>
      </x:c>
      <x:c r="E175" s="54" t="n">
        <x:v>447</x:v>
      </x:c>
      <x:c r="F175" s="108" t="b">
        <x:v>1</x:v>
      </x:c>
      <x:c r="G175" s="111" t="n">
        <x:v>0.46308725</x:v>
      </x:c>
      <x:c r="H175" s="111" t="n">
        <x:v>0.44946915</x:v>
      </x:c>
      <x:c r="I175" s="111" t="n">
        <x:v>0.4521512</x:v>
      </x:c>
      <x:c r="J175" s="96" t="n">
        <x:f>(I175-H175)*100</x:f>
        <x:v>0.26820499999999914</x:v>
      </x:c>
      <x:c r="K175" s="54" t="n">
        <x:v>75</x:v>
      </x:c>
      <x:c r="L175" s="54" t="n">
        <x:v>67</x:v>
      </x:c>
      <x:c r="M175" s="54" t="n">
        <x:f>IF(OR(K175="",L175=""),"",L175-K175)</x:f>
        <x:v>-8</x:v>
      </x:c>
      <x:c r="N175" s="54" t="n">
        <x:f>IF(M175="","",ABS(M175))</x:f>
        <x:v>8</x:v>
      </x:c>
    </x:row>
    <x:row r="176">
      <x:c r="A176" s="54" t="n">
        <x:v>2026</x:v>
      </x:c>
      <x:c r="B176" s="54" t="n">
        <x:v>52765</x:v>
      </x:c>
      <x:c r="C176" s="54" t="str">
        <x:v>유민</x:v>
      </x:c>
      <x:c r="D176" s="54" t="str">
        <x:v>HAN</x:v>
      </x:c>
      <x:c r="E176" s="54" t="n">
        <x:v>153</x:v>
      </x:c>
      <x:c r="F176" s="108" t="b">
        <x:v>0</x:v>
      </x:c>
      <x:c r="G176" s="111" t="n">
        <x:v>0.52287582</x:v>
      </x:c>
      <x:c r="H176" s="111" t="n">
        <x:v>0.47028219</x:v>
      </x:c>
      <x:c r="I176" s="111" t="n">
        <x:v>0.46545748000000003</x:v>
      </x:c>
      <x:c r="J176" s="96" t="n">
        <x:f>(I176-H176)*100</x:f>
        <x:v>-0.48247099999999543</x:v>
      </x:c>
      <x:c r="K176" s="54"/>
      <x:c r="L176" s="54"/>
      <x:c r="M176" s="54" t="str">
        <x:f>IF(OR(K176="",L176=""),"",L176-K176)</x:f>
      </x:c>
      <x:c r="N176" s="54" t="str">
        <x:f>IF(M176="","",ABS(M176))</x:f>
      </x:c>
    </x:row>
    <x:row r="177">
      <x:c r="A177" s="54" t="n">
        <x:v>2026</x:v>
      </x:c>
      <x:c r="B177" s="54" t="n">
        <x:v>51013</x:v>
      </x:c>
      <x:c r="C177" s="54" t="str">
        <x:v>유준규</x:v>
      </x:c>
      <x:c r="D177" s="54" t="str">
        <x:v>KT</x:v>
      </x:c>
      <x:c r="E177" s="54" t="n">
        <x:v>222</x:v>
      </x:c>
      <x:c r="F177" s="108" t="b">
        <x:v>0</x:v>
      </x:c>
      <x:c r="G177" s="111" t="n">
        <x:v>0.43243243</x:v>
      </x:c>
      <x:c r="H177" s="111" t="n">
        <x:v>0.43558853999999997</x:v>
      </x:c>
      <x:c r="I177" s="111" t="n">
        <x:v>0.44103338000000003</x:v>
      </x:c>
      <x:c r="J177" s="96" t="n">
        <x:f>(I177-H177)*100</x:f>
        <x:v>0.5444840000000062</x:v>
      </x:c>
      <x:c r="K177" s="54"/>
      <x:c r="L177" s="54"/>
      <x:c r="M177" s="54" t="str">
        <x:f>IF(OR(K177="",L177=""),"",L177-K177)</x:f>
      </x:c>
      <x:c r="N177" s="54" t="str">
        <x:f>IF(M177="","",ABS(M177))</x:f>
      </x:c>
    </x:row>
    <x:row r="178">
      <x:c r="A178" s="54" t="n">
        <x:v>2026</x:v>
      </x:c>
      <x:c r="B178" s="54" t="n">
        <x:v>52667</x:v>
      </x:c>
      <x:c r="C178" s="54" t="str">
        <x:v>윤도현</x:v>
      </x:c>
      <x:c r="D178" s="54" t="str">
        <x:v>KIA</x:v>
      </x:c>
      <x:c r="E178" s="54" t="n">
        <x:v>304</x:v>
      </x:c>
      <x:c r="F178" s="108" t="b">
        <x:v>1</x:v>
      </x:c>
      <x:c r="G178" s="111" t="n">
        <x:v>0.59210526</x:v>
      </x:c>
      <x:c r="H178" s="111" t="n">
        <x:v>0.46023097999999996</x:v>
      </x:c>
      <x:c r="I178" s="111" t="n">
        <x:v>0.46578428000000005</x:v>
      </x:c>
      <x:c r="J178" s="96" t="n">
        <x:f>(I178-H178)*100</x:f>
        <x:v>0.5553300000000094</x:v>
      </x:c>
      <x:c r="K178" s="54" t="n">
        <x:v>34</x:v>
      </x:c>
      <x:c r="L178" s="54" t="n">
        <x:v>20</x:v>
      </x:c>
      <x:c r="M178" s="54" t="n">
        <x:f>IF(OR(K178="",L178=""),"",L178-K178)</x:f>
        <x:v>-14</x:v>
      </x:c>
      <x:c r="N178" s="54" t="n">
        <x:f>IF(M178="","",ABS(M178))</x:f>
        <x:v>14</x:v>
      </x:c>
    </x:row>
    <x:row r="179">
      <x:c r="A179" s="54" t="n">
        <x:v>2026</x:v>
      </x:c>
      <x:c r="B179" s="54" t="n">
        <x:v>52591</x:v>
      </x:c>
      <x:c r="C179" s="54" t="str">
        <x:v>윤동희</x:v>
      </x:c>
      <x:c r="D179" s="54" t="str">
        <x:v>LOT</x:v>
      </x:c>
      <x:c r="E179" s="54" t="n">
        <x:v>1136</x:v>
      </x:c>
      <x:c r="F179" s="108" t="b">
        <x:v>1</x:v>
      </x:c>
      <x:c r="G179" s="111" t="n">
        <x:v>0.4278169</x:v>
      </x:c>
      <x:c r="H179" s="111" t="n">
        <x:v>0.47817154</x:v>
      </x:c>
      <x:c r="I179" s="111" t="n">
        <x:v>0.47827385</x:v>
      </x:c>
      <x:c r="J179" s="96" t="n">
        <x:f>(I179-H179)*100</x:f>
        <x:v>0.010230999999999435</x:v>
      </x:c>
      <x:c r="K179" s="54" t="n">
        <x:v>5</x:v>
      </x:c>
      <x:c r="L179" s="54" t="n">
        <x:v>5</x:v>
      </x:c>
      <x:c r="M179" s="54" t="n">
        <x:f>IF(OR(K179="",L179=""),"",L179-K179)</x:f>
        <x:v>0</x:v>
      </x:c>
      <x:c r="N179" s="54" t="str">
        <x:f>IF(M179="","",ABS(M179))</x:f>
      </x:c>
    </x:row>
    <x:row r="180">
      <x:c r="A180" s="54" t="n">
        <x:v>2026</x:v>
      </x:c>
      <x:c r="B180" s="54" t="n">
        <x:v>68463</x:v>
      </x:c>
      <x:c r="C180" s="54" t="str">
        <x:v>윤정빈</x:v>
      </x:c>
      <x:c r="D180" s="54" t="str">
        <x:v>SAM</x:v>
      </x:c>
      <x:c r="E180" s="54" t="n">
        <x:v>14</x:v>
      </x:c>
      <x:c r="F180" s="108" t="b">
        <x:v>0</x:v>
      </x:c>
      <x:c r="G180" s="111" t="n">
        <x:v>0.57142857</x:v>
      </x:c>
      <x:c r="H180" s="111" t="n">
        <x:v>0.52540319</x:v>
      </x:c>
      <x:c r="I180" s="111" t="n">
        <x:v>0.52639976</x:v>
      </x:c>
      <x:c r="J180" s="96" t="n">
        <x:f>(I180-H180)*100</x:f>
        <x:v>0.09965699999999744</x:v>
      </x:c>
      <x:c r="K180" s="54"/>
      <x:c r="L180" s="54"/>
      <x:c r="M180" s="54" t="str">
        <x:f>IF(OR(K180="",L180=""),"",L180-K180)</x:f>
      </x:c>
      <x:c r="N180" s="54" t="str">
        <x:f>IF(M180="","",ABS(M180))</x:f>
      </x:c>
    </x:row>
    <x:row r="181">
      <x:c r="A181" s="54" t="n">
        <x:v>2026</x:v>
      </x:c>
      <x:c r="B181" s="54" t="n">
        <x:v>50092</x:v>
      </x:c>
      <x:c r="C181" s="54" t="str">
        <x:v>윤준혁</x:v>
      </x:c>
      <x:c r="D181" s="54" t="str">
        <x:v>NC</x:v>
      </x:c>
      <x:c r="E181" s="54" t="n">
        <x:v>10</x:v>
      </x:c>
      <x:c r="F181" s="108" t="b">
        <x:v>0</x:v>
      </x:c>
      <x:c r="G181" s="111" t="n">
        <x:v>0.7</x:v>
      </x:c>
      <x:c r="H181" s="111" t="n">
        <x:v>0.51125974</x:v>
      </x:c>
      <x:c r="I181" s="111" t="n">
        <x:v>0.51393411</x:v>
      </x:c>
      <x:c r="J181" s="96" t="n">
        <x:f>(I181-H181)*100</x:f>
        <x:v>0.2674370000000037</x:v>
      </x:c>
      <x:c r="K181" s="54"/>
      <x:c r="L181" s="54"/>
      <x:c r="M181" s="54" t="str">
        <x:f>IF(OR(K181="",L181=""),"",L181-K181)</x:f>
      </x:c>
      <x:c r="N181" s="54" t="str">
        <x:f>IF(M181="","",ABS(M181))</x:f>
      </x:c>
    </x:row>
    <x:row r="182">
      <x:c r="A182" s="54" t="n">
        <x:v>2026</x:v>
      </x:c>
      <x:c r="B182" s="54" t="n">
        <x:v>53296</x:v>
      </x:c>
      <x:c r="C182" s="54" t="str">
        <x:v>윤준호</x:v>
      </x:c>
      <x:c r="D182" s="54" t="str">
        <x:v>DOO</x:v>
      </x:c>
      <x:c r="E182" s="54" t="n">
        <x:v>736</x:v>
      </x:c>
      <x:c r="F182" s="108" t="b">
        <x:v>1</x:v>
      </x:c>
      <x:c r="G182" s="111" t="n">
        <x:v>0.47146739</x:v>
      </x:c>
      <x:c r="H182" s="111" t="n">
        <x:v>0.46487192</x:v>
      </x:c>
      <x:c r="I182" s="111" t="n">
        <x:v>0.46584588</x:v>
      </x:c>
      <x:c r="J182" s="96" t="n">
        <x:f>(I182-H182)*100</x:f>
        <x:v>0.0973959999999996</x:v>
      </x:c>
      <x:c r="K182" s="54" t="n">
        <x:v>17</x:v>
      </x:c>
      <x:c r="L182" s="54" t="n">
        <x:v>19</x:v>
      </x:c>
      <x:c r="M182" s="54" t="n">
        <x:f>IF(OR(K182="",L182=""),"",L182-K182)</x:f>
        <x:v>2</x:v>
      </x:c>
      <x:c r="N182" s="54" t="n">
        <x:f>IF(M182="","",ABS(M182))</x:f>
        <x:v>2</x:v>
      </x:c>
    </x:row>
    <x:row r="183">
      <x:c r="A183" s="54" t="n">
        <x:v>2026</x:v>
      </x:c>
      <x:c r="B183" s="54" t="n">
        <x:v>56006</x:v>
      </x:c>
      <x:c r="C183" s="54" t="str">
        <x:v>이강민</x:v>
      </x:c>
      <x:c r="D183" s="54" t="str">
        <x:v>KT</x:v>
      </x:c>
      <x:c r="E183" s="54" t="n">
        <x:v>616</x:v>
      </x:c>
      <x:c r="F183" s="108" t="b">
        <x:v>1</x:v>
      </x:c>
      <x:c r="G183" s="111" t="n">
        <x:v>0.5</x:v>
      </x:c>
      <x:c r="H183" s="111" t="n">
        <x:v>0.45160798</x:v>
      </x:c>
      <x:c r="I183" s="111" t="n">
        <x:v>0.45669958</x:v>
      </x:c>
      <x:c r="J183" s="96" t="n">
        <x:f>(I183-H183)*100</x:f>
        <x:v>0.5091599999999974</x:v>
      </x:c>
      <x:c r="K183" s="54" t="n">
        <x:v>66</x:v>
      </x:c>
      <x:c r="L183" s="54" t="n">
        <x:v>47</x:v>
      </x:c>
      <x:c r="M183" s="54" t="n">
        <x:f>IF(OR(K183="",L183=""),"",L183-K183)</x:f>
        <x:v>-19</x:v>
      </x:c>
      <x:c r="N183" s="54" t="n">
        <x:f>IF(M183="","",ABS(M183))</x:f>
        <x:v>19</x:v>
      </x:c>
    </x:row>
    <x:row r="184">
      <x:c r="A184" s="54" t="n">
        <x:v>2026</x:v>
      </x:c>
      <x:c r="B184" s="54" t="n">
        <x:v>65703</x:v>
      </x:c>
      <x:c r="C184" s="54" t="str">
        <x:v>이도윤</x:v>
      </x:c>
      <x:c r="D184" s="54" t="str">
        <x:v>HAN</x:v>
      </x:c>
      <x:c r="E184" s="54" t="n">
        <x:v>1285</x:v>
      </x:c>
      <x:c r="F184" s="108" t="b">
        <x:v>1</x:v>
      </x:c>
      <x:c r="G184" s="111" t="n">
        <x:v>0.45758755</x:v>
      </x:c>
      <x:c r="H184" s="111" t="n">
        <x:v>0.43735133</x:v>
      </x:c>
      <x:c r="I184" s="111" t="n">
        <x:v>0.43480750999999995</x:v>
      </x:c>
      <x:c r="J184" s="96" t="n">
        <x:f>(I184-H184)*100</x:f>
        <x:v>-0.254382000000003</x:v>
      </x:c>
      <x:c r="K184" s="54" t="n">
        <x:v>110</x:v>
      </x:c>
      <x:c r="L184" s="54" t="n">
        <x:v>118</x:v>
      </x:c>
      <x:c r="M184" s="54" t="n">
        <x:f>IF(OR(K184="",L184=""),"",L184-K184)</x:f>
        <x:v>8</x:v>
      </x:c>
      <x:c r="N184" s="54" t="n">
        <x:f>IF(M184="","",ABS(M184))</x:f>
        <x:v>8</x:v>
      </x:c>
    </x:row>
    <x:row r="185">
      <x:c r="A185" s="54" t="n">
        <x:v>2026</x:v>
      </x:c>
      <x:c r="B185" s="54" t="n">
        <x:v>56563</x:v>
      </x:c>
      <x:c r="C185" s="54" t="str">
        <x:v>이서준</x:v>
      </x:c>
      <x:c r="D185" s="54" t="str">
        <x:v>LOT</x:v>
      </x:c>
      <x:c r="E185" s="54" t="n">
        <x:v>10</x:v>
      </x:c>
      <x:c r="F185" s="108" t="b">
        <x:v>0</x:v>
      </x:c>
      <x:c r="G185" s="111" t="n">
        <x:v>0.6</x:v>
      </x:c>
      <x:c r="H185" s="111" t="n">
        <x:v>0.47722442</x:v>
      </x:c>
      <x:c r="I185" s="111" t="n">
        <x:v>0.45592778</x:v>
      </x:c>
      <x:c r="J185" s="96" t="n">
        <x:f>(I185-H185)*100</x:f>
        <x:v>-2.129663999999998</x:v>
      </x:c>
      <x:c r="K185" s="54"/>
      <x:c r="L185" s="54"/>
      <x:c r="M185" s="54" t="str">
        <x:f>IF(OR(K185="",L185=""),"",L185-K185)</x:f>
      </x:c>
      <x:c r="N185" s="54" t="str">
        <x:f>IF(M185="","",ABS(M185))</x:f>
      </x:c>
    </x:row>
    <x:row r="186">
      <x:c r="A186" s="54" t="n">
        <x:v>2026</x:v>
      </x:c>
      <x:c r="B186" s="54" t="n">
        <x:v>66409</x:v>
      </x:c>
      <x:c r="C186" s="54" t="str">
        <x:v>이성규</x:v>
      </x:c>
      <x:c r="D186" s="54" t="str">
        <x:v>SAM</x:v>
      </x:c>
      <x:c r="E186" s="54" t="n">
        <x:v>82</x:v>
      </x:c>
      <x:c r="F186" s="108" t="b">
        <x:v>0</x:v>
      </x:c>
      <x:c r="G186" s="111" t="n">
        <x:v>0.46341463</x:v>
      </x:c>
      <x:c r="H186" s="111" t="n">
        <x:v>0.46603665</x:v>
      </x:c>
      <x:c r="I186" s="111" t="n">
        <x:v>0.47621789</x:v>
      </x:c>
      <x:c r="J186" s="96" t="n">
        <x:f>(I186-H186)*100</x:f>
        <x:v>1.018123999999998</x:v>
      </x:c>
      <x:c r="K186" s="54"/>
      <x:c r="L186" s="54"/>
      <x:c r="M186" s="54" t="str">
        <x:f>IF(OR(K186="",L186=""),"",L186-K186)</x:f>
      </x:c>
      <x:c r="N186" s="54" t="str">
        <x:f>IF(M186="","",ABS(M186))</x:f>
      </x:c>
    </x:row>
    <x:row r="187">
      <x:c r="A187" s="54" t="n">
        <x:v>2026</x:v>
      </x:c>
      <x:c r="B187" s="54" t="n">
        <x:v>51100</x:v>
      </x:c>
      <x:c r="C187" s="54" t="str">
        <x:v>이영빈</x:v>
      </x:c>
      <x:c r="D187" s="54" t="str">
        <x:v>LG</x:v>
      </x:c>
      <x:c r="E187" s="54" t="n">
        <x:v>351</x:v>
      </x:c>
      <x:c r="F187" s="108" t="b">
        <x:v>1</x:v>
      </x:c>
      <x:c r="G187" s="111" t="n">
        <x:v>0.49857550000000006</x:v>
      </x:c>
      <x:c r="H187" s="111" t="n">
        <x:v>0.45980254000000004</x:v>
      </x:c>
      <x:c r="I187" s="111" t="n">
        <x:v>0.45481667000000003</x:v>
      </x:c>
      <x:c r="J187" s="96" t="n">
        <x:f>(I187-H187)*100</x:f>
        <x:v>-0.49858700000000034</x:v>
      </x:c>
      <x:c r="K187" s="54" t="n">
        <x:v>37</x:v>
      </x:c>
      <x:c r="L187" s="54" t="n">
        <x:v>59</x:v>
      </x:c>
      <x:c r="M187" s="54" t="n">
        <x:f>IF(OR(K187="",L187=""),"",L187-K187)</x:f>
        <x:v>22</x:v>
      </x:c>
      <x:c r="N187" s="54" t="n">
        <x:f>IF(M187="","",ABS(M187))</x:f>
        <x:v>22</x:v>
      </x:c>
    </x:row>
    <x:row r="188">
      <x:c r="A188" s="54" t="n">
        <x:v>2026</x:v>
      </x:c>
      <x:c r="B188" s="54" t="n">
        <x:v>63260</x:v>
      </x:c>
      <x:c r="C188" s="54" t="str">
        <x:v>이우성</x:v>
      </x:c>
      <x:c r="D188" s="54" t="str">
        <x:v>NC</x:v>
      </x:c>
      <x:c r="E188" s="54" t="n">
        <x:v>1452</x:v>
      </x:c>
      <x:c r="F188" s="108" t="b">
        <x:v>1</x:v>
      </x:c>
      <x:c r="G188" s="111" t="n">
        <x:v>0.43663912000000005</x:v>
      </x:c>
      <x:c r="H188" s="111" t="n">
        <x:v>0.46809396</x:v>
      </x:c>
      <x:c r="I188" s="111" t="n">
        <x:v>0.46854639</x:v>
      </x:c>
      <x:c r="J188" s="96" t="n">
        <x:f>(I188-H188)*100</x:f>
        <x:v>0.045243000000000366</x:v>
      </x:c>
      <x:c r="K188" s="54" t="n">
        <x:v>15</x:v>
      </x:c>
      <x:c r="L188" s="54" t="n">
        <x:v>15</x:v>
      </x:c>
      <x:c r="M188" s="54" t="n">
        <x:f>IF(OR(K188="",L188=""),"",L188-K188)</x:f>
        <x:v>0</x:v>
      </x:c>
      <x:c r="N188" s="54" t="str">
        <x:f>IF(M188="","",ABS(M188))</x:f>
      </x:c>
    </x:row>
    <x:row r="189">
      <x:c r="A189" s="54" t="n">
        <x:v>2026</x:v>
      </x:c>
      <x:c r="B189" s="54" t="n">
        <x:v>68700</x:v>
      </x:c>
      <x:c r="C189" s="54" t="str">
        <x:v>이원석</x:v>
      </x:c>
      <x:c r="D189" s="54" t="str">
        <x:v>HAN</x:v>
      </x:c>
      <x:c r="E189" s="54" t="n">
        <x:v>828</x:v>
      </x:c>
      <x:c r="F189" s="108" t="b">
        <x:v>1</x:v>
      </x:c>
      <x:c r="G189" s="111" t="n">
        <x:v>0.45772947</x:v>
      </x:c>
      <x:c r="H189" s="111" t="n">
        <x:v>0.46010281</x:v>
      </x:c>
      <x:c r="I189" s="111" t="n">
        <x:v>0.45650602</x:v>
      </x:c>
      <x:c r="J189" s="96" t="n">
        <x:f>(I189-H189)*100</x:f>
        <x:v>-0.3596789999999961</x:v>
      </x:c>
      <x:c r="K189" s="54" t="n">
        <x:v>35</x:v>
      </x:c>
      <x:c r="L189" s="54" t="n">
        <x:v>50</x:v>
      </x:c>
      <x:c r="M189" s="54" t="n">
        <x:f>IF(OR(K189="",L189=""),"",L189-K189)</x:f>
        <x:v>15</x:v>
      </x:c>
      <x:c r="N189" s="54" t="n">
        <x:f>IF(M189="","",ABS(M189))</x:f>
        <x:v>15</x:v>
      </x:c>
    </x:row>
    <x:row r="190">
      <x:c r="A190" s="54" t="n">
        <x:v>2026</x:v>
      </x:c>
      <x:c r="B190" s="54" t="n">
        <x:v>67207</x:v>
      </x:c>
      <x:c r="C190" s="54" t="str">
        <x:v>이유찬</x:v>
      </x:c>
      <x:c r="D190" s="54" t="str">
        <x:v>DOO</x:v>
      </x:c>
      <x:c r="E190" s="54" t="n">
        <x:v>502</x:v>
      </x:c>
      <x:c r="F190" s="108" t="b">
        <x:v>1</x:v>
      </x:c>
      <x:c r="G190" s="111" t="n">
        <x:v>0.45816733</x:v>
      </x:c>
      <x:c r="H190" s="111" t="n">
        <x:v>0.46393245</x:v>
      </x:c>
      <x:c r="I190" s="111" t="n">
        <x:v>0.46040304</x:v>
      </x:c>
      <x:c r="J190" s="96" t="n">
        <x:f>(I190-H190)*100</x:f>
        <x:v>-0.35294100000000106</x:v>
      </x:c>
      <x:c r="K190" s="54" t="n">
        <x:v>21</x:v>
      </x:c>
      <x:c r="L190" s="54" t="n">
        <x:v>35</x:v>
      </x:c>
      <x:c r="M190" s="54" t="n">
        <x:f>IF(OR(K190="",L190=""),"",L190-K190)</x:f>
        <x:v>14</x:v>
      </x:c>
      <x:c r="N190" s="54" t="n">
        <x:f>IF(M190="","",ABS(M190))</x:f>
        <x:v>14</x:v>
      </x:c>
    </x:row>
    <x:row r="191">
      <x:c r="A191" s="54" t="n">
        <x:v>2026</x:v>
      </x:c>
      <x:c r="B191" s="54" t="n">
        <x:v>68106</x:v>
      </x:c>
      <x:c r="C191" s="54" t="str">
        <x:v>이재원</x:v>
      </x:c>
      <x:c r="D191" s="54" t="str">
        <x:v>LG</x:v>
      </x:c>
      <x:c r="E191" s="54" t="n">
        <x:v>404</x:v>
      </x:c>
      <x:c r="F191" s="108" t="b">
        <x:v>1</x:v>
      </x:c>
      <x:c r="G191" s="111" t="n">
        <x:v>0.48762376</x:v>
      </x:c>
      <x:c r="H191" s="111" t="n">
        <x:v>0.46171284</x:v>
      </x:c>
      <x:c r="I191" s="111" t="n">
        <x:v>0.45931106</x:v>
      </x:c>
      <x:c r="J191" s="96" t="n">
        <x:f>(I191-H191)*100</x:f>
        <x:v>-0.240178000000002</x:v>
      </x:c>
      <x:c r="K191" s="54" t="n">
        <x:v>25</x:v>
      </x:c>
      <x:c r="L191" s="54" t="n">
        <x:v>39</x:v>
      </x:c>
      <x:c r="M191" s="54" t="n">
        <x:f>IF(OR(K191="",L191=""),"",L191-K191)</x:f>
        <x:v>14</x:v>
      </x:c>
      <x:c r="N191" s="54" t="n">
        <x:f>IF(M191="","",ABS(M191))</x:f>
        <x:v>14</x:v>
      </x:c>
    </x:row>
    <x:row r="192">
      <x:c r="A192" s="54" t="n">
        <x:v>2026</x:v>
      </x:c>
      <x:c r="B192" s="54" t="n">
        <x:v>56005</x:v>
      </x:c>
      <x:c r="C192" s="54" t="str">
        <x:v>이재원</x:v>
      </x:c>
      <x:c r="D192" s="54" t="str">
        <x:v>KT</x:v>
      </x:c>
      <x:c r="E192" s="54" t="n">
        <x:v>21</x:v>
      </x:c>
      <x:c r="F192" s="108" t="b">
        <x:v>0</x:v>
      </x:c>
      <x:c r="G192" s="111" t="n">
        <x:v>0.61904762</x:v>
      </x:c>
      <x:c r="H192" s="111" t="n">
        <x:v>0.44533866000000005</x:v>
      </x:c>
      <x:c r="I192" s="111" t="n">
        <x:v>0.45537383</x:v>
      </x:c>
      <x:c r="J192" s="96" t="n">
        <x:f>(I192-H192)*100</x:f>
        <x:v>1.0035169999999927</x:v>
      </x:c>
      <x:c r="K192" s="54"/>
      <x:c r="L192" s="54"/>
      <x:c r="M192" s="54" t="str">
        <x:f>IF(OR(K192="",L192=""),"",L192-K192)</x:f>
      </x:c>
      <x:c r="N192" s="54" t="str">
        <x:f>IF(M192="","",ABS(M192))</x:f>
      </x:c>
    </x:row>
    <x:row r="193">
      <x:c r="A193" s="54" t="n">
        <x:v>2026</x:v>
      </x:c>
      <x:c r="B193" s="54" t="n">
        <x:v>52415</x:v>
      </x:c>
      <x:c r="C193" s="54" t="str">
        <x:v>이재현</x:v>
      </x:c>
      <x:c r="D193" s="54" t="str">
        <x:v>SAM</x:v>
      </x:c>
      <x:c r="E193" s="54" t="n">
        <x:v>997</x:v>
      </x:c>
      <x:c r="F193" s="108" t="b">
        <x:v>1</x:v>
      </x:c>
      <x:c r="G193" s="111" t="n">
        <x:v>0.37011033</x:v>
      </x:c>
      <x:c r="H193" s="111" t="n">
        <x:v>0.45186405</x:v>
      </x:c>
      <x:c r="I193" s="111" t="n">
        <x:v>0.45604916</x:v>
      </x:c>
      <x:c r="J193" s="96" t="n">
        <x:f>(I193-H193)*100</x:f>
        <x:v>0.4185109999999992</x:v>
      </x:c>
      <x:c r="K193" s="54" t="n">
        <x:v>65</x:v>
      </x:c>
      <x:c r="L193" s="54" t="n">
        <x:v>54</x:v>
      </x:c>
      <x:c r="M193" s="54" t="n">
        <x:f>IF(OR(K193="",L193=""),"",L193-K193)</x:f>
        <x:v>-11</x:v>
      </x:c>
      <x:c r="N193" s="54" t="n">
        <x:f>IF(M193="","",ABS(M193))</x:f>
        <x:v>11</x:v>
      </x:c>
    </x:row>
    <x:row r="194">
      <x:c r="A194" s="54" t="n">
        <x:v>2026</x:v>
      </x:c>
      <x:c r="B194" s="54" t="n">
        <x:v>67807</x:v>
      </x:c>
      <x:c r="C194" s="54" t="str">
        <x:v>이정범</x:v>
      </x:c>
      <x:c r="D194" s="54" t="str">
        <x:v>SSG · KT</x:v>
      </x:c>
      <x:c r="E194" s="54" t="n">
        <x:v>85</x:v>
      </x:c>
      <x:c r="F194" s="108" t="b">
        <x:v>0</x:v>
      </x:c>
      <x:c r="G194" s="111" t="n">
        <x:v>0.48235294</x:v>
      </x:c>
      <x:c r="H194" s="111" t="n">
        <x:v>0.41695740000000003</x:v>
      </x:c>
      <x:c r="I194" s="111" t="n">
        <x:v>0.39483688</x:v>
      </x:c>
      <x:c r="J194" s="96" t="n">
        <x:f>(I194-H194)*100</x:f>
        <x:v>-2.2120520000000035</x:v>
      </x:c>
      <x:c r="K194" s="54"/>
      <x:c r="L194" s="54"/>
      <x:c r="M194" s="54" t="str">
        <x:f>IF(OR(K194="",L194=""),"",L194-K194)</x:f>
      </x:c>
      <x:c r="N194" s="54" t="str">
        <x:f>IF(M194="","",ABS(M194))</x:f>
      </x:c>
    </x:row>
    <x:row r="195">
      <x:c r="A195" s="54" t="n">
        <x:v>2026</x:v>
      </x:c>
      <x:c r="B195" s="54" t="n">
        <x:v>67644</x:v>
      </x:c>
      <x:c r="C195" s="54" t="str">
        <x:v>이정훈</x:v>
      </x:c>
      <x:c r="D195" s="54" t="str">
        <x:v>KT</x:v>
      </x:c>
      <x:c r="E195" s="54" t="n">
        <x:v>302</x:v>
      </x:c>
      <x:c r="F195" s="108" t="b">
        <x:v>1</x:v>
      </x:c>
      <x:c r="G195" s="111" t="n">
        <x:v>0.31788079</x:v>
      </x:c>
      <x:c r="H195" s="111" t="n">
        <x:v>0.41074202</x:v>
      </x:c>
      <x:c r="I195" s="111" t="n">
        <x:v>0.41546996</x:v>
      </x:c>
      <x:c r="J195" s="96" t="n">
        <x:f>(I195-H195)*100</x:f>
        <x:v>0.47279400000000416</x:v>
      </x:c>
      <x:c r="K195" s="54" t="n">
        <x:v>156</x:v>
      </x:c>
      <x:c r="L195" s="54" t="n">
        <x:v>154</x:v>
      </x:c>
      <x:c r="M195" s="54" t="n">
        <x:f>IF(OR(K195="",L195=""),"",L195-K195)</x:f>
        <x:v>-2</x:v>
      </x:c>
      <x:c r="N195" s="54" t="n">
        <x:f>IF(M195="","",ABS(M195))</x:f>
        <x:v>2</x:v>
      </x:c>
    </x:row>
    <x:row r="196">
      <x:c r="A196" s="54" t="n">
        <x:v>2026</x:v>
      </x:c>
      <x:c r="B196" s="54" t="n">
        <x:v>52154</x:v>
      </x:c>
      <x:c r="C196" s="54" t="str">
        <x:v>이주헌</x:v>
      </x:c>
      <x:c r="D196" s="54" t="str">
        <x:v>LG</x:v>
      </x:c>
      <x:c r="E196" s="54" t="n">
        <x:v>440</x:v>
      </x:c>
      <x:c r="F196" s="108" t="b">
        <x:v>1</x:v>
      </x:c>
      <x:c r="G196" s="111" t="n">
        <x:v>0.53636364</x:v>
      </x:c>
      <x:c r="H196" s="111" t="n">
        <x:v>0.47141959</x:v>
      </x:c>
      <x:c r="I196" s="111" t="n">
        <x:v>0.46759863</x:v>
      </x:c>
      <x:c r="J196" s="96" t="n">
        <x:f>(I196-H196)*100</x:f>
        <x:v>-0.38209599999999844</x:v>
      </x:c>
      <x:c r="K196" s="54" t="n">
        <x:v>9</x:v>
      </x:c>
      <x:c r="L196" s="54" t="n">
        <x:v>18</x:v>
      </x:c>
      <x:c r="M196" s="54" t="n">
        <x:f>IF(OR(K196="",L196=""),"",L196-K196)</x:f>
        <x:v>9</x:v>
      </x:c>
      <x:c r="N196" s="54" t="n">
        <x:f>IF(M196="","",ABS(M196))</x:f>
        <x:v>9</x:v>
      </x:c>
    </x:row>
    <x:row r="197">
      <x:c r="A197" s="54" t="n">
        <x:v>2026</x:v>
      </x:c>
      <x:c r="B197" s="54" t="n">
        <x:v>50167</x:v>
      </x:c>
      <x:c r="C197" s="54" t="str">
        <x:v>이주형</x:v>
      </x:c>
      <x:c r="D197" s="54" t="str">
        <x:v>KIW</x:v>
      </x:c>
      <x:c r="E197" s="54" t="n">
        <x:v>382</x:v>
      </x:c>
      <x:c r="F197" s="108" t="b">
        <x:v>1</x:v>
      </x:c>
      <x:c r="G197" s="111" t="n">
        <x:v>0.51308901</x:v>
      </x:c>
      <x:c r="H197" s="111" t="n">
        <x:v>0.46154977</x:v>
      </x:c>
      <x:c r="I197" s="111" t="n">
        <x:v>0.46020003000000004</x:v>
      </x:c>
      <x:c r="J197" s="96" t="n">
        <x:f>(I197-H197)*100</x:f>
        <x:v>-0.13497399999999882</x:v>
      </x:c>
      <x:c r="K197" s="54" t="n">
        <x:v>27</x:v>
      </x:c>
      <x:c r="L197" s="54" t="n">
        <x:v>36</x:v>
      </x:c>
      <x:c r="M197" s="54" t="n">
        <x:f>IF(OR(K197="",L197=""),"",L197-K197)</x:f>
        <x:v>9</x:v>
      </x:c>
      <x:c r="N197" s="54" t="n">
        <x:f>IF(M197="","",ABS(M197))</x:f>
        <x:v>9</x:v>
      </x:c>
    </x:row>
    <x:row r="198">
      <x:c r="A198" s="54" t="n">
        <x:v>2026</x:v>
      </x:c>
      <x:c r="B198" s="54" t="n">
        <x:v>51302</x:v>
      </x:c>
      <x:c r="C198" s="54" t="str">
        <x:v>이주형</x:v>
      </x:c>
      <x:c r="D198" s="54" t="str">
        <x:v>KIW</x:v>
      </x:c>
      <x:c r="E198" s="54" t="n">
        <x:v>16</x:v>
      </x:c>
      <x:c r="F198" s="108" t="b">
        <x:v>0</x:v>
      </x:c>
      <x:c r="G198" s="111" t="n">
        <x:v>0.4375</x:v>
      </x:c>
      <x:c r="H198" s="111" t="n">
        <x:v>0.44911087</x:v>
      </x:c>
      <x:c r="I198" s="111" t="n">
        <x:v>0.44185872000000004</x:v>
      </x:c>
      <x:c r="J198" s="96" t="n">
        <x:f>(I198-H198)*100</x:f>
        <x:v>-0.7252149999999957</x:v>
      </x:c>
      <x:c r="K198" s="54"/>
      <x:c r="L198" s="54"/>
      <x:c r="M198" s="54" t="str">
        <x:f>IF(OR(K198="",L198=""),"",L198-K198)</x:f>
      </x:c>
      <x:c r="N198" s="54" t="str">
        <x:f>IF(M198="","",ABS(M198))</x:f>
      </x:c>
    </x:row>
    <x:row r="199">
      <x:c r="A199" s="54" t="n">
        <x:v>2026</x:v>
      </x:c>
      <x:c r="B199" s="54" t="n">
        <x:v>79456</x:v>
      </x:c>
      <x:c r="C199" s="54" t="str">
        <x:v>이지영</x:v>
      </x:c>
      <x:c r="D199" s="54" t="str">
        <x:v>SSG</x:v>
      </x:c>
      <x:c r="E199" s="54" t="n">
        <x:v>346</x:v>
      </x:c>
      <x:c r="F199" s="108" t="b">
        <x:v>1</x:v>
      </x:c>
      <x:c r="G199" s="111" t="n">
        <x:v>0.47976878999999995</x:v>
      </x:c>
      <x:c r="H199" s="111" t="n">
        <x:v>0.43846438</x:v>
      </x:c>
      <x:c r="I199" s="111" t="n">
        <x:v>0.43860653</x:v>
      </x:c>
      <x:c r="J199" s="96" t="n">
        <x:f>(I199-H199)*100</x:f>
        <x:v>0.014215000000000755</x:v>
      </x:c>
      <x:c r="K199" s="54" t="n">
        <x:v>108</x:v>
      </x:c>
      <x:c r="L199" s="54" t="n">
        <x:v>105</x:v>
      </x:c>
      <x:c r="M199" s="54" t="n">
        <x:f>IF(OR(K199="",L199=""),"",L199-K199)</x:f>
        <x:v>-3</x:v>
      </x:c>
      <x:c r="N199" s="54" t="n">
        <x:f>IF(M199="","",ABS(M199))</x:f>
        <x:v>3</x:v>
      </x:c>
    </x:row>
    <x:row r="200">
      <x:c r="A200" s="54" t="n">
        <x:v>2026</x:v>
      </x:c>
      <x:c r="B200" s="54" t="n">
        <x:v>66657</x:v>
      </x:c>
      <x:c r="C200" s="54" t="str">
        <x:v>이진영</x:v>
      </x:c>
      <x:c r="D200" s="54" t="str">
        <x:v>HAN</x:v>
      </x:c>
      <x:c r="E200" s="54" t="n">
        <x:v>440</x:v>
      </x:c>
      <x:c r="F200" s="108" t="b">
        <x:v>1</x:v>
      </x:c>
      <x:c r="G200" s="111" t="n">
        <x:v>0.41363636</x:v>
      </x:c>
      <x:c r="H200" s="111" t="n">
        <x:v>0.46063906000000004</x:v>
      </x:c>
      <x:c r="I200" s="111" t="n">
        <x:v>0.46248150000000005</x:v>
      </x:c>
      <x:c r="J200" s="96" t="n">
        <x:f>(I200-H200)*100</x:f>
        <x:v>0.18424400000000007</x:v>
      </x:c>
      <x:c r="K200" s="54" t="n">
        <x:v>32</x:v>
      </x:c>
      <x:c r="L200" s="54" t="n">
        <x:v>29</x:v>
      </x:c>
      <x:c r="M200" s="54" t="n">
        <x:f>IF(OR(K200="",L200=""),"",L200-K200)</x:f>
        <x:v>-3</x:v>
      </x:c>
      <x:c r="N200" s="54" t="n">
        <x:f>IF(M200="","",ABS(M200))</x:f>
        <x:v>3</x:v>
      </x:c>
    </x:row>
    <x:row r="201">
      <x:c r="A201" s="54" t="n">
        <x:v>2026</x:v>
      </x:c>
      <x:c r="B201" s="54" t="n">
        <x:v>55417</x:v>
      </x:c>
      <x:c r="C201" s="54" t="str">
        <x:v>이진용</x:v>
      </x:c>
      <x:c r="D201" s="54" t="str">
        <x:v>SAM</x:v>
      </x:c>
      <x:c r="E201" s="54" t="n">
        <x:v>7</x:v>
      </x:c>
      <x:c r="F201" s="108" t="b">
        <x:v>0</x:v>
      </x:c>
      <x:c r="G201" s="111" t="n">
        <x:v>0.42857143000000003</x:v>
      </x:c>
      <x:c r="H201" s="111" t="n">
        <x:v>0.38131347</x:v>
      </x:c>
      <x:c r="I201" s="111" t="n">
        <x:v>0.40888893000000004</x:v>
      </x:c>
      <x:c r="J201" s="96" t="n">
        <x:f>(I201-H201)*100</x:f>
        <x:v>2.757546000000005</x:v>
      </x:c>
      <x:c r="K201" s="54"/>
      <x:c r="L201" s="54"/>
      <x:c r="M201" s="54" t="str">
        <x:f>IF(OR(K201="",L201=""),"",L201-K201)</x:f>
      </x:c>
      <x:c r="N201" s="54" t="str">
        <x:f>IF(M201="","",ABS(M201))</x:f>
      </x:c>
    </x:row>
    <x:row r="202">
      <x:c r="A202" s="54" t="n">
        <x:v>2026</x:v>
      </x:c>
      <x:c r="B202" s="54" t="n">
        <x:v>51407</x:v>
      </x:c>
      <x:c r="C202" s="54" t="str">
        <x:v>이창용</x:v>
      </x:c>
      <x:c r="D202" s="54" t="str">
        <x:v>SAM</x:v>
      </x:c>
      <x:c r="E202" s="54" t="n">
        <x:v>14</x:v>
      </x:c>
      <x:c r="F202" s="108" t="b">
        <x:v>0</x:v>
      </x:c>
      <x:c r="G202" s="111" t="n">
        <x:v>0.7142857100000001</x:v>
      </x:c>
      <x:c r="H202" s="111" t="n">
        <x:v>0.49459704000000004</x:v>
      </x:c>
      <x:c r="I202" s="111" t="n">
        <x:v>0.50087247</x:v>
      </x:c>
      <x:c r="J202" s="96" t="n">
        <x:f>(I202-H202)*100</x:f>
        <x:v>0.6275429999999971</x:v>
      </x:c>
      <x:c r="K202" s="54"/>
      <x:c r="L202" s="54"/>
      <x:c r="M202" s="54" t="str">
        <x:f>IF(OR(K202="",L202=""),"",L202-K202)</x:f>
      </x:c>
      <x:c r="N202" s="54" t="str">
        <x:f>IF(M202="","",ABS(M202))</x:f>
      </x:c>
    </x:row>
    <x:row r="203">
      <x:c r="A203" s="54" t="n">
        <x:v>2026</x:v>
      </x:c>
      <x:c r="B203" s="54" t="n">
        <x:v>64560</x:v>
      </x:c>
      <x:c r="C203" s="54" t="str">
        <x:v>이창진</x:v>
      </x:c>
      <x:c r="D203" s="54" t="str">
        <x:v>KIA</x:v>
      </x:c>
      <x:c r="E203" s="54" t="n">
        <x:v>22</x:v>
      </x:c>
      <x:c r="F203" s="108" t="b">
        <x:v>0</x:v>
      </x:c>
      <x:c r="G203" s="111" t="n">
        <x:v>0.31818182</x:v>
      </x:c>
      <x:c r="H203" s="111" t="n">
        <x:v>0.52788884</x:v>
      </x:c>
      <x:c r="I203" s="111" t="n">
        <x:v>0.53501631</x:v>
      </x:c>
      <x:c r="J203" s="96" t="n">
        <x:f>(I203-H203)*100</x:f>
        <x:v>0.7127470000000025</x:v>
      </x:c>
      <x:c r="K203" s="54"/>
      <x:c r="L203" s="54"/>
      <x:c r="M203" s="54" t="str">
        <x:f>IF(OR(K203="",L203=""),"",L203-K203)</x:f>
      </x:c>
      <x:c r="N203" s="54" t="str">
        <x:f>IF(M203="","",ABS(M203))</x:f>
      </x:c>
    </x:row>
    <x:row r="204">
      <x:c r="A204" s="54" t="n">
        <x:v>2026</x:v>
      </x:c>
      <x:c r="B204" s="54" t="n">
        <x:v>69416</x:v>
      </x:c>
      <x:c r="C204" s="54" t="str">
        <x:v>이해승</x:v>
      </x:c>
      <x:c r="D204" s="54" t="str">
        <x:v>SAM</x:v>
      </x:c>
      <x:c r="E204" s="54" t="n">
        <x:v>76</x:v>
      </x:c>
      <x:c r="F204" s="108" t="b">
        <x:v>0</x:v>
      </x:c>
      <x:c r="G204" s="111" t="n">
        <x:v>0.47368421</x:v>
      </x:c>
      <x:c r="H204" s="111" t="n">
        <x:v>0.45344923000000004</x:v>
      </x:c>
      <x:c r="I204" s="111" t="n">
        <x:v>0.45523328</x:v>
      </x:c>
      <x:c r="J204" s="96" t="n">
        <x:f>(I204-H204)*100</x:f>
        <x:v>0.17840499999999815</x:v>
      </x:c>
      <x:c r="K204" s="54"/>
      <x:c r="L204" s="54"/>
      <x:c r="M204" s="54" t="str">
        <x:f>IF(OR(K204="",L204=""),"",L204-K204)</x:f>
      </x:c>
      <x:c r="N204" s="54" t="str">
        <x:f>IF(M204="","",ABS(M204))</x:f>
      </x:c>
    </x:row>
    <x:row r="205">
      <x:c r="A205" s="54" t="n">
        <x:v>2026</x:v>
      </x:c>
      <x:c r="B205" s="54" t="n">
        <x:v>78135</x:v>
      </x:c>
      <x:c r="C205" s="54" t="str">
        <x:v>이형종</x:v>
      </x:c>
      <x:c r="D205" s="54" t="str">
        <x:v>KIW</x:v>
      </x:c>
      <x:c r="E205" s="54" t="n">
        <x:v>768</x:v>
      </x:c>
      <x:c r="F205" s="108" t="b">
        <x:v>1</x:v>
      </x:c>
      <x:c r="G205" s="111" t="n">
        <x:v>0.45963541999999996</x:v>
      </x:c>
      <x:c r="H205" s="111" t="n">
        <x:v>0.45770999</x:v>
      </x:c>
      <x:c r="I205" s="111" t="n">
        <x:v>0.46053283</x:v>
      </x:c>
      <x:c r="J205" s="96" t="n">
        <x:f>(I205-H205)*100</x:f>
        <x:v>0.2822839999999993</x:v>
      </x:c>
      <x:c r="K205" s="54" t="n">
        <x:v>47</x:v>
      </x:c>
      <x:c r="L205" s="54" t="n">
        <x:v>34</x:v>
      </x:c>
      <x:c r="M205" s="54" t="n">
        <x:f>IF(OR(K205="",L205=""),"",L205-K205)</x:f>
        <x:v>-13</x:v>
      </x:c>
      <x:c r="N205" s="54" t="n">
        <x:f>IF(M205="","",ABS(M205))</x:f>
        <x:v>13</x:v>
      </x:c>
    </x:row>
    <x:row r="206">
      <x:c r="A206" s="54" t="n">
        <x:v>2026</x:v>
      </x:c>
      <x:c r="B206" s="54" t="n">
        <x:v>68504</x:v>
      </x:c>
      <x:c r="C206" s="54" t="str">
        <x:v>이호연</x:v>
      </x:c>
      <x:c r="D206" s="54" t="str">
        <x:v>KIA</x:v>
      </x:c>
      <x:c r="E206" s="54" t="n">
        <x:v>177</x:v>
      </x:c>
      <x:c r="F206" s="108" t="b">
        <x:v>0</x:v>
      </x:c>
      <x:c r="G206" s="111" t="n">
        <x:v>0.46327683999999997</x:v>
      </x:c>
      <x:c r="H206" s="111" t="n">
        <x:v>0.40502499999999997</x:v>
      </x:c>
      <x:c r="I206" s="111" t="n">
        <x:v>0.41239334</x:v>
      </x:c>
      <x:c r="J206" s="96" t="n">
        <x:f>(I206-H206)*100</x:f>
        <x:v>0.7368340000000029</x:v>
      </x:c>
      <x:c r="K206" s="54"/>
      <x:c r="L206" s="54"/>
      <x:c r="M206" s="54" t="str">
        <x:f>IF(OR(K206="",L206=""),"",L206-K206)</x:f>
      </x:c>
      <x:c r="N206" s="54" t="str">
        <x:f>IF(M206="","",ABS(M206))</x:f>
      </x:c>
    </x:row>
    <x:row r="207">
      <x:c r="A207" s="54" t="n">
        <x:v>2026</x:v>
      </x:c>
      <x:c r="B207" s="54" t="n">
        <x:v>54598</x:v>
      </x:c>
      <x:c r="C207" s="54" t="str">
        <x:v>이호준</x:v>
      </x:c>
      <x:c r="D207" s="54" t="str">
        <x:v>LOT</x:v>
      </x:c>
      <x:c r="E207" s="54" t="n">
        <x:v>188</x:v>
      </x:c>
      <x:c r="F207" s="108" t="b">
        <x:v>0</x:v>
      </x:c>
      <x:c r="G207" s="111" t="n">
        <x:v>0.39893617</x:v>
      </x:c>
      <x:c r="H207" s="111" t="n">
        <x:v>0.44910891999999997</x:v>
      </x:c>
      <x:c r="I207" s="111" t="n">
        <x:v>0.45042653</x:v>
      </x:c>
      <x:c r="J207" s="96" t="n">
        <x:f>(I207-H207)*100</x:f>
        <x:v>0.13176100000000246</x:v>
      </x:c>
      <x:c r="K207" s="54"/>
      <x:c r="L207" s="54"/>
      <x:c r="M207" s="54" t="str">
        <x:f>IF(OR(K207="",L207=""),"",L207-K207)</x:f>
      </x:c>
      <x:c r="N207" s="54" t="str">
        <x:f>IF(M207="","",ABS(M207))</x:f>
      </x:c>
    </x:row>
    <x:row r="208">
      <x:c r="A208" s="54" t="n">
        <x:v>2026</x:v>
      </x:c>
      <x:c r="B208" s="54" t="n">
        <x:v>56932</x:v>
      </x:c>
      <x:c r="C208" s="54" t="str">
        <x:v>이희성</x:v>
      </x:c>
      <x:c r="D208" s="54" t="str">
        <x:v>NC</x:v>
      </x:c>
      <x:c r="E208" s="54" t="n">
        <x:v>5</x:v>
      </x:c>
      <x:c r="F208" s="108" t="b">
        <x:v>0</x:v>
      </x:c>
      <x:c r="G208" s="111" t="n">
        <x:v>0.4</x:v>
      </x:c>
      <x:c r="H208" s="111" t="n">
        <x:v>0.24401567</x:v>
      </x:c>
      <x:c r="I208" s="111" t="n">
        <x:v>0.25961362</x:v>
      </x:c>
      <x:c r="J208" s="96" t="n">
        <x:f>(I208-H208)*100</x:f>
        <x:v>1.5597949999999998</x:v>
      </x:c>
      <x:c r="K208" s="54"/>
      <x:c r="L208" s="54"/>
      <x:c r="M208" s="54" t="str">
        <x:f>IF(OR(K208="",L208=""),"",L208-K208)</x:f>
      </x:c>
      <x:c r="N208" s="54" t="str">
        <x:f>IF(M208="","",ABS(M208))</x:f>
      </x:c>
    </x:row>
    <x:row r="209">
      <x:c r="A209" s="54" t="n">
        <x:v>2026</x:v>
      </x:c>
      <x:c r="B209" s="54" t="n">
        <x:v>52807</x:v>
      </x:c>
      <x:c r="C209" s="54" t="str">
        <x:v>임근우</x:v>
      </x:c>
      <x:c r="D209" s="54" t="str">
        <x:v>SSG</x:v>
      </x:c>
      <x:c r="E209" s="54" t="n">
        <x:v>255</x:v>
      </x:c>
      <x:c r="F209" s="108" t="b">
        <x:v>0</x:v>
      </x:c>
      <x:c r="G209" s="111" t="n">
        <x:v>0.48627451</x:v>
      </x:c>
      <x:c r="H209" s="111" t="n">
        <x:v>0.47291691</x:v>
      </x:c>
      <x:c r="I209" s="111" t="n">
        <x:v>0.47473652</x:v>
      </x:c>
      <x:c r="J209" s="96" t="n">
        <x:f>(I209-H209)*100</x:f>
        <x:v>0.18196099999999715</x:v>
      </x:c>
      <x:c r="K209" s="54"/>
      <x:c r="L209" s="54"/>
      <x:c r="M209" s="54" t="str">
        <x:f>IF(OR(K209="",L209=""),"",L209-K209)</x:f>
      </x:c>
      <x:c r="N209" s="54" t="str">
        <x:f>IF(M209="","",ABS(M209))</x:f>
      </x:c>
    </x:row>
    <x:row r="210">
      <x:c r="A210" s="54" t="n">
        <x:v>2026</x:v>
      </x:c>
      <x:c r="B210" s="54" t="n">
        <x:v>64346</x:v>
      </x:c>
      <x:c r="C210" s="54" t="str">
        <x:v>임병욱</x:v>
      </x:c>
      <x:c r="D210" s="54" t="str">
        <x:v>KIW</x:v>
      </x:c>
      <x:c r="E210" s="54" t="n">
        <x:v>971</x:v>
      </x:c>
      <x:c r="F210" s="108" t="b">
        <x:v>1</x:v>
      </x:c>
      <x:c r="G210" s="111" t="n">
        <x:v>0.53347065</x:v>
      </x:c>
      <x:c r="H210" s="111" t="n">
        <x:v>0.43450405000000003</x:v>
      </x:c>
      <x:c r="I210" s="111" t="n">
        <x:v>0.43493729000000003</x:v>
      </x:c>
      <x:c r="J210" s="96" t="n">
        <x:f>(I210-H210)*100</x:f>
        <x:v>0.04332400000000014</x:v>
      </x:c>
      <x:c r="K210" s="54" t="n">
        <x:v>121</x:v>
      </x:c>
      <x:c r="L210" s="54" t="n">
        <x:v>117</x:v>
      </x:c>
      <x:c r="M210" s="54" t="n">
        <x:f>IF(OR(K210="",L210=""),"",L210-K210)</x:f>
        <x:v>-4</x:v>
      </x:c>
      <x:c r="N210" s="54" t="n">
        <x:f>IF(M210="","",ABS(M210))</x:f>
        <x:v>4</x:v>
      </x:c>
    </x:row>
    <x:row r="211">
      <x:c r="A211" s="54" t="n">
        <x:v>2026</x:v>
      </x:c>
      <x:c r="B211" s="54" t="n">
        <x:v>54236</x:v>
      </x:c>
      <x:c r="C211" s="54" t="str">
        <x:v>임종성</x:v>
      </x:c>
      <x:c r="D211" s="54" t="str">
        <x:v>DOO</x:v>
      </x:c>
      <x:c r="E211" s="54" t="n">
        <x:v>84</x:v>
      </x:c>
      <x:c r="F211" s="108" t="b">
        <x:v>0</x:v>
      </x:c>
      <x:c r="G211" s="111" t="n">
        <x:v>0.52380952</x:v>
      </x:c>
      <x:c r="H211" s="111" t="n">
        <x:v>0.48206541999999997</x:v>
      </x:c>
      <x:c r="I211" s="111" t="n">
        <x:v>0.48683382999999997</x:v>
      </x:c>
      <x:c r="J211" s="96" t="n">
        <x:f>(I211-H211)*100</x:f>
        <x:v>0.47684100000000007</x:v>
      </x:c>
      <x:c r="K211" s="54"/>
      <x:c r="L211" s="54"/>
      <x:c r="M211" s="54" t="str">
        <x:f>IF(OR(K211="",L211=""),"",L211-K211)</x:f>
      </x:c>
      <x:c r="N211" s="54" t="str">
        <x:f>IF(M211="","",ABS(M211))</x:f>
      </x:c>
    </x:row>
    <x:row r="212">
      <x:c r="A212" s="54" t="n">
        <x:v>2026</x:v>
      </x:c>
      <x:c r="B212" s="54" t="n">
        <x:v>64340</x:v>
      </x:c>
      <x:c r="C212" s="54" t="str">
        <x:v>임지열</x:v>
      </x:c>
      <x:c r="D212" s="54" t="str">
        <x:v>KIW</x:v>
      </x:c>
      <x:c r="E212" s="54" t="n">
        <x:v>337</x:v>
      </x:c>
      <x:c r="F212" s="108" t="b">
        <x:v>1</x:v>
      </x:c>
      <x:c r="G212" s="111" t="n">
        <x:v>0.42136499</x:v>
      </x:c>
      <x:c r="H212" s="111" t="n">
        <x:v>0.44694273</x:v>
      </x:c>
      <x:c r="I212" s="111" t="n">
        <x:v>0.44612831</x:v>
      </x:c>
      <x:c r="J212" s="96" t="n">
        <x:f>(I212-H212)*100</x:f>
        <x:v>-0.08144200000000379</x:v>
      </x:c>
      <x:c r="K212" s="54" t="n">
        <x:v>80</x:v>
      </x:c>
      <x:c r="L212" s="54" t="n">
        <x:v>87</x:v>
      </x:c>
      <x:c r="M212" s="54" t="n">
        <x:f>IF(OR(K212="",L212=""),"",L212-K212)</x:f>
        <x:v>7</x:v>
      </x:c>
      <x:c r="N212" s="54" t="n">
        <x:f>IF(M212="","",ABS(M212))</x:f>
        <x:v>7</x:v>
      </x:c>
    </x:row>
    <x:row r="213">
      <x:c r="A213" s="54" t="n">
        <x:v>2026</x:v>
      </x:c>
      <x:c r="B213" s="54" t="n">
        <x:v>51762</x:v>
      </x:c>
      <x:c r="C213" s="54" t="str">
        <x:v>장규현</x:v>
      </x:c>
      <x:c r="D213" s="54" t="str">
        <x:v>HAN</x:v>
      </x:c>
      <x:c r="E213" s="54" t="n">
        <x:v>72</x:v>
      </x:c>
      <x:c r="F213" s="108" t="b">
        <x:v>0</x:v>
      </x:c>
      <x:c r="G213" s="111" t="n">
        <x:v>0.43055556</x:v>
      </x:c>
      <x:c r="H213" s="111" t="n">
        <x:v>0.46691678000000003</x:v>
      </x:c>
      <x:c r="I213" s="111" t="n">
        <x:v>0.45703665</x:v>
      </x:c>
      <x:c r="J213" s="96" t="n">
        <x:f>(I213-H213)*100</x:f>
        <x:v>-0.9880130000000042</x:v>
      </x:c>
      <x:c r="K213" s="54"/>
      <x:c r="L213" s="54"/>
      <x:c r="M213" s="54" t="str">
        <x:f>IF(OR(K213="",L213=""),"",L213-K213)</x:f>
      </x:c>
      <x:c r="N213" s="54" t="str">
        <x:f>IF(M213="","",ABS(M213))</x:f>
      </x:c>
    </x:row>
    <x:row r="214">
      <x:c r="A214" s="54" t="n">
        <x:v>2026</x:v>
      </x:c>
      <x:c r="B214" s="54" t="n">
        <x:v>68507</x:v>
      </x:c>
      <x:c r="C214" s="54" t="str">
        <x:v>장두성</x:v>
      </x:c>
      <x:c r="D214" s="54" t="str">
        <x:v>LOT</x:v>
      </x:c>
      <x:c r="E214" s="54" t="n">
        <x:v>661</x:v>
      </x:c>
      <x:c r="F214" s="108" t="b">
        <x:v>1</x:v>
      </x:c>
      <x:c r="G214" s="111" t="n">
        <x:v>0.52193646</x:v>
      </x:c>
      <x:c r="H214" s="111" t="n">
        <x:v>0.43151556</x:v>
      </x:c>
      <x:c r="I214" s="111" t="n">
        <x:v>0.43323467</x:v>
      </x:c>
      <x:c r="J214" s="96" t="n">
        <x:f>(I214-H214)*100</x:f>
        <x:v>0.17191099999999682</x:v>
      </x:c>
      <x:c r="K214" s="54" t="n">
        <x:v>133</x:v>
      </x:c>
      <x:c r="L214" s="54" t="n">
        <x:v>128</x:v>
      </x:c>
      <x:c r="M214" s="54" t="n">
        <x:f>IF(OR(K214="",L214=""),"",L214-K214)</x:f>
        <x:v>-5</x:v>
      </x:c>
      <x:c r="N214" s="54" t="n">
        <x:f>IF(M214="","",ABS(M214))</x:f>
        <x:v>5</x:v>
      </x:c>
    </x:row>
    <x:row r="215">
      <x:c r="A215" s="54" t="n">
        <x:v>2026</x:v>
      </x:c>
      <x:c r="B215" s="54" t="n">
        <x:v>78548</x:v>
      </x:c>
      <x:c r="C215" s="54" t="str">
        <x:v>장성우</x:v>
      </x:c>
      <x:c r="D215" s="54" t="str">
        <x:v>KT</x:v>
      </x:c>
      <x:c r="E215" s="54" t="n">
        <x:v>1008</x:v>
      </x:c>
      <x:c r="F215" s="108" t="b">
        <x:v>1</x:v>
      </x:c>
      <x:c r="G215" s="111" t="n">
        <x:v>0.31746032</x:v>
      </x:c>
      <x:c r="H215" s="111" t="n">
        <x:v>0.46981102999999996</x:v>
      </x:c>
      <x:c r="I215" s="111" t="n">
        <x:v>0.47257162</x:v>
      </x:c>
      <x:c r="J215" s="96" t="n">
        <x:f>(I215-H215)*100</x:f>
        <x:v>0.27605900000000627</x:v>
      </x:c>
      <x:c r="K215" s="54" t="n">
        <x:v>12</x:v>
      </x:c>
      <x:c r="L215" s="54" t="n">
        <x:v>9</x:v>
      </x:c>
      <x:c r="M215" s="54" t="n">
        <x:f>IF(OR(K215="",L215=""),"",L215-K215)</x:f>
        <x:v>-3</x:v>
      </x:c>
      <x:c r="N215" s="54" t="n">
        <x:f>IF(M215="","",ABS(M215))</x:f>
        <x:v>3</x:v>
      </x:c>
    </x:row>
    <x:row r="216">
      <x:c r="A216" s="54" t="n">
        <x:v>2026</x:v>
      </x:c>
      <x:c r="B216" s="54" t="n">
        <x:v>63202</x:v>
      </x:c>
      <x:c r="C216" s="54" t="str">
        <x:v>장승현</x:v>
      </x:c>
      <x:c r="D216" s="54" t="str">
        <x:v>SAM</x:v>
      </x:c>
      <x:c r="E216" s="54" t="n">
        <x:v>128</x:v>
      </x:c>
      <x:c r="F216" s="108" t="b">
        <x:v>0</x:v>
      </x:c>
      <x:c r="G216" s="111" t="n">
        <x:v>0.46875</x:v>
      </x:c>
      <x:c r="H216" s="111" t="n">
        <x:v>0.47906508000000003</x:v>
      </x:c>
      <x:c r="I216" s="111" t="n">
        <x:v>0.48020424</x:v>
      </x:c>
      <x:c r="J216" s="96" t="n">
        <x:f>(I216-H216)*100</x:f>
        <x:v>0.11391599999999724</x:v>
      </x:c>
      <x:c r="K216" s="54"/>
      <x:c r="L216" s="54"/>
      <x:c r="M216" s="54" t="str">
        <x:f>IF(OR(K216="",L216=""),"",L216-K216)</x:f>
      </x:c>
      <x:c r="N216" s="54" t="str">
        <x:f>IF(M216="","",ABS(M216))</x:f>
      </x:c>
    </x:row>
    <x:row r="217">
      <x:c r="A217" s="54" t="n">
        <x:v>2026</x:v>
      </x:c>
      <x:c r="B217" s="54" t="n">
        <x:v>64115</x:v>
      </x:c>
      <x:c r="C217" s="54" t="str">
        <x:v>장준원</x:v>
      </x:c>
      <x:c r="D217" s="54" t="str">
        <x:v>KT</x:v>
      </x:c>
      <x:c r="E217" s="54" t="n">
        <x:v>389</x:v>
      </x:c>
      <x:c r="F217" s="108" t="b">
        <x:v>1</x:v>
      </x:c>
      <x:c r="G217" s="111" t="n">
        <x:v>0.40359896999999995</x:v>
      </x:c>
      <x:c r="H217" s="111" t="n">
        <x:v>0.45826520000000004</x:v>
      </x:c>
      <x:c r="I217" s="111" t="n">
        <x:v>0.45943167</x:v>
      </x:c>
      <x:c r="J217" s="96" t="n">
        <x:f>(I217-H217)*100</x:f>
        <x:v>0.1166469999999975</x:v>
      </x:c>
      <x:c r="K217" s="54" t="n">
        <x:v>44</x:v>
      </x:c>
      <x:c r="L217" s="54" t="n">
        <x:v>38</x:v>
      </x:c>
      <x:c r="M217" s="54" t="n">
        <x:f>IF(OR(K217="",L217=""),"",L217-K217)</x:f>
        <x:v>-6</x:v>
      </x:c>
      <x:c r="N217" s="54" t="n">
        <x:f>IF(M217="","",ABS(M217))</x:f>
        <x:v>6</x:v>
      </x:c>
    </x:row>
    <x:row r="218">
      <x:c r="A218" s="54" t="n">
        <x:v>2026</x:v>
      </x:c>
      <x:c r="B218" s="54" t="n">
        <x:v>66706</x:v>
      </x:c>
      <x:c r="C218" s="54" t="str">
        <x:v>장진혁</x:v>
      </x:c>
      <x:c r="D218" s="54" t="str">
        <x:v>KT</x:v>
      </x:c>
      <x:c r="E218" s="54" t="n">
        <x:v>184</x:v>
      </x:c>
      <x:c r="F218" s="108" t="b">
        <x:v>0</x:v>
      </x:c>
      <x:c r="G218" s="111" t="n">
        <x:v>0.43478261</x:v>
      </x:c>
      <x:c r="H218" s="111" t="n">
        <x:v>0.43395266</x:v>
      </x:c>
      <x:c r="I218" s="111" t="n">
        <x:v>0.437162</x:v>
      </x:c>
      <x:c r="J218" s="96" t="n">
        <x:f>(I218-H218)*100</x:f>
        <x:v>0.3209340000000005</x:v>
      </x:c>
      <x:c r="K218" s="54"/>
      <x:c r="L218" s="54"/>
      <x:c r="M218" s="54" t="str">
        <x:f>IF(OR(K218="",L218=""),"",L218-K218)</x:f>
      </x:c>
      <x:c r="N218" s="54" t="str">
        <x:f>IF(M218="","",ABS(M218))</x:f>
      </x:c>
    </x:row>
    <x:row r="219">
      <x:c r="A219" s="54" t="n">
        <x:v>2026</x:v>
      </x:c>
      <x:c r="B219" s="54" t="n">
        <x:v>54214</x:v>
      </x:c>
      <x:c r="C219" s="54" t="str">
        <x:v>전다민</x:v>
      </x:c>
      <x:c r="D219" s="54" t="str">
        <x:v>DOO</x:v>
      </x:c>
      <x:c r="E219" s="54" t="n">
        <x:v>4</x:v>
      </x:c>
      <x:c r="F219" s="108" t="b">
        <x:v>0</x:v>
      </x:c>
      <x:c r="G219" s="111" t="n">
        <x:v>0.5</x:v>
      </x:c>
      <x:c r="H219" s="111" t="n">
        <x:v>0.6097905699999999</x:v>
      </x:c>
      <x:c r="I219" s="111" t="n">
        <x:v>0.5211823</x:v>
      </x:c>
      <x:c r="J219" s="96" t="n">
        <x:f>(I219-H219)*100</x:f>
        <x:v>-8.860826999999993</x:v>
      </x:c>
      <x:c r="K219" s="54"/>
      <x:c r="L219" s="54"/>
      <x:c r="M219" s="54" t="str">
        <x:f>IF(OR(K219="",L219=""),"",L219-K219)</x:f>
      </x:c>
      <x:c r="N219" s="54" t="str">
        <x:f>IF(M219="","",ABS(M219))</x:f>
      </x:c>
    </x:row>
    <x:row r="220">
      <x:c r="A220" s="54" t="n">
        <x:v>2026</x:v>
      </x:c>
      <x:c r="B220" s="54" t="n">
        <x:v>68205</x:v>
      </x:c>
      <x:c r="C220" s="54" t="str">
        <x:v>전민재</x:v>
      </x:c>
      <x:c r="D220" s="54" t="str">
        <x:v>LOT</x:v>
      </x:c>
      <x:c r="E220" s="54" t="n">
        <x:v>1484</x:v>
      </x:c>
      <x:c r="F220" s="108" t="b">
        <x:v>1</x:v>
      </x:c>
      <x:c r="G220" s="111" t="n">
        <x:v>0.50539084</x:v>
      </x:c>
      <x:c r="H220" s="111" t="n">
        <x:v>0.45727037000000004</x:v>
      </x:c>
      <x:c r="I220" s="111" t="n">
        <x:v>0.45562834</x:v>
      </x:c>
      <x:c r="J220" s="96" t="n">
        <x:f>(I220-H220)*100</x:f>
        <x:v>-0.16420300000000165</x:v>
      </x:c>
      <x:c r="K220" s="54" t="n">
        <x:v>52</x:v>
      </x:c>
      <x:c r="L220" s="54" t="n">
        <x:v>56</x:v>
      </x:c>
      <x:c r="M220" s="54" t="n">
        <x:f>IF(OR(K220="",L220=""),"",L220-K220)</x:f>
        <x:v>4</x:v>
      </x:c>
      <x:c r="N220" s="54" t="n">
        <x:f>IF(M220="","",ABS(M220))</x:f>
        <x:v>4</x:v>
      </x:c>
    </x:row>
    <x:row r="221">
      <x:c r="A221" s="54" t="n">
        <x:v>2026</x:v>
      </x:c>
      <x:c r="B221" s="54" t="n">
        <x:v>65586</x:v>
      </x:c>
      <x:c r="C221" s="54" t="str">
        <x:v>전병우</x:v>
      </x:c>
      <x:c r="D221" s="54" t="str">
        <x:v>SAM</x:v>
      </x:c>
      <x:c r="E221" s="54" t="n">
        <x:v>1401</x:v>
      </x:c>
      <x:c r="F221" s="108" t="b">
        <x:v>1</x:v>
      </x:c>
      <x:c r="G221" s="111" t="n">
        <x:v>0.41113489999999997</x:v>
      </x:c>
      <x:c r="H221" s="111" t="n">
        <x:v>0.44634804</x:v>
      </x:c>
      <x:c r="I221" s="111" t="n">
        <x:v>0.4518828</x:v>
      </x:c>
      <x:c r="J221" s="96" t="n">
        <x:f>(I221-H221)*100</x:f>
        <x:v>0.5534759999999972</x:v>
      </x:c>
      <x:c r="K221" s="54" t="n">
        <x:v>83</x:v>
      </x:c>
      <x:c r="L221" s="54" t="n">
        <x:v>69</x:v>
      </x:c>
      <x:c r="M221" s="54" t="n">
        <x:f>IF(OR(K221="",L221=""),"",L221-K221)</x:f>
        <x:v>-14</x:v>
      </x:c>
      <x:c r="N221" s="54" t="n">
        <x:f>IF(M221="","",ABS(M221))</x:f>
        <x:v>14</x:v>
      </x:c>
    </x:row>
    <x:row r="222">
      <x:c r="A222" s="54" t="n">
        <x:v>2026</x:v>
      </x:c>
      <x:c r="B222" s="54" t="n">
        <x:v>50820</x:v>
      </x:c>
      <x:c r="C222" s="54" t="str">
        <x:v>전의산</x:v>
      </x:c>
      <x:c r="D222" s="54" t="str">
        <x:v>SSG</x:v>
      </x:c>
      <x:c r="E222" s="54" t="n">
        <x:v>1072</x:v>
      </x:c>
      <x:c r="F222" s="108" t="b">
        <x:v>1</x:v>
      </x:c>
      <x:c r="G222" s="111" t="n">
        <x:v>0.44216417999999996</x:v>
      </x:c>
      <x:c r="H222" s="111" t="n">
        <x:v>0.45948886</x:v>
      </x:c>
      <x:c r="I222" s="111" t="n">
        <x:v>0.45733820000000003</x:v>
      </x:c>
      <x:c r="J222" s="96" t="n">
        <x:f>(I222-H222)*100</x:f>
        <x:v>-0.2150659999999971</x:v>
      </x:c>
      <x:c r="K222" s="54" t="n">
        <x:v>40</x:v>
      </x:c>
      <x:c r="L222" s="54" t="n">
        <x:v>46</x:v>
      </x:c>
      <x:c r="M222" s="54" t="n">
        <x:f>IF(OR(K222="",L222=""),"",L222-K222)</x:f>
        <x:v>6</x:v>
      </x:c>
      <x:c r="N222" s="54" t="n">
        <x:f>IF(M222="","",ABS(M222))</x:f>
        <x:v>6</x:v>
      </x:c>
    </x:row>
    <x:row r="223">
      <x:c r="A223" s="54" t="n">
        <x:v>2026</x:v>
      </x:c>
      <x:c r="B223" s="54" t="n">
        <x:v>78513</x:v>
      </x:c>
      <x:c r="C223" s="54" t="str">
        <x:v>전준우</x:v>
      </x:c>
      <x:c r="D223" s="54" t="str">
        <x:v>LOT</x:v>
      </x:c>
      <x:c r="E223" s="54" t="n">
        <x:v>740</x:v>
      </x:c>
      <x:c r="F223" s="108" t="b">
        <x:v>1</x:v>
      </x:c>
      <x:c r="G223" s="111" t="n">
        <x:v>0.48648649</x:v>
      </x:c>
      <x:c r="H223" s="111" t="n">
        <x:v>0.45607813</x:v>
      </x:c>
      <x:c r="I223" s="111" t="n">
        <x:v>0.45443928</x:v>
      </x:c>
      <x:c r="J223" s="96" t="n">
        <x:f>(I223-H223)*100</x:f>
        <x:v>-0.1638850000000025</x:v>
      </x:c>
      <x:c r="K223" s="54" t="n">
        <x:v>56</x:v>
      </x:c>
      <x:c r="L223" s="54" t="n">
        <x:v>60</x:v>
      </x:c>
      <x:c r="M223" s="54" t="n">
        <x:f>IF(OR(K223="",L223=""),"",L223-K223)</x:f>
        <x:v>4</x:v>
      </x:c>
      <x:c r="N223" s="54" t="n">
        <x:f>IF(M223="","",ABS(M223))</x:f>
        <x:v>4</x:v>
      </x:c>
    </x:row>
    <x:row r="224">
      <x:c r="A224" s="54" t="n">
        <x:v>2026</x:v>
      </x:c>
      <x:c r="B224" s="54" t="n">
        <x:v>55397</x:v>
      </x:c>
      <x:c r="C224" s="54" t="str">
        <x:v>전태현</x:v>
      </x:c>
      <x:c r="D224" s="54" t="str">
        <x:v>KIW</x:v>
      </x:c>
      <x:c r="E224" s="54" t="n">
        <x:v>66</x:v>
      </x:c>
      <x:c r="F224" s="108" t="b">
        <x:v>0</x:v>
      </x:c>
      <x:c r="G224" s="111" t="n">
        <x:v>0.5</x:v>
      </x:c>
      <x:c r="H224" s="111" t="n">
        <x:v>0.50837906</x:v>
      </x:c>
      <x:c r="I224" s="111" t="n">
        <x:v>0.5000890100000001</x:v>
      </x:c>
      <x:c r="J224" s="96" t="n">
        <x:f>(I224-H224)*100</x:f>
        <x:v>-0.8290049999999938</x:v>
      </x:c>
      <x:c r="K224" s="54"/>
      <x:c r="L224" s="54"/>
      <x:c r="M224" s="54" t="str">
        <x:f>IF(OR(K224="",L224=""),"",L224-K224)</x:f>
      </x:c>
      <x:c r="N224" s="54" t="str">
        <x:f>IF(M224="","",ABS(M224))</x:f>
      </x:c>
    </x:row>
    <x:row r="225">
      <x:c r="A225" s="54" t="n">
        <x:v>2026</x:v>
      </x:c>
      <x:c r="B225" s="54" t="n">
        <x:v>53568</x:v>
      </x:c>
      <x:c r="C225" s="54" t="str">
        <x:v>정대선</x:v>
      </x:c>
      <x:c r="D225" s="54" t="str">
        <x:v>LOT</x:v>
      </x:c>
      <x:c r="E225" s="54" t="n">
        <x:v>12</x:v>
      </x:c>
      <x:c r="F225" s="108" t="b">
        <x:v>0</x:v>
      </x:c>
      <x:c r="G225" s="111" t="n">
        <x:v>0.5</x:v>
      </x:c>
      <x:c r="H225" s="111" t="n">
        <x:v>0.41096338000000004</x:v>
      </x:c>
      <x:c r="I225" s="111" t="n">
        <x:v>0.42063094999999995</x:v>
      </x:c>
      <x:c r="J225" s="96" t="n">
        <x:f>(I225-H225)*100</x:f>
        <x:v>0.9667569999999903</x:v>
      </x:c>
      <x:c r="K225" s="54"/>
      <x:c r="L225" s="54"/>
      <x:c r="M225" s="54" t="str">
        <x:f>IF(OR(K225="",L225=""),"",L225-K225)</x:f>
      </x:c>
      <x:c r="N225" s="54" t="str">
        <x:f>IF(M225="","",ABS(M225))</x:f>
      </x:c>
    </x:row>
    <x:row r="226">
      <x:c r="A226" s="54" t="n">
        <x:v>2026</x:v>
      </x:c>
      <x:c r="B226" s="54" t="n">
        <x:v>51764</x:v>
      </x:c>
      <x:c r="C226" s="54" t="str">
        <x:v>정민규</x:v>
      </x:c>
      <x:c r="D226" s="54" t="str">
        <x:v>HAN</x:v>
      </x:c>
      <x:c r="E226" s="54" t="n">
        <x:v>9</x:v>
      </x:c>
      <x:c r="F226" s="108" t="b">
        <x:v>0</x:v>
      </x:c>
      <x:c r="G226" s="111" t="n">
        <x:v>0.5555555600000001</x:v>
      </x:c>
      <x:c r="H226" s="111" t="n">
        <x:v>0.38074567000000004</x:v>
      </x:c>
      <x:c r="I226" s="111" t="n">
        <x:v>0.39746527</x:v>
      </x:c>
      <x:c r="J226" s="96" t="n">
        <x:f>(I226-H226)*100</x:f>
        <x:v>1.6719599999999946</x:v>
      </x:c>
      <x:c r="K226" s="54"/>
      <x:c r="L226" s="54"/>
      <x:c r="M226" s="54" t="str">
        <x:f>IF(OR(K226="",L226=""),"",L226-K226)</x:f>
      </x:c>
      <x:c r="N226" s="54" t="str">
        <x:f>IF(M226="","",ABS(M226))</x:f>
      </x:c>
    </x:row>
    <x:row r="227">
      <x:c r="A227" s="54" t="n">
        <x:v>2026</x:v>
      </x:c>
      <x:c r="B227" s="54" t="n">
        <x:v>68518</x:v>
      </x:c>
      <x:c r="C227" s="54" t="str">
        <x:v>정보근</x:v>
      </x:c>
      <x:c r="D227" s="54" t="str">
        <x:v>LOT</x:v>
      </x:c>
      <x:c r="E227" s="54" t="n">
        <x:v>17</x:v>
      </x:c>
      <x:c r="F227" s="108" t="b">
        <x:v>0</x:v>
      </x:c>
      <x:c r="G227" s="111" t="n">
        <x:v>0.70588235</x:v>
      </x:c>
      <x:c r="H227" s="111" t="n">
        <x:v>0.5767135600000001</x:v>
      </x:c>
      <x:c r="I227" s="111" t="n">
        <x:v>0.5823765399999999</x:v>
      </x:c>
      <x:c r="J227" s="96" t="n">
        <x:f>(I227-H227)*100</x:f>
        <x:v>0.5662979999999873</x:v>
      </x:c>
      <x:c r="K227" s="54"/>
      <x:c r="L227" s="54"/>
      <x:c r="M227" s="54" t="str">
        <x:f>IF(OR(K227="",L227=""),"",L227-K227)</x:f>
      </x:c>
      <x:c r="N227" s="54" t="str">
        <x:f>IF(M227="","",ABS(M227))</x:f>
      </x:c>
    </x:row>
    <x:row r="228">
      <x:c r="A228" s="54" t="n">
        <x:v>2026</x:v>
      </x:c>
      <x:c r="B228" s="54" t="n">
        <x:v>79231</x:v>
      </x:c>
      <x:c r="C228" s="54" t="str">
        <x:v>정수빈</x:v>
      </x:c>
      <x:c r="D228" s="54" t="str">
        <x:v>DOO</x:v>
      </x:c>
      <x:c r="E228" s="54" t="n">
        <x:v>1781</x:v>
      </x:c>
      <x:c r="F228" s="108" t="b">
        <x:v>1</x:v>
      </x:c>
      <x:c r="G228" s="111" t="n">
        <x:v>0.42560359</x:v>
      </x:c>
      <x:c r="H228" s="111" t="n">
        <x:v>0.42753348</x:v>
      </x:c>
      <x:c r="I228" s="111" t="n">
        <x:v>0.42702984</x:v>
      </x:c>
      <x:c r="J228" s="96" t="n">
        <x:f>(I228-H228)*100</x:f>
        <x:v>-0.05036400000000274</x:v>
      </x:c>
      <x:c r="K228" s="54" t="n">
        <x:v>143</x:v>
      </x:c>
      <x:c r="L228" s="54" t="n">
        <x:v>141</x:v>
      </x:c>
      <x:c r="M228" s="54" t="n">
        <x:f>IF(OR(K228="",L228=""),"",L228-K228)</x:f>
        <x:v>-2</x:v>
      </x:c>
      <x:c r="N228" s="54" t="n">
        <x:f>IF(M228="","",ABS(M228))</x:f>
        <x:v>2</x:v>
      </x:c>
    </x:row>
    <x:row r="229">
      <x:c r="A229" s="54" t="n">
        <x:v>2026</x:v>
      </x:c>
      <x:c r="B229" s="54" t="n">
        <x:v>68743</x:v>
      </x:c>
      <x:c r="C229" s="54" t="str">
        <x:v>정은원</x:v>
      </x:c>
      <x:c r="D229" s="54" t="str">
        <x:v>HAN</x:v>
      </x:c>
      <x:c r="E229" s="54" t="n">
        <x:v>62</x:v>
      </x:c>
      <x:c r="F229" s="108" t="b">
        <x:v>0</x:v>
      </x:c>
      <x:c r="G229" s="111" t="n">
        <x:v>0.37096774000000005</x:v>
      </x:c>
      <x:c r="H229" s="111" t="n">
        <x:v>0.42801755999999996</x:v>
      </x:c>
      <x:c r="I229" s="111" t="n">
        <x:v>0.43951189999999996</x:v>
      </x:c>
      <x:c r="J229" s="96" t="n">
        <x:f>(I229-H229)*100</x:f>
        <x:v>1.1494339999999992</x:v>
      </x:c>
      <x:c r="K229" s="54"/>
      <x:c r="L229" s="54"/>
      <x:c r="M229" s="54" t="str">
        <x:f>IF(OR(K229="",L229=""),"",L229-K229)</x:f>
      </x:c>
      <x:c r="N229" s="54" t="str">
        <x:f>IF(M229="","",ABS(M229))</x:f>
      </x:c>
    </x:row>
    <x:row r="230">
      <x:c r="A230" s="54" t="n">
        <x:v>2026</x:v>
      </x:c>
      <x:c r="B230" s="54" t="n">
        <x:v>54812</x:v>
      </x:c>
      <x:c r="C230" s="54" t="str">
        <x:v>정준재</x:v>
      </x:c>
      <x:c r="D230" s="54" t="str">
        <x:v>SSG</x:v>
      </x:c>
      <x:c r="E230" s="54" t="n">
        <x:v>1992</x:v>
      </x:c>
      <x:c r="F230" s="108" t="b">
        <x:v>1</x:v>
      </x:c>
      <x:c r="G230" s="111" t="n">
        <x:v>0.40662650999999994</x:v>
      </x:c>
      <x:c r="H230" s="111" t="n">
        <x:v>0.43808438000000005</x:v>
      </x:c>
      <x:c r="I230" s="111" t="n">
        <x:v>0.43786963</x:v>
      </x:c>
      <x:c r="J230" s="96" t="n">
        <x:f>(I230-H230)*100</x:f>
        <x:v>-0.02147500000000413</x:v>
      </x:c>
      <x:c r="K230" s="54" t="n">
        <x:v>109</x:v>
      </x:c>
      <x:c r="L230" s="54" t="n">
        <x:v>106</x:v>
      </x:c>
      <x:c r="M230" s="54" t="n">
        <x:f>IF(OR(K230="",L230=""),"",L230-K230)</x:f>
        <x:v>-3</x:v>
      </x:c>
      <x:c r="N230" s="54" t="n">
        <x:f>IF(M230="","",ABS(M230))</x:f>
        <x:v>3</x:v>
      </x:c>
    </x:row>
    <x:row r="231">
      <x:c r="A231" s="54" t="n">
        <x:v>2026</x:v>
      </x:c>
      <x:c r="B231" s="54" t="n">
        <x:v>55926</x:v>
      </x:c>
      <x:c r="C231" s="54" t="str">
        <x:v>정현창</x:v>
      </x:c>
      <x:c r="D231" s="54" t="str">
        <x:v>KIA</x:v>
      </x:c>
      <x:c r="E231" s="54" t="n">
        <x:v>327</x:v>
      </x:c>
      <x:c r="F231" s="108" t="b">
        <x:v>1</x:v>
      </x:c>
      <x:c r="G231" s="111" t="n">
        <x:v>0.46788991</x:v>
      </x:c>
      <x:c r="H231" s="111" t="n">
        <x:v>0.43664918999999996</x:v>
      </x:c>
      <x:c r="I231" s="111" t="n">
        <x:v>0.43524499</x:v>
      </x:c>
      <x:c r="J231" s="96" t="n">
        <x:f>(I231-H231)*100</x:f>
        <x:v>-0.14041999999999666</x:v>
      </x:c>
      <x:c r="K231" s="54" t="n">
        <x:v>113</x:v>
      </x:c>
      <x:c r="L231" s="54" t="n">
        <x:v>114</x:v>
      </x:c>
      <x:c r="M231" s="54" t="n">
        <x:f>IF(OR(K231="",L231=""),"",L231-K231)</x:f>
        <x:v>1</x:v>
      </x:c>
      <x:c r="N231" s="54" t="n">
        <x:f>IF(M231="","",ABS(M231))</x:f>
        <x:v>1</x:v>
      </x:c>
    </x:row>
    <x:row r="232">
      <x:c r="A232" s="54" t="n">
        <x:v>2026</x:v>
      </x:c>
      <x:c r="B232" s="54" t="n">
        <x:v>68089</x:v>
      </x:c>
      <x:c r="C232" s="54" t="str">
        <x:v>조대현</x:v>
      </x:c>
      <x:c r="D232" s="54" t="str">
        <x:v>KT</x:v>
      </x:c>
      <x:c r="E232" s="54" t="n">
        <x:v>168</x:v>
      </x:c>
      <x:c r="F232" s="108" t="b">
        <x:v>0</x:v>
      </x:c>
      <x:c r="G232" s="111" t="n">
        <x:v>0.54761905</x:v>
      </x:c>
      <x:c r="H232" s="111" t="n">
        <x:v>0.4917181</x:v>
      </x:c>
      <x:c r="I232" s="111" t="n">
        <x:v>0.49331404999999995</x:v>
      </x:c>
      <x:c r="J232" s="96" t="n">
        <x:f>(I232-H232)*100</x:f>
        <x:v>0.1595949999999957</x:v>
      </x:c>
      <x:c r="K232" s="54"/>
      <x:c r="L232" s="54"/>
      <x:c r="M232" s="54" t="str">
        <x:f>IF(OR(K232="",L232=""),"",L232-K232)</x:f>
      </x:c>
      <x:c r="N232" s="54" t="str">
        <x:f>IF(M232="","",ABS(M232))</x:f>
      </x:c>
    </x:row>
    <x:row r="233">
      <x:c r="A233" s="54" t="n">
        <x:v>2026</x:v>
      </x:c>
      <x:c r="B233" s="54" t="n">
        <x:v>55534</x:v>
      </x:c>
      <x:c r="C233" s="54" t="str">
        <x:v>조민영</x:v>
      </x:c>
      <x:c r="D233" s="54" t="str">
        <x:v>LOT</x:v>
      </x:c>
      <x:c r="E233" s="54" t="n">
        <x:v>11</x:v>
      </x:c>
      <x:c r="F233" s="108" t="b">
        <x:v>0</x:v>
      </x:c>
      <x:c r="G233" s="111" t="n">
        <x:v>0.63636364</x:v>
      </x:c>
      <x:c r="H233" s="111" t="n">
        <x:v>0.3766581</x:v>
      </x:c>
      <x:c r="I233" s="111" t="n">
        <x:v>0.36362447000000003</x:v>
      </x:c>
      <x:c r="J233" s="96" t="n">
        <x:f>(I233-H233)*100</x:f>
        <x:v>-1.3033629999999963</x:v>
      </x:c>
      <x:c r="K233" s="54"/>
      <x:c r="L233" s="54"/>
      <x:c r="M233" s="54" t="str">
        <x:f>IF(OR(K233="",L233=""),"",L233-K233)</x:f>
      </x:c>
      <x:c r="N233" s="54" t="str">
        <x:f>IF(M233="","",ABS(M233))</x:f>
      </x:c>
    </x:row>
    <x:row r="234">
      <x:c r="A234" s="54" t="n">
        <x:v>2026</x:v>
      </x:c>
      <x:c r="B234" s="54" t="n">
        <x:v>52516</x:v>
      </x:c>
      <x:c r="C234" s="54" t="str">
        <x:v>조세진</x:v>
      </x:c>
      <x:c r="D234" s="54" t="str">
        <x:v>LOT</x:v>
      </x:c>
      <x:c r="E234" s="54" t="n">
        <x:v>102</x:v>
      </x:c>
      <x:c r="F234" s="108" t="b">
        <x:v>0</x:v>
      </x:c>
      <x:c r="G234" s="111" t="n">
        <x:v>0.5</x:v>
      </x:c>
      <x:c r="H234" s="111" t="n">
        <x:v>0.43211095</x:v>
      </x:c>
      <x:c r="I234" s="111" t="n">
        <x:v>0.43435186000000003</x:v>
      </x:c>
      <x:c r="J234" s="96" t="n">
        <x:f>(I234-H234)*100</x:f>
        <x:v>0.22409100000000404</x:v>
      </x:c>
      <x:c r="K234" s="54"/>
      <x:c r="L234" s="54"/>
      <x:c r="M234" s="54" t="str">
        <x:f>IF(OR(K234="",L234=""),"",L234-K234)</x:f>
      </x:c>
      <x:c r="N234" s="54" t="str">
        <x:f>IF(M234="","",ABS(M234))</x:f>
      </x:c>
    </x:row>
    <x:row r="235">
      <x:c r="A235" s="54" t="n">
        <x:v>2026</x:v>
      </x:c>
      <x:c r="B235" s="54" t="n">
        <x:v>66209</x:v>
      </x:c>
      <x:c r="C235" s="54" t="str">
        <x:v>조수행</x:v>
      </x:c>
      <x:c r="D235" s="54" t="str">
        <x:v>DOO</x:v>
      </x:c>
      <x:c r="E235" s="54" t="n">
        <x:v>613</x:v>
      </x:c>
      <x:c r="F235" s="108" t="b">
        <x:v>1</x:v>
      </x:c>
      <x:c r="G235" s="111" t="n">
        <x:v>0.36541598999999997</x:v>
      </x:c>
      <x:c r="H235" s="111" t="n">
        <x:v>0.42835097</x:v>
      </x:c>
      <x:c r="I235" s="111" t="n">
        <x:v>0.42835164</x:v>
      </x:c>
      <x:c r="J235" s="96" t="n">
        <x:f>(I235-H235)*100</x:f>
        <x:v>0.00006699999999804085</x:v>
      </x:c>
      <x:c r="K235" s="54" t="n">
        <x:v>141</x:v>
      </x:c>
      <x:c r="L235" s="54" t="n">
        <x:v>139</x:v>
      </x:c>
      <x:c r="M235" s="54" t="n">
        <x:f>IF(OR(K235="",L235=""),"",L235-K235)</x:f>
        <x:v>-2</x:v>
      </x:c>
      <x:c r="N235" s="54" t="n">
        <x:f>IF(M235="","",ABS(M235))</x:f>
        <x:v>2</x:v>
      </x:c>
    </x:row>
    <x:row r="236">
      <x:c r="A236" s="54" t="n">
        <x:v>2026</x:v>
      </x:c>
      <x:c r="B236" s="54" t="n">
        <x:v>51865</x:v>
      </x:c>
      <x:c r="C236" s="54" t="str">
        <x:v>조형우</x:v>
      </x:c>
      <x:c r="D236" s="54" t="str">
        <x:v>SSG</x:v>
      </x:c>
      <x:c r="E236" s="54" t="n">
        <x:v>1193</x:v>
      </x:c>
      <x:c r="F236" s="108" t="b">
        <x:v>1</x:v>
      </x:c>
      <x:c r="G236" s="111" t="n">
        <x:v>0.52137469</x:v>
      </x:c>
      <x:c r="H236" s="111" t="n">
        <x:v>0.46124560000000003</x:v>
      </x:c>
      <x:c r="I236" s="111" t="n">
        <x:v>0.46230735</x:v>
      </x:c>
      <x:c r="J236" s="96" t="n">
        <x:f>(I236-H236)*100</x:f>
        <x:v>0.10617499999999724</x:v>
      </x:c>
      <x:c r="K236" s="54" t="n">
        <x:v>30</x:v>
      </x:c>
      <x:c r="L236" s="54" t="n">
        <x:v>30</x:v>
      </x:c>
      <x:c r="M236" s="54" t="n">
        <x:f>IF(OR(K236="",L236=""),"",L236-K236)</x:f>
        <x:v>0</x:v>
      </x:c>
      <x:c r="N236" s="54" t="str">
        <x:f>IF(M236="","",ABS(M236))</x:f>
      </x:c>
    </x:row>
    <x:row r="237">
      <x:c r="A237" s="54" t="n">
        <x:v>2026</x:v>
      </x:c>
      <x:c r="B237" s="54" t="n">
        <x:v>69332</x:v>
      </x:c>
      <x:c r="C237" s="54" t="str">
        <x:v>주성원</x:v>
      </x:c>
      <x:c r="D237" s="54" t="str">
        <x:v>KIW</x:v>
      </x:c>
      <x:c r="E237" s="54" t="n">
        <x:v>73</x:v>
      </x:c>
      <x:c r="F237" s="108" t="b">
        <x:v>0</x:v>
      </x:c>
      <x:c r="G237" s="111" t="n">
        <x:v>0.43835616</x:v>
      </x:c>
      <x:c r="H237" s="111" t="n">
        <x:v>0.41889188</x:v>
      </x:c>
      <x:c r="I237" s="111" t="n">
        <x:v>0.41546076</x:v>
      </x:c>
      <x:c r="J237" s="96" t="n">
        <x:f>(I237-H237)*100</x:f>
        <x:v>-0.34311200000000097</x:v>
      </x:c>
      <x:c r="K237" s="54"/>
      <x:c r="L237" s="54"/>
      <x:c r="M237" s="54" t="str">
        <x:f>IF(OR(K237="",L237=""),"",L237-K237)</x:f>
      </x:c>
      <x:c r="N237" s="54" t="str">
        <x:f>IF(M237="","",ABS(M237))</x:f>
      </x:c>
    </x:row>
    <x:row r="238">
      <x:c r="A238" s="54" t="n">
        <x:v>2026</x:v>
      </x:c>
      <x:c r="B238" s="54" t="n">
        <x:v>66354</x:v>
      </x:c>
      <x:c r="C238" s="54" t="str">
        <x:v>주효상</x:v>
      </x:c>
      <x:c r="D238" s="54" t="str">
        <x:v>KIA</x:v>
      </x:c>
      <x:c r="E238" s="54" t="n">
        <x:v>75</x:v>
      </x:c>
      <x:c r="F238" s="108" t="b">
        <x:v>0</x:v>
      </x:c>
      <x:c r="G238" s="111" t="n">
        <x:v>0.41333333000000005</x:v>
      </x:c>
      <x:c r="H238" s="111" t="n">
        <x:v>0.49891342</x:v>
      </x:c>
      <x:c r="I238" s="111" t="n">
        <x:v>0.50488047</x:v>
      </x:c>
      <x:c r="J238" s="96" t="n">
        <x:f>(I238-H238)*100</x:f>
        <x:v>0.5967050000000029</x:v>
      </x:c>
      <x:c r="K238" s="54"/>
      <x:c r="L238" s="54"/>
      <x:c r="M238" s="54" t="str">
        <x:f>IF(OR(K238="",L238=""),"",L238-K238)</x:f>
      </x:c>
      <x:c r="N238" s="54" t="str">
        <x:f>IF(M238="","",ABS(M238))</x:f>
      </x:c>
    </x:row>
    <x:row r="239">
      <x:c r="A239" s="54" t="n">
        <x:v>2026</x:v>
      </x:c>
      <x:c r="B239" s="54" t="n">
        <x:v>55435</x:v>
      </x:c>
      <x:c r="C239" s="54" t="str">
        <x:v>차승준</x:v>
      </x:c>
      <x:c r="D239" s="54" t="str">
        <x:v>SAM</x:v>
      </x:c>
      <x:c r="E239" s="54" t="n">
        <x:v>6</x:v>
      </x:c>
      <x:c r="F239" s="108" t="b">
        <x:v>0</x:v>
      </x:c>
      <x:c r="G239" s="111" t="n">
        <x:v>0.16666667000000002</x:v>
      </x:c>
      <x:c r="H239" s="111" t="n">
        <x:v>0.27524235</x:v>
      </x:c>
      <x:c r="I239" s="111" t="n">
        <x:v>0.26956264999999996</x:v>
      </x:c>
      <x:c r="J239" s="96" t="n">
        <x:f>(I239-H239)*100</x:f>
        <x:v>-0.5679700000000065</x:v>
      </x:c>
      <x:c r="K239" s="54"/>
      <x:c r="L239" s="54"/>
      <x:c r="M239" s="54" t="str">
        <x:f>IF(OR(K239="",L239=""),"",L239-K239)</x:f>
      </x:c>
      <x:c r="N239" s="54" t="str">
        <x:f>IF(M239="","",ABS(M239))</x:f>
      </x:c>
    </x:row>
    <x:row r="240">
      <x:c r="A240" s="54" t="n">
        <x:v>2026</x:v>
      </x:c>
      <x:c r="B240" s="54" t="n">
        <x:v>79192</x:v>
      </x:c>
      <x:c r="C240" s="54" t="str">
        <x:v>채은성</x:v>
      </x:c>
      <x:c r="D240" s="54" t="str">
        <x:v>HAN</x:v>
      </x:c>
      <x:c r="E240" s="54" t="n">
        <x:v>742</x:v>
      </x:c>
      <x:c r="F240" s="108" t="b">
        <x:v>1</x:v>
      </x:c>
      <x:c r="G240" s="111" t="n">
        <x:v>0.46226415000000004</x:v>
      </x:c>
      <x:c r="H240" s="111" t="n">
        <x:v>0.44446795</x:v>
      </x:c>
      <x:c r="I240" s="111" t="n">
        <x:v>0.44681373999999996</x:v>
      </x:c>
      <x:c r="J240" s="96" t="n">
        <x:f>(I240-H240)*100</x:f>
        <x:v>0.23457899999999587</x:v>
      </x:c>
      <x:c r="K240" s="54" t="n">
        <x:v>86</x:v>
      </x:c>
      <x:c r="L240" s="54" t="n">
        <x:v>83</x:v>
      </x:c>
      <x:c r="M240" s="54" t="n">
        <x:f>IF(OR(K240="",L240=""),"",L240-K240)</x:f>
        <x:v>-3</x:v>
      </x:c>
      <x:c r="N240" s="54" t="n">
        <x:f>IF(M240="","",ABS(M240))</x:f>
        <x:v>3</x:v>
      </x:c>
    </x:row>
    <x:row r="241">
      <x:c r="A241" s="54" t="n">
        <x:v>2026</x:v>
      </x:c>
      <x:c r="B241" s="54" t="n">
        <x:v>69804</x:v>
      </x:c>
      <x:c r="C241" s="54" t="str">
        <x:v>채현우</x:v>
      </x:c>
      <x:c r="D241" s="54" t="str">
        <x:v>SSG</x:v>
      </x:c>
      <x:c r="E241" s="54" t="n">
        <x:v>195</x:v>
      </x:c>
      <x:c r="F241" s="108" t="b">
        <x:v>0</x:v>
      </x:c>
      <x:c r="G241" s="111" t="n">
        <x:v>0.62564103</x:v>
      </x:c>
      <x:c r="H241" s="111" t="n">
        <x:v>0.45878356</x:v>
      </x:c>
      <x:c r="I241" s="111" t="n">
        <x:v>0.47063785</x:v>
      </x:c>
      <x:c r="J241" s="96" t="n">
        <x:f>(I241-H241)*100</x:f>
        <x:v>1.1854290000000045</x:v>
      </x:c>
      <x:c r="K241" s="54"/>
      <x:c r="L241" s="54"/>
      <x:c r="M241" s="54" t="str">
        <x:f>IF(OR(K241="",L241=""),"",L241-K241)</x:f>
      </x:c>
      <x:c r="N241" s="54" t="str">
        <x:f>IF(M241="","",ABS(M241))</x:f>
      </x:c>
    </x:row>
    <x:row r="242">
      <x:c r="A242" s="54" t="n">
        <x:v>2026</x:v>
      </x:c>
      <x:c r="B242" s="54" t="n">
        <x:v>50054</x:v>
      </x:c>
      <x:c r="C242" s="54" t="str">
        <x:v>천성호</x:v>
      </x:c>
      <x:c r="D242" s="54" t="str">
        <x:v>LG</x:v>
      </x:c>
      <x:c r="E242" s="54" t="n">
        <x:v>837</x:v>
      </x:c>
      <x:c r="F242" s="108" t="b">
        <x:v>1</x:v>
      </x:c>
      <x:c r="G242" s="111" t="n">
        <x:v>0.49701314</x:v>
      </x:c>
      <x:c r="H242" s="111" t="n">
        <x:v>0.45204365</x:v>
      </x:c>
      <x:c r="I242" s="111" t="n">
        <x:v>0.45088133999999996</x:v>
      </x:c>
      <x:c r="J242" s="96" t="n">
        <x:f>(I242-H242)*100</x:f>
        <x:v>-0.11623100000000552</x:v>
      </x:c>
      <x:c r="K242" s="54" t="n">
        <x:v>64</x:v>
      </x:c>
      <x:c r="L242" s="54" t="n">
        <x:v>73</x:v>
      </x:c>
      <x:c r="M242" s="54" t="n">
        <x:f>IF(OR(K242="",L242=""),"",L242-K242)</x:f>
        <x:v>9</x:v>
      </x:c>
      <x:c r="N242" s="54" t="n">
        <x:f>IF(M242="","",ABS(M242))</x:f>
        <x:v>9</x:v>
      </x:c>
    </x:row>
    <x:row r="243">
      <x:c r="A243" s="54" t="n">
        <x:v>2026</x:v>
      </x:c>
      <x:c r="B243" s="54" t="n">
        <x:v>67905</x:v>
      </x:c>
      <x:c r="C243" s="54" t="str">
        <x:v>천재환</x:v>
      </x:c>
      <x:c r="D243" s="54" t="str">
        <x:v>NC</x:v>
      </x:c>
      <x:c r="E243" s="54" t="n">
        <x:v>892</x:v>
      </x:c>
      <x:c r="F243" s="108" t="b">
        <x:v>1</x:v>
      </x:c>
      <x:c r="G243" s="111" t="n">
        <x:v>0.49103139</x:v>
      </x:c>
      <x:c r="H243" s="111" t="n">
        <x:v>0.44457402</x:v>
      </x:c>
      <x:c r="I243" s="111" t="n">
        <x:v>0.44803643</x:v>
      </x:c>
      <x:c r="J243" s="96" t="n">
        <x:f>(I243-H243)*100</x:f>
        <x:v>0.34624099999999713</x:v>
      </x:c>
      <x:c r="K243" s="54" t="n">
        <x:v>85</x:v>
      </x:c>
      <x:c r="L243" s="54" t="n">
        <x:v>82</x:v>
      </x:c>
      <x:c r="M243" s="54" t="n">
        <x:f>IF(OR(K243="",L243=""),"",L243-K243)</x:f>
        <x:v>-3</x:v>
      </x:c>
      <x:c r="N243" s="54" t="n">
        <x:f>IF(M243="","",ABS(M243))</x:f>
        <x:v>3</x:v>
      </x:c>
    </x:row>
    <x:row r="244">
      <x:c r="A244" s="54" t="n">
        <x:v>2026</x:v>
      </x:c>
      <x:c r="B244" s="54" t="n">
        <x:v>52103</x:v>
      </x:c>
      <x:c r="C244" s="54" t="str">
        <x:v>최원영</x:v>
      </x:c>
      <x:c r="D244" s="54" t="str">
        <x:v>LG</x:v>
      </x:c>
      <x:c r="E244" s="54" t="n">
        <x:v>80</x:v>
      </x:c>
      <x:c r="F244" s="108" t="b">
        <x:v>0</x:v>
      </x:c>
      <x:c r="G244" s="111" t="n">
        <x:v>0.4625</x:v>
      </x:c>
      <x:c r="H244" s="111" t="n">
        <x:v>0.43373256</x:v>
      </x:c>
      <x:c r="I244" s="111" t="n">
        <x:v>0.41538937</x:v>
      </x:c>
      <x:c r="J244" s="96" t="n">
        <x:f>(I244-H244)*100</x:f>
        <x:v>-1.834319000000001</x:v>
      </x:c>
      <x:c r="K244" s="54"/>
      <x:c r="L244" s="54"/>
      <x:c r="M244" s="54" t="str">
        <x:f>IF(OR(K244="",L244=""),"",L244-K244)</x:f>
      </x:c>
      <x:c r="N244" s="54" t="str">
        <x:f>IF(M244="","",ABS(M244))</x:f>
      </x:c>
    </x:row>
    <x:row r="245">
      <x:c r="A245" s="54" t="n">
        <x:v>2026</x:v>
      </x:c>
      <x:c r="B245" s="54" t="n">
        <x:v>66606</x:v>
      </x:c>
      <x:c r="C245" s="54" t="str">
        <x:v>최원준</x:v>
      </x:c>
      <x:c r="D245" s="54" t="str">
        <x:v>KT</x:v>
      </x:c>
      <x:c r="E245" s="54" t="n">
        <x:v>1970</x:v>
      </x:c>
      <x:c r="F245" s="108" t="b">
        <x:v>1</x:v>
      </x:c>
      <x:c r="G245" s="111" t="n">
        <x:v>0.42335025000000004</x:v>
      </x:c>
      <x:c r="H245" s="111" t="n">
        <x:v>0.41826244</x:v>
      </x:c>
      <x:c r="I245" s="111" t="n">
        <x:v>0.41793945</x:v>
      </x:c>
      <x:c r="J245" s="96" t="n">
        <x:f>(I245-H245)*100</x:f>
        <x:v>-0.0322990000000023</x:v>
      </x:c>
      <x:c r="K245" s="54" t="n">
        <x:v>151</x:v>
      </x:c>
      <x:c r="L245" s="54" t="n">
        <x:v>152</x:v>
      </x:c>
      <x:c r="M245" s="54" t="n">
        <x:f>IF(OR(K245="",L245=""),"",L245-K245)</x:f>
        <x:v>1</x:v>
      </x:c>
      <x:c r="N245" s="54" t="n">
        <x:f>IF(M245="","",ABS(M245))</x:f>
        <x:v>1</x:v>
      </x:c>
    </x:row>
    <x:row r="246">
      <x:c r="A246" s="54" t="n">
        <x:v>2026</x:v>
      </x:c>
      <x:c r="B246" s="54" t="n">
        <x:v>56793</x:v>
      </x:c>
      <x:c r="C246" s="54" t="str">
        <x:v>최유빈</x:v>
      </x:c>
      <x:c r="D246" s="54" t="str">
        <x:v>HAN</x:v>
      </x:c>
      <x:c r="E246" s="54" t="n">
        <x:v>5</x:v>
      </x:c>
      <x:c r="F246" s="108" t="b">
        <x:v>0</x:v>
      </x:c>
      <x:c r="G246" s="111" t="n">
        <x:v>0.4</x:v>
      </x:c>
      <x:c r="H246" s="111" t="n">
        <x:v>0.45324744</x:v>
      </x:c>
      <x:c r="I246" s="111" t="n">
        <x:v>0.44633563000000004</x:v>
      </x:c>
      <x:c r="J246" s="96" t="n">
        <x:f>(I246-H246)*100</x:f>
        <x:v>-0.6911809999999963</x:v>
      </x:c>
      <x:c r="K246" s="54"/>
      <x:c r="L246" s="54"/>
      <x:c r="M246" s="54" t="str">
        <x:f>IF(OR(K246="",L246=""),"",L246-K246)</x:f>
      </x:c>
      <x:c r="N246" s="54" t="str">
        <x:f>IF(M246="","",ABS(M246))</x:f>
      </x:c>
    </x:row>
    <x:row r="247">
      <x:c r="A247" s="54" t="n">
        <x:v>2026</x:v>
      </x:c>
      <x:c r="B247" s="54" t="n">
        <x:v>55894</x:v>
      </x:c>
      <x:c r="C247" s="54" t="str">
        <x:v>최윤석</x:v>
      </x:c>
      <x:c r="D247" s="54" t="str">
        <x:v>SSG</x:v>
      </x:c>
      <x:c r="E247" s="54" t="n">
        <x:v>35</x:v>
      </x:c>
      <x:c r="F247" s="108" t="b">
        <x:v>0</x:v>
      </x:c>
      <x:c r="G247" s="111" t="n">
        <x:v>0.45714286000000004</x:v>
      </x:c>
      <x:c r="H247" s="111" t="n">
        <x:v>0.42484156</x:v>
      </x:c>
      <x:c r="I247" s="111" t="n">
        <x:v>0.44459879999999996</x:v>
      </x:c>
      <x:c r="J247" s="96" t="n">
        <x:f>(I247-H247)*100</x:f>
        <x:v>1.9757239999999954</x:v>
      </x:c>
      <x:c r="K247" s="54"/>
      <x:c r="L247" s="54"/>
      <x:c r="M247" s="54" t="str">
        <x:f>IF(OR(K247="",L247=""),"",L247-K247)</x:f>
      </x:c>
      <x:c r="N247" s="54" t="str">
        <x:f>IF(M247="","",ABS(M247))</x:f>
      </x:c>
    </x:row>
    <x:row r="248">
      <x:c r="A248" s="54" t="n">
        <x:v>2026</x:v>
      </x:c>
      <x:c r="B248" s="54" t="n">
        <x:v>50707</x:v>
      </x:c>
      <x:c r="C248" s="54" t="str">
        <x:v>최인호</x:v>
      </x:c>
      <x:c r="D248" s="54" t="str">
        <x:v>HAN</x:v>
      </x:c>
      <x:c r="E248" s="54" t="n">
        <x:v>387</x:v>
      </x:c>
      <x:c r="F248" s="108" t="b">
        <x:v>1</x:v>
      </x:c>
      <x:c r="G248" s="111" t="n">
        <x:v>0.43927649</x:v>
      </x:c>
      <x:c r="H248" s="111" t="n">
        <x:v>0.4343747</x:v>
      </x:c>
      <x:c r="I248" s="111" t="n">
        <x:v>0.43295540000000005</x:v>
      </x:c>
      <x:c r="J248" s="96" t="n">
        <x:f>(I248-H248)*100</x:f>
        <x:v>-0.14192999999999567</x:v>
      </x:c>
      <x:c r="K248" s="54" t="n">
        <x:v>123</x:v>
      </x:c>
      <x:c r="L248" s="54" t="n">
        <x:v>129</x:v>
      </x:c>
      <x:c r="M248" s="54" t="n">
        <x:f>IF(OR(K248="",L248=""),"",L248-K248)</x:f>
        <x:v>6</x:v>
      </x:c>
      <x:c r="N248" s="54" t="n">
        <x:f>IF(M248="","",ABS(M248))</x:f>
        <x:v>6</x:v>
      </x:c>
    </x:row>
    <x:row r="249">
      <x:c r="A249" s="54" t="n">
        <x:v>2026</x:v>
      </x:c>
      <x:c r="B249" s="54" t="n">
        <x:v>56338</x:v>
      </x:c>
      <x:c r="C249" s="54" t="str">
        <x:v>최재영</x:v>
      </x:c>
      <x:c r="D249" s="54" t="str">
        <x:v>KIW</x:v>
      </x:c>
      <x:c r="E249" s="54" t="n">
        <x:v>165</x:v>
      </x:c>
      <x:c r="F249" s="108" t="b">
        <x:v>0</x:v>
      </x:c>
      <x:c r="G249" s="111" t="n">
        <x:v>0.49090909000000005</x:v>
      </x:c>
      <x:c r="H249" s="111" t="n">
        <x:v>0.50044247</x:v>
      </x:c>
      <x:c r="I249" s="111" t="n">
        <x:v>0.50420002</x:v>
      </x:c>
      <x:c r="J249" s="96" t="n">
        <x:f>(I249-H249)*100</x:f>
        <x:v>0.37575499999999984</x:v>
      </x:c>
      <x:c r="K249" s="54"/>
      <x:c r="L249" s="54"/>
      <x:c r="M249" s="54" t="str">
        <x:f>IF(OR(K249="",L249=""),"",L249-K249)</x:f>
      </x:c>
      <x:c r="N249" s="54" t="str">
        <x:f>IF(M249="","",ABS(M249))</x:f>
      </x:c>
    </x:row>
    <x:row r="250">
      <x:c r="A250" s="54" t="n">
        <x:v>2026</x:v>
      </x:c>
      <x:c r="B250" s="54" t="n">
        <x:v>78288</x:v>
      </x:c>
      <x:c r="C250" s="54" t="str">
        <x:v>최재훈</x:v>
      </x:c>
      <x:c r="D250" s="54" t="str">
        <x:v>HAN</x:v>
      </x:c>
      <x:c r="E250" s="54" t="n">
        <x:v>492</x:v>
      </x:c>
      <x:c r="F250" s="108" t="b">
        <x:v>1</x:v>
      </x:c>
      <x:c r="G250" s="111" t="n">
        <x:v>0.43292683</x:v>
      </x:c>
      <x:c r="H250" s="111" t="n">
        <x:v>0.5013054100000001</x:v>
      </x:c>
      <x:c r="I250" s="111" t="n">
        <x:v>0.5008753</x:v>
      </x:c>
      <x:c r="J250" s="96" t="n">
        <x:f>(I250-H250)*100</x:f>
        <x:v>-0.04301100000000391</x:v>
      </x:c>
      <x:c r="K250" s="54" t="n">
        <x:v>1</x:v>
      </x:c>
      <x:c r="L250" s="54" t="n">
        <x:v>1</x:v>
      </x:c>
      <x:c r="M250" s="54" t="n">
        <x:f>IF(OR(K250="",L250=""),"",L250-K250)</x:f>
        <x:v>0</x:v>
      </x:c>
      <x:c r="N250" s="54" t="str">
        <x:f>IF(M250="","",ABS(M250))</x:f>
      </x:c>
    </x:row>
    <x:row r="251">
      <x:c r="A251" s="54" t="n">
        <x:v>2026</x:v>
      </x:c>
      <x:c r="B251" s="54" t="n">
        <x:v>75847</x:v>
      </x:c>
      <x:c r="C251" s="54" t="str">
        <x:v>최정</x:v>
      </x:c>
      <x:c r="D251" s="54" t="str">
        <x:v>SSG</x:v>
      </x:c>
      <x:c r="E251" s="54" t="n">
        <x:v>1226</x:v>
      </x:c>
      <x:c r="F251" s="108" t="b">
        <x:v>1</x:v>
      </x:c>
      <x:c r="G251" s="111" t="n">
        <x:v>0.45676997999999996</x:v>
      </x:c>
      <x:c r="H251" s="111" t="n">
        <x:v>0.45740066</x:v>
      </x:c>
      <x:c r="I251" s="111" t="n">
        <x:v>0.45869021</x:v>
      </x:c>
      <x:c r="J251" s="96" t="n">
        <x:f>(I251-H251)*100</x:f>
        <x:v>0.12895499999999727</x:v>
      </x:c>
      <x:c r="K251" s="54" t="n">
        <x:v>51</x:v>
      </x:c>
      <x:c r="L251" s="54" t="n">
        <x:v>41</x:v>
      </x:c>
      <x:c r="M251" s="54" t="n">
        <x:f>IF(OR(K251="",L251=""),"",L251-K251)</x:f>
        <x:v>-10</x:v>
      </x:c>
      <x:c r="N251" s="54" t="n">
        <x:f>IF(M251="","",ABS(M251))</x:f>
        <x:v>10</x:v>
      </x:c>
    </x:row>
    <x:row r="252">
      <x:c r="A252" s="54" t="n">
        <x:v>2026</x:v>
      </x:c>
      <x:c r="B252" s="54" t="n">
        <x:v>69992</x:v>
      </x:c>
      <x:c r="C252" s="54" t="str">
        <x:v>최정원</x:v>
      </x:c>
      <x:c r="D252" s="54" t="str">
        <x:v>NC</x:v>
      </x:c>
      <x:c r="E252" s="54" t="n">
        <x:v>768</x:v>
      </x:c>
      <x:c r="F252" s="108" t="b">
        <x:v>1</x:v>
      </x:c>
      <x:c r="G252" s="111" t="n">
        <x:v>0.40885416999999996</x:v>
      </x:c>
      <x:c r="H252" s="111" t="n">
        <x:v>0.4436281</x:v>
      </x:c>
      <x:c r="I252" s="111" t="n">
        <x:v>0.44834009</x:v>
      </x:c>
      <x:c r="J252" s="96" t="n">
        <x:f>(I252-H252)*100</x:f>
        <x:v>0.4711989999999999</x:v>
      </x:c>
      <x:c r="K252" s="54" t="n">
        <x:v>90</x:v>
      </x:c>
      <x:c r="L252" s="54" t="n">
        <x:v>80</x:v>
      </x:c>
      <x:c r="M252" s="54" t="n">
        <x:f>IF(OR(K252="",L252=""),"",L252-K252)</x:f>
        <x:v>-10</x:v>
      </x:c>
      <x:c r="N252" s="54" t="n">
        <x:f>IF(M252="","",ABS(M252))</x:f>
        <x:v>10</x:v>
      </x:c>
    </x:row>
    <x:row r="253">
      <x:c r="A253" s="54" t="n">
        <x:v>2026</x:v>
      </x:c>
      <x:c r="B253" s="54" t="n">
        <x:v>76267</x:v>
      </x:c>
      <x:c r="C253" s="54" t="str">
        <x:v>최주환</x:v>
      </x:c>
      <x:c r="D253" s="54" t="str">
        <x:v>KIW</x:v>
      </x:c>
      <x:c r="E253" s="54" t="n">
        <x:v>1265</x:v>
      </x:c>
      <x:c r="F253" s="108" t="b">
        <x:v>1</x:v>
      </x:c>
      <x:c r="G253" s="111" t="n">
        <x:v>0.40711462</x:v>
      </x:c>
      <x:c r="H253" s="111" t="n">
        <x:v>0.42839331</x:v>
      </x:c>
      <x:c r="I253" s="111" t="n">
        <x:v>0.42507053999999994</x:v>
      </x:c>
      <x:c r="J253" s="96" t="n">
        <x:f>(I253-H253)*100</x:f>
        <x:v>-0.3322770000000086</x:v>
      </x:c>
      <x:c r="K253" s="54" t="n">
        <x:v>140</x:v>
      </x:c>
      <x:c r="L253" s="54" t="n">
        <x:v>145</x:v>
      </x:c>
      <x:c r="M253" s="54" t="n">
        <x:f>IF(OR(K253="",L253=""),"",L253-K253)</x:f>
        <x:v>5</x:v>
      </x:c>
      <x:c r="N253" s="54" t="n">
        <x:f>IF(M253="","",ABS(M253))</x:f>
        <x:v>5</x:v>
      </x:c>
    </x:row>
    <x:row r="254">
      <x:c r="A254" s="54" t="n">
        <x:v>2026</x:v>
      </x:c>
      <x:c r="B254" s="54" t="n">
        <x:v>68868</x:v>
      </x:c>
      <x:c r="C254" s="54" t="str">
        <x:v>최준우</x:v>
      </x:c>
      <x:c r="D254" s="54" t="str">
        <x:v>SSG</x:v>
      </x:c>
      <x:c r="E254" s="54" t="n">
        <x:v>222</x:v>
      </x:c>
      <x:c r="F254" s="108" t="b">
        <x:v>0</x:v>
      </x:c>
      <x:c r="G254" s="111" t="n">
        <x:v>0.40090089999999995</x:v>
      </x:c>
      <x:c r="H254" s="111" t="n">
        <x:v>0.42099166</x:v>
      </x:c>
      <x:c r="I254" s="111" t="n">
        <x:v>0.42396047000000003</x:v>
      </x:c>
      <x:c r="J254" s="96" t="n">
        <x:f>(I254-H254)*100</x:f>
        <x:v>0.2968810000000044</x:v>
      </x:c>
      <x:c r="K254" s="54"/>
      <x:c r="L254" s="54"/>
      <x:c r="M254" s="54" t="str">
        <x:f>IF(OR(K254="",L254=""),"",L254-K254)</x:f>
      </x:c>
      <x:c r="N254" s="54" t="str">
        <x:f>IF(M254="","",ABS(M254))</x:f>
      </x:c>
    </x:row>
    <x:row r="255">
      <x:c r="A255" s="54" t="n">
        <x:v>2026</x:v>
      </x:c>
      <x:c r="B255" s="54" t="n">
        <x:v>50854</x:v>
      </x:c>
      <x:c r="C255" s="54" t="str">
        <x:v>최지훈</x:v>
      </x:c>
      <x:c r="D255" s="54" t="str">
        <x:v>SSG</x:v>
      </x:c>
      <x:c r="E255" s="54" t="n">
        <x:v>1926</x:v>
      </x:c>
      <x:c r="F255" s="108" t="b">
        <x:v>1</x:v>
      </x:c>
      <x:c r="G255" s="111" t="n">
        <x:v>0.44652129</x:v>
      </x:c>
      <x:c r="H255" s="111" t="n">
        <x:v>0.4505921</x:v>
      </x:c>
      <x:c r="I255" s="111" t="n">
        <x:v>0.45036437</x:v>
      </x:c>
      <x:c r="J255" s="96" t="n">
        <x:f>(I255-H255)*100</x:f>
        <x:v>-0.022772999999998156</x:v>
      </x:c>
      <x:c r="K255" s="54" t="n">
        <x:v>69</x:v>
      </x:c>
      <x:c r="L255" s="54" t="n">
        <x:v>75</x:v>
      </x:c>
      <x:c r="M255" s="54" t="n">
        <x:f>IF(OR(K255="",L255=""),"",L255-K255)</x:f>
        <x:v>6</x:v>
      </x:c>
      <x:c r="N255" s="54" t="n">
        <x:f>IF(M255="","",ABS(M255))</x:f>
        <x:v>6</x:v>
      </x:c>
    </x:row>
    <x:row r="256">
      <x:c r="A256" s="54" t="n">
        <x:v>2026</x:v>
      </x:c>
      <x:c r="B256" s="54" t="n">
        <x:v>62884</x:v>
      </x:c>
      <x:c r="C256" s="54" t="str">
        <x:v>최항</x:v>
      </x:c>
      <x:c r="D256" s="54" t="str">
        <x:v>LOT</x:v>
      </x:c>
      <x:c r="E256" s="54" t="n">
        <x:v>53</x:v>
      </x:c>
      <x:c r="F256" s="108" t="b">
        <x:v>0</x:v>
      </x:c>
      <x:c r="G256" s="111" t="n">
        <x:v>0.5283018899999999</x:v>
      </x:c>
      <x:c r="H256" s="111" t="n">
        <x:v>0.43305773000000003</x:v>
      </x:c>
      <x:c r="I256" s="111" t="n">
        <x:v>0.44039968</x:v>
      </x:c>
      <x:c r="J256" s="96" t="n">
        <x:f>(I256-H256)*100</x:f>
        <x:v>0.7341949999999986</x:v>
      </x:c>
      <x:c r="K256" s="54"/>
      <x:c r="L256" s="54"/>
      <x:c r="M256" s="54" t="str">
        <x:f>IF(OR(K256="",L256=""),"",L256-K256)</x:f>
      </x:c>
      <x:c r="N256" s="54" t="str">
        <x:f>IF(M256="","",ABS(M256))</x:f>
      </x:c>
    </x:row>
    <x:row r="257">
      <x:c r="A257" s="54" t="n">
        <x:v>2026</x:v>
      </x:c>
      <x:c r="B257" s="54" t="n">
        <x:v>72443</x:v>
      </x:c>
      <x:c r="C257" s="54" t="str">
        <x:v>최형우</x:v>
      </x:c>
      <x:c r="D257" s="54" t="str">
        <x:v>SAM</x:v>
      </x:c>
      <x:c r="E257" s="54" t="n">
        <x:v>1889</x:v>
      </x:c>
      <x:c r="F257" s="108" t="b">
        <x:v>1</x:v>
      </x:c>
      <x:c r="G257" s="111" t="n">
        <x:v>0.46691371</x:v>
      </x:c>
      <x:c r="H257" s="111" t="n">
        <x:v>0.44180134000000004</x:v>
      </x:c>
      <x:c r="I257" s="111" t="n">
        <x:v>0.44043396</x:v>
      </x:c>
      <x:c r="J257" s="96" t="n">
        <x:f>(I257-H257)*100</x:f>
        <x:v>-0.1367380000000029</x:v>
      </x:c>
      <x:c r="K257" s="54" t="n">
        <x:v>94</x:v>
      </x:c>
      <x:c r="L257" s="54" t="n">
        <x:v>99</x:v>
      </x:c>
      <x:c r="M257" s="54" t="n">
        <x:f>IF(OR(K257="",L257=""),"",L257-K257)</x:f>
        <x:v>5</x:v>
      </x:c>
      <x:c r="N257" s="54" t="n">
        <x:f>IF(M257="","",ABS(M257))</x:f>
        <x:v>5</x:v>
      </x:c>
    </x:row>
    <x:row r="258">
      <x:c r="A258" s="54" t="n">
        <x:v>2026</x:v>
      </x:c>
      <x:c r="B258" s="54" t="n">
        <x:v>68362</x:v>
      </x:c>
      <x:c r="C258" s="54" t="str">
        <x:v>추재현</x:v>
      </x:c>
      <x:c r="D258" s="54" t="str">
        <x:v>KIW</x:v>
      </x:c>
      <x:c r="E258" s="54" t="n">
        <x:v>919</x:v>
      </x:c>
      <x:c r="F258" s="108" t="b">
        <x:v>1</x:v>
      </x:c>
      <x:c r="G258" s="111" t="n">
        <x:v>0.44940152</x:v>
      </x:c>
      <x:c r="H258" s="111" t="n">
        <x:v>0.44822962</x:v>
      </x:c>
      <x:c r="I258" s="111" t="n">
        <x:v>0.44892272</x:v>
      </x:c>
      <x:c r="J258" s="96" t="n">
        <x:f>(I258-H258)*100</x:f>
        <x:v>0.0693100000000002</x:v>
      </x:c>
      <x:c r="K258" s="54" t="n">
        <x:v>78</x:v>
      </x:c>
      <x:c r="L258" s="54" t="n">
        <x:v>78</x:v>
      </x:c>
      <x:c r="M258" s="54" t="n">
        <x:f>IF(OR(K258="",L258=""),"",L258-K258)</x:f>
        <x:v>0</x:v>
      </x:c>
      <x:c r="N258" s="54" t="str">
        <x:f>IF(M258="","",ABS(M258))</x:f>
      </x:c>
    </x:row>
    <x:row r="259">
      <x:c r="A259" s="54" t="n">
        <x:v>2026</x:v>
      </x:c>
      <x:c r="B259" s="54" t="n">
        <x:v>56251</x:v>
      </x:c>
      <x:c r="C259" s="54" t="str">
        <x:v>카메론</x:v>
      </x:c>
      <x:c r="D259" s="54" t="str">
        <x:v>DOO</x:v>
      </x:c>
      <x:c r="E259" s="54" t="n">
        <x:v>1117</x:v>
      </x:c>
      <x:c r="F259" s="108" t="b">
        <x:v>1</x:v>
      </x:c>
      <x:c r="G259" s="111" t="n">
        <x:v>0.45389436000000005</x:v>
      </x:c>
      <x:c r="H259" s="111" t="n">
        <x:v>0.43998599</x:v>
      </x:c>
      <x:c r="I259" s="111" t="n">
        <x:v>0.43874857</x:v>
      </x:c>
      <x:c r="J259" s="96" t="n">
        <x:f>(I259-H259)*100</x:f>
        <x:v>-0.12374199999999891</x:v>
      </x:c>
      <x:c r="K259" s="54" t="n">
        <x:v>103</x:v>
      </x:c>
      <x:c r="L259" s="54" t="n">
        <x:v>104</x:v>
      </x:c>
      <x:c r="M259" s="54" t="n">
        <x:f>IF(OR(K259="",L259=""),"",L259-K259)</x:f>
        <x:v>1</x:v>
      </x:c>
      <x:c r="N259" s="54" t="n">
        <x:f>IF(M259="","",ABS(M259))</x:f>
        <x:v>1</x:v>
      </x:c>
    </x:row>
    <x:row r="260">
      <x:c r="A260" s="54" t="n">
        <x:v>2026</x:v>
      </x:c>
      <x:c r="B260" s="54" t="n">
        <x:v>56626</x:v>
      </x:c>
      <x:c r="C260" s="54" t="str">
        <x:v>카스트로</x:v>
      </x:c>
      <x:c r="D260" s="54" t="str">
        <x:v>KIA</x:v>
      </x:c>
      <x:c r="E260" s="54" t="n">
        <x:v>1158</x:v>
      </x:c>
      <x:c r="F260" s="108" t="b">
        <x:v>1</x:v>
      </x:c>
      <x:c r="G260" s="111" t="n">
        <x:v>0.50863558</x:v>
      </x:c>
      <x:c r="H260" s="111" t="n">
        <x:v>0.42293106999999996</x:v>
      </x:c>
      <x:c r="I260" s="111" t="n">
        <x:v>0.420893</x:v>
      </x:c>
      <x:c r="J260" s="96" t="n">
        <x:f>(I260-H260)*100</x:f>
        <x:v>-0.20380699999999474</x:v>
      </x:c>
      <x:c r="K260" s="54" t="n">
        <x:v>148</x:v>
      </x:c>
      <x:c r="L260" s="54" t="n">
        <x:v>149</x:v>
      </x:c>
      <x:c r="M260" s="54" t="n">
        <x:f>IF(OR(K260="",L260=""),"",L260-K260)</x:f>
        <x:v>1</x:v>
      </x:c>
      <x:c r="N260" s="54" t="n">
        <x:f>IF(M260="","",ABS(M260))</x:f>
        <x:v>1</x:v>
      </x:c>
    </x:row>
    <x:row r="261">
      <x:c r="A261" s="54" t="n">
        <x:v>2026</x:v>
      </x:c>
      <x:c r="B261" s="54" t="n">
        <x:v>54730</x:v>
      </x:c>
      <x:c r="C261" s="54" t="str">
        <x:v>페라자</x:v>
      </x:c>
      <x:c r="D261" s="54" t="str">
        <x:v>HAN</x:v>
      </x:c>
      <x:c r="E261" s="54" t="n">
        <x:v>1989</x:v>
      </x:c>
      <x:c r="F261" s="108" t="b">
        <x:v>1</x:v>
      </x:c>
      <x:c r="G261" s="111" t="n">
        <x:v>0.44042232</x:v>
      </x:c>
      <x:c r="H261" s="111" t="n">
        <x:v>0.42804665</x:v>
      </x:c>
      <x:c r="I261" s="111" t="n">
        <x:v>0.42578831</x:v>
      </x:c>
      <x:c r="J261" s="96" t="n">
        <x:f>(I261-H261)*100</x:f>
        <x:v>-0.22583399999999698</x:v>
      </x:c>
      <x:c r="K261" s="54" t="n">
        <x:v>142</x:v>
      </x:c>
      <x:c r="L261" s="54" t="n">
        <x:v>144</x:v>
      </x:c>
      <x:c r="M261" s="54" t="n">
        <x:f>IF(OR(K261="",L261=""),"",L261-K261)</x:f>
        <x:v>2</x:v>
      </x:c>
      <x:c r="N261" s="54" t="n">
        <x:f>IF(M261="","",ABS(M261))</x:f>
        <x:v>2</x:v>
      </x:c>
    </x:row>
    <x:row r="262">
      <x:c r="A262" s="54" t="n">
        <x:v>2026</x:v>
      </x:c>
      <x:c r="B262" s="54" t="n">
        <x:v>62700</x:v>
      </x:c>
      <x:c r="C262" s="54" t="str">
        <x:v>하주석</x:v>
      </x:c>
      <x:c r="D262" s="54" t="str">
        <x:v>HAN · KIA</x:v>
      </x:c>
      <x:c r="E262" s="54" t="n">
        <x:v>628</x:v>
      </x:c>
      <x:c r="F262" s="108" t="b">
        <x:v>1</x:v>
      </x:c>
      <x:c r="G262" s="111" t="n">
        <x:v>0.54936306</x:v>
      </x:c>
      <x:c r="H262" s="111" t="n">
        <x:v>0.41670098000000005</x:v>
      </x:c>
      <x:c r="I262" s="111" t="n">
        <x:v>0.42290096</x:v>
      </x:c>
      <x:c r="J262" s="96" t="n">
        <x:f>(I262-H262)*100</x:f>
        <x:v>0.6199979999999938</x:v>
      </x:c>
      <x:c r="K262" s="54" t="n">
        <x:v>152</x:v>
      </x:c>
      <x:c r="L262" s="54" t="n">
        <x:v>147</x:v>
      </x:c>
      <x:c r="M262" s="54" t="n">
        <x:f>IF(OR(K262="",L262=""),"",L262-K262)</x:f>
        <x:v>-5</x:v>
      </x:c>
      <x:c r="N262" s="54" t="n">
        <x:f>IF(M262="","",ABS(M262))</x:f>
        <x:v>5</x:v>
      </x:c>
    </x:row>
    <x:row r="263">
      <x:c r="A263" s="54" t="n">
        <x:v>2026</x:v>
      </x:c>
      <x:c r="B263" s="54" t="n">
        <x:v>68525</x:v>
      </x:c>
      <x:c r="C263" s="54" t="str">
        <x:v>한동희</x:v>
      </x:c>
      <x:c r="D263" s="54" t="str">
        <x:v>LOT</x:v>
      </x:c>
      <x:c r="E263" s="54" t="n">
        <x:v>1208</x:v>
      </x:c>
      <x:c r="F263" s="108" t="b">
        <x:v>1</x:v>
      </x:c>
      <x:c r="G263" s="111" t="n">
        <x:v>0.48096026000000003</x:v>
      </x:c>
      <x:c r="H263" s="111" t="n">
        <x:v>0.45236263</x:v>
      </x:c>
      <x:c r="I263" s="111" t="n">
        <x:v>0.45417859</x:v>
      </x:c>
      <x:c r="J263" s="96" t="n">
        <x:f>(I263-H263)*100</x:f>
        <x:v>0.18159600000000053</x:v>
      </x:c>
      <x:c r="K263" s="54" t="n">
        <x:v>63</x:v>
      </x:c>
      <x:c r="L263" s="54" t="n">
        <x:v>61</x:v>
      </x:c>
      <x:c r="M263" s="54" t="n">
        <x:f>IF(OR(K263="",L263=""),"",L263-K263)</x:f>
        <x:v>-2</x:v>
      </x:c>
      <x:c r="N263" s="54" t="n">
        <x:f>IF(M263="","",ABS(M263))</x:f>
        <x:v>2</x:v>
      </x:c>
    </x:row>
    <x:row r="264">
      <x:c r="A264" s="54" t="n">
        <x:v>2026</x:v>
      </x:c>
      <x:c r="B264" s="54" t="n">
        <x:v>64101</x:v>
      </x:c>
      <x:c r="C264" s="54" t="str">
        <x:v>한석현</x:v>
      </x:c>
      <x:c r="D264" s="54" t="str">
        <x:v>NC</x:v>
      </x:c>
      <x:c r="E264" s="54" t="n">
        <x:v>486</x:v>
      </x:c>
      <x:c r="F264" s="108" t="b">
        <x:v>1</x:v>
      </x:c>
      <x:c r="G264" s="111" t="n">
        <x:v>0.51851852</x:v>
      </x:c>
      <x:c r="H264" s="111" t="n">
        <x:v>0.43927653</x:v>
      </x:c>
      <x:c r="I264" s="111" t="n">
        <x:v>0.44402398</x:v>
      </x:c>
      <x:c r="J264" s="96" t="n">
        <x:f>(I264-H264)*100</x:f>
        <x:v>0.47474499999999864</x:v>
      </x:c>
      <x:c r="K264" s="54" t="n">
        <x:v>105</x:v>
      </x:c>
      <x:c r="L264" s="54" t="n">
        <x:v>90</x:v>
      </x:c>
      <x:c r="M264" s="54" t="n">
        <x:f>IF(OR(K264="",L264=""),"",L264-K264)</x:f>
        <x:v>-15</x:v>
      </x:c>
      <x:c r="N264" s="54" t="n">
        <x:f>IF(M264="","",ABS(M264))</x:f>
        <x:v>15</x:v>
      </x:c>
    </x:row>
    <x:row r="265">
      <x:c r="A265" s="54" t="n">
        <x:v>2026</x:v>
      </x:c>
      <x:c r="B265" s="54" t="n">
        <x:v>52628</x:v>
      </x:c>
      <x:c r="C265" s="54" t="str">
        <x:v>한승연</x:v>
      </x:c>
      <x:c r="D265" s="54" t="str">
        <x:v>KIA</x:v>
      </x:c>
      <x:c r="E265" s="54" t="n">
        <x:v>160</x:v>
      </x:c>
      <x:c r="F265" s="108" t="b">
        <x:v>0</x:v>
      </x:c>
      <x:c r="G265" s="111" t="n">
        <x:v>0.38125</x:v>
      </x:c>
      <x:c r="H265" s="111" t="n">
        <x:v>0.45127234</x:v>
      </x:c>
      <x:c r="I265" s="111" t="n">
        <x:v>0.44674524</x:v>
      </x:c>
      <x:c r="J265" s="96" t="n">
        <x:f>(I265-H265)*100</x:f>
        <x:v>-0.4527100000000006</x:v>
      </x:c>
      <x:c r="K265" s="54"/>
      <x:c r="L265" s="54"/>
      <x:c r="M265" s="54" t="str">
        <x:f>IF(OR(K265="",L265=""),"",L265-K265)</x:f>
      </x:c>
      <x:c r="N265" s="54" t="str">
        <x:f>IF(M265="","",ABS(M265))</x:f>
      </x:c>
    </x:row>
    <x:row r="266">
      <x:c r="A266" s="54" t="n">
        <x:v>2026</x:v>
      </x:c>
      <x:c r="B266" s="54" t="n">
        <x:v>63722</x:v>
      </x:c>
      <x:c r="C266" s="54" t="str">
        <x:v>한승택</x:v>
      </x:c>
      <x:c r="D266" s="54" t="str">
        <x:v>KT</x:v>
      </x:c>
      <x:c r="E266" s="54" t="n">
        <x:v>1176</x:v>
      </x:c>
      <x:c r="F266" s="108" t="b">
        <x:v>1</x:v>
      </x:c>
      <x:c r="G266" s="111" t="n">
        <x:v>0.42857143000000003</x:v>
      </x:c>
      <x:c r="H266" s="111" t="n">
        <x:v>0.46152676</x:v>
      </x:c>
      <x:c r="I266" s="111" t="n">
        <x:v>0.46304470000000003</x:v>
      </x:c>
      <x:c r="J266" s="96" t="n">
        <x:f>(I266-H266)*100</x:f>
        <x:v>0.1517940000000051</x:v>
      </x:c>
      <x:c r="K266" s="54" t="n">
        <x:v>28</x:v>
      </x:c>
      <x:c r="L266" s="54" t="n">
        <x:v>25</x:v>
      </x:c>
      <x:c r="M266" s="54" t="n">
        <x:f>IF(OR(K266="",L266=""),"",L266-K266)</x:f>
        <x:v>-3</x:v>
      </x:c>
      <x:c r="N266" s="54" t="n">
        <x:f>IF(M266="","",ABS(M266))</x:f>
        <x:v>3</x:v>
      </x:c>
    </x:row>
    <x:row r="267">
      <x:c r="A267" s="54" t="n">
        <x:v>2026</x:v>
      </x:c>
      <x:c r="B267" s="54" t="n">
        <x:v>62895</x:v>
      </x:c>
      <x:c r="C267" s="54" t="str">
        <x:v>한유섬</x:v>
      </x:c>
      <x:c r="D267" s="54" t="str">
        <x:v>SSG</x:v>
      </x:c>
      <x:c r="E267" s="54" t="n">
        <x:v>676</x:v>
      </x:c>
      <x:c r="F267" s="108" t="b">
        <x:v>1</x:v>
      </x:c>
      <x:c r="G267" s="111" t="n">
        <x:v>0.43343195</x:v>
      </x:c>
      <x:c r="H267" s="111" t="n">
        <x:v>0.43098743</x:v>
      </x:c>
      <x:c r="I267" s="111" t="n">
        <x:v>0.43365135000000005</x:v>
      </x:c>
      <x:c r="J267" s="96" t="n">
        <x:f>(I267-H267)*100</x:f>
        <x:v>0.2663920000000042</x:v>
      </x:c>
      <x:c r="K267" s="54" t="n">
        <x:v>134</x:v>
      </x:c>
      <x:c r="L267" s="54" t="n">
        <x:v>125</x:v>
      </x:c>
      <x:c r="M267" s="54" t="n">
        <x:f>IF(OR(K267="",L267=""),"",L267-K267)</x:f>
        <x:v>-9</x:v>
      </x:c>
      <x:c r="N267" s="54" t="n">
        <x:f>IF(M267="","",ABS(M267))</x:f>
        <x:v>9</x:v>
      </x:c>
    </x:row>
    <x:row r="268">
      <x:c r="A268" s="54" t="n">
        <x:v>2026</x:v>
      </x:c>
      <x:c r="B268" s="54" t="n">
        <x:v>50903</x:v>
      </x:c>
      <x:c r="C268" s="54" t="str">
        <x:v>한재환</x:v>
      </x:c>
      <x:c r="D268" s="54" t="str">
        <x:v>NC</x:v>
      </x:c>
      <x:c r="E268" s="54" t="n">
        <x:v>71</x:v>
      </x:c>
      <x:c r="F268" s="108" t="b">
        <x:v>0</x:v>
      </x:c>
      <x:c r="G268" s="111" t="n">
        <x:v>0.45070423</x:v>
      </x:c>
      <x:c r="H268" s="111" t="n">
        <x:v>0.43290833</x:v>
      </x:c>
      <x:c r="I268" s="111" t="n">
        <x:v>0.43975706999999997</x:v>
      </x:c>
      <x:c r="J268" s="96" t="n">
        <x:f>(I268-H268)*100</x:f>
        <x:v>0.6848739999999964</x:v>
      </x:c>
      <x:c r="K268" s="54"/>
      <x:c r="L268" s="54"/>
      <x:c r="M268" s="54" t="str">
        <x:f>IF(OR(K268="",L268=""),"",L268-K268)</x:f>
      </x:c>
      <x:c r="N268" s="54" t="str">
        <x:f>IF(M268="","",ABS(M268))</x:f>
      </x:c>
    </x:row>
    <x:row r="269">
      <x:c r="A269" s="54" t="n">
        <x:v>2026</x:v>
      </x:c>
      <x:c r="B269" s="54" t="n">
        <x:v>68646</x:v>
      </x:c>
      <x:c r="C269" s="54" t="str">
        <x:v>한준수</x:v>
      </x:c>
      <x:c r="D269" s="54" t="str">
        <x:v>KIA</x:v>
      </x:c>
      <x:c r="E269" s="54" t="n">
        <x:v>1349</x:v>
      </x:c>
      <x:c r="F269" s="108" t="b">
        <x:v>1</x:v>
      </x:c>
      <x:c r="G269" s="111" t="n">
        <x:v>0.36545589</x:v>
      </x:c>
      <x:c r="H269" s="111" t="n">
        <x:v>0.44104954999999996</x:v>
      </x:c>
      <x:c r="I269" s="111" t="n">
        <x:v>0.44099839</x:v>
      </x:c>
      <x:c r="J269" s="96" t="n">
        <x:f>(I269-H269)*100</x:f>
        <x:v>-0.005115999999993903</x:v>
      </x:c>
      <x:c r="K269" s="54" t="n">
        <x:v>100</x:v>
      </x:c>
      <x:c r="L269" s="54" t="n">
        <x:v>97</x:v>
      </x:c>
      <x:c r="M269" s="54" t="n">
        <x:f>IF(OR(K269="",L269=""),"",L269-K269)</x:f>
        <x:v>-3</x:v>
      </x:c>
      <x:c r="N269" s="54" t="n">
        <x:f>IF(M269="","",ABS(M269))</x:f>
        <x:v>3</x:v>
      </x:c>
    </x:row>
    <x:row r="270">
      <x:c r="A270" s="54" t="n">
        <x:v>2026</x:v>
      </x:c>
      <x:c r="B270" s="54" t="n">
        <x:v>55767</x:v>
      </x:c>
      <x:c r="C270" s="54" t="str">
        <x:v>한지윤</x:v>
      </x:c>
      <x:c r="D270" s="54" t="str">
        <x:v>HAN</x:v>
      </x:c>
      <x:c r="E270" s="54" t="n">
        <x:v>254</x:v>
      </x:c>
      <x:c r="F270" s="108" t="b">
        <x:v>0</x:v>
      </x:c>
      <x:c r="G270" s="111" t="n">
        <x:v>0.50787402</x:v>
      </x:c>
      <x:c r="H270" s="111" t="n">
        <x:v>0.46643554000000004</x:v>
      </x:c>
      <x:c r="I270" s="111" t="n">
        <x:v>0.46604799</x:v>
      </x:c>
      <x:c r="J270" s="96" t="n">
        <x:f>(I270-H270)*100</x:f>
        <x:v>-0.03875500000000143</x:v>
      </x:c>
      <x:c r="K270" s="54"/>
      <x:c r="L270" s="54"/>
      <x:c r="M270" s="54" t="str">
        <x:f>IF(OR(K270="",L270=""),"",L270-K270)</x:f>
      </x:c>
      <x:c r="N270" s="54" t="str">
        <x:f>IF(M270="","",ABS(M270))</x:f>
      </x:c>
    </x:row>
    <x:row r="271">
      <x:c r="A271" s="54" t="n">
        <x:v>2026</x:v>
      </x:c>
      <x:c r="B271" s="54" t="n">
        <x:v>52568</x:v>
      </x:c>
      <x:c r="C271" s="54" t="str">
        <x:v>한태양</x:v>
      </x:c>
      <x:c r="D271" s="54" t="str">
        <x:v>LOT</x:v>
      </x:c>
      <x:c r="E271" s="54" t="n">
        <x:v>784</x:v>
      </x:c>
      <x:c r="F271" s="108" t="b">
        <x:v>1</x:v>
      </x:c>
      <x:c r="G271" s="111" t="n">
        <x:v>0.38520408000000006</x:v>
      </x:c>
      <x:c r="H271" s="111" t="n">
        <x:v>0.45986909</x:v>
      </x:c>
      <x:c r="I271" s="111" t="n">
        <x:v>0.46262210000000004</x:v>
      </x:c>
      <x:c r="J271" s="96" t="n">
        <x:f>(I271-H271)*100</x:f>
        <x:v>0.27530100000000557</x:v>
      </x:c>
      <x:c r="K271" s="54" t="n">
        <x:v>36</x:v>
      </x:c>
      <x:c r="L271" s="54" t="n">
        <x:v>27</x:v>
      </x:c>
      <x:c r="M271" s="54" t="n">
        <x:f>IF(OR(K271="",L271=""),"",L271-K271)</x:f>
        <x:v>-9</x:v>
      </x:c>
      <x:c r="N271" s="54" t="n">
        <x:f>IF(M271="","",ABS(M271))</x:f>
        <x:v>9</x:v>
      </x:c>
    </x:row>
    <x:row r="272">
      <x:c r="A272" s="54" t="n">
        <x:v>2026</x:v>
      </x:c>
      <x:c r="B272" s="54" t="n">
        <x:v>55440</x:v>
      </x:c>
      <x:c r="C272" s="54" t="str">
        <x:v>함수호</x:v>
      </x:c>
      <x:c r="D272" s="54" t="str">
        <x:v>SAM</x:v>
      </x:c>
      <x:c r="E272" s="54" t="n">
        <x:v>65</x:v>
      </x:c>
      <x:c r="F272" s="108" t="b">
        <x:v>0</x:v>
      </x:c>
      <x:c r="G272" s="111" t="n">
        <x:v>0.5076923099999999</x:v>
      </x:c>
      <x:c r="H272" s="111" t="n">
        <x:v>0.34770141000000004</x:v>
      </x:c>
      <x:c r="I272" s="111" t="n">
        <x:v>0.35392032</x:v>
      </x:c>
      <x:c r="J272" s="96" t="n">
        <x:f>(I272-H272)*100</x:f>
        <x:v>0.6218909999999966</x:v>
      </x:c>
      <x:c r="K272" s="54"/>
      <x:c r="L272" s="54"/>
      <x:c r="M272" s="54" t="str">
        <x:f>IF(OR(K272="",L272=""),"",L272-K272)</x:f>
      </x:c>
      <x:c r="N272" s="54" t="str">
        <x:f>IF(M272="","",ABS(M272))</x:f>
      </x:c>
    </x:row>
    <x:row r="273">
      <x:c r="A273" s="54" t="n">
        <x:v>2026</x:v>
      </x:c>
      <x:c r="B273" s="54" t="n">
        <x:v>50108</x:v>
      </x:c>
      <x:c r="C273" s="54" t="str">
        <x:v>함창건</x:v>
      </x:c>
      <x:c r="D273" s="54" t="str">
        <x:v>LG</x:v>
      </x:c>
      <x:c r="E273" s="54" t="n">
        <x:v>11</x:v>
      </x:c>
      <x:c r="F273" s="108" t="b">
        <x:v>0</x:v>
      </x:c>
      <x:c r="G273" s="111" t="n">
        <x:v>0.45454545</x:v>
      </x:c>
      <x:c r="H273" s="111" t="n">
        <x:v>0.5537095</x:v>
      </x:c>
      <x:c r="I273" s="111" t="n">
        <x:v>0.55350661</x:v>
      </x:c>
      <x:c r="J273" s="96" t="n">
        <x:f>(I273-H273)*100</x:f>
        <x:v>-0.02028899999999556</x:v>
      </x:c>
      <x:c r="K273" s="54"/>
      <x:c r="L273" s="54"/>
      <x:c r="M273" s="54" t="str">
        <x:f>IF(OR(K273="",L273=""),"",L273-K273)</x:f>
      </x:c>
      <x:c r="N273" s="54" t="str">
        <x:f>IF(M273="","",ABS(M273))</x:f>
      </x:c>
    </x:row>
    <x:row r="274">
      <x:c r="A274" s="54" t="n">
        <x:v>2026</x:v>
      </x:c>
      <x:c r="B274" s="54" t="n">
        <x:v>79240</x:v>
      </x:c>
      <x:c r="C274" s="54" t="str">
        <x:v>허경민</x:v>
      </x:c>
      <x:c r="D274" s="54" t="str">
        <x:v>KT</x:v>
      </x:c>
      <x:c r="E274" s="54" t="n">
        <x:v>1145</x:v>
      </x:c>
      <x:c r="F274" s="108" t="b">
        <x:v>1</x:v>
      </x:c>
      <x:c r="G274" s="111" t="n">
        <x:v>0.39475983</x:v>
      </x:c>
      <x:c r="H274" s="111" t="n">
        <x:v>0.44172355</x:v>
      </x:c>
      <x:c r="I274" s="111" t="n">
        <x:v>0.44485648</x:v>
      </x:c>
      <x:c r="J274" s="96" t="n">
        <x:f>(I274-H274)*100</x:f>
        <x:v>0.3132929999999978</x:v>
      </x:c>
      <x:c r="K274" s="54" t="n">
        <x:v>96</x:v>
      </x:c>
      <x:c r="L274" s="54" t="n">
        <x:v>89</x:v>
      </x:c>
      <x:c r="M274" s="54" t="n">
        <x:f>IF(OR(K274="",L274=""),"",L274-K274)</x:f>
        <x:v>-7</x:v>
      </x:c>
      <x:c r="N274" s="54" t="n">
        <x:f>IF(M274="","",ABS(M274))</x:f>
        <x:v>7</x:v>
      </x:c>
    </x:row>
    <x:row r="275">
      <x:c r="A275" s="54" t="n">
        <x:v>2026</x:v>
      </x:c>
      <x:c r="B275" s="54" t="n">
        <x:v>56904</x:v>
      </x:c>
      <x:c r="C275" s="54" t="str">
        <x:v>허윤</x:v>
      </x:c>
      <x:c r="D275" s="54" t="str">
        <x:v>NC</x:v>
      </x:c>
      <x:c r="E275" s="54" t="n">
        <x:v>24</x:v>
      </x:c>
      <x:c r="F275" s="108" t="b">
        <x:v>0</x:v>
      </x:c>
      <x:c r="G275" s="111" t="n">
        <x:v>0.41666666999999996</x:v>
      </x:c>
      <x:c r="H275" s="111" t="n">
        <x:v>0.45528188</x:v>
      </x:c>
      <x:c r="I275" s="111" t="n">
        <x:v>0.45256107999999995</x:v>
      </x:c>
      <x:c r="J275" s="96" t="n">
        <x:f>(I275-H275)*100</x:f>
        <x:v>-0.27208000000000787</x:v>
      </x:c>
      <x:c r="K275" s="54"/>
      <x:c r="L275" s="54"/>
      <x:c r="M275" s="54" t="str">
        <x:f>IF(OR(K275="",L275=""),"",L275-K275)</x:f>
      </x:c>
      <x:c r="N275" s="54" t="str">
        <x:f>IF(M275="","",ABS(M275))</x:f>
      </x:c>
    </x:row>
    <x:row r="276">
      <x:c r="A276" s="54" t="n">
        <x:v>2026</x:v>
      </x:c>
      <x:c r="B276" s="54" t="n">
        <x:v>52764</x:v>
      </x:c>
      <x:c r="C276" s="54" t="str">
        <x:v>허인서</x:v>
      </x:c>
      <x:c r="D276" s="54" t="str">
        <x:v>HAN</x:v>
      </x:c>
      <x:c r="E276" s="54" t="n">
        <x:v>1415</x:v>
      </x:c>
      <x:c r="F276" s="108" t="b">
        <x:v>1</x:v>
      </x:c>
      <x:c r="G276" s="111" t="n">
        <x:v>0.49681979</x:v>
      </x:c>
      <x:c r="H276" s="111" t="n">
        <x:v>0.44996038</x:v>
      </x:c>
      <x:c r="I276" s="111" t="n">
        <x:v>0.45079250000000004</x:v>
      </x:c>
      <x:c r="J276" s="96" t="n">
        <x:f>(I276-H276)*100</x:f>
        <x:v>0.08321200000000473</x:v>
      </x:c>
      <x:c r="K276" s="54" t="n">
        <x:v>73</x:v>
      </x:c>
      <x:c r="L276" s="54" t="n">
        <x:v>74</x:v>
      </x:c>
      <x:c r="M276" s="54" t="n">
        <x:f>IF(OR(K276="",L276=""),"",L276-K276)</x:f>
        <x:v>1</x:v>
      </x:c>
      <x:c r="N276" s="54" t="n">
        <x:f>IF(M276="","",ABS(M276))</x:f>
        <x:v>1</x:v>
      </x:c>
    </x:row>
    <x:row r="277">
      <x:c r="A277" s="54" t="n">
        <x:v>2026</x:v>
      </x:c>
      <x:c r="B277" s="54" t="n">
        <x:v>55897</x:v>
      </x:c>
      <x:c r="C277" s="54" t="str">
        <x:v>홍대인</x:v>
      </x:c>
      <x:c r="D277" s="54" t="str">
        <x:v>SSG</x:v>
      </x:c>
      <x:c r="E277" s="54" t="n">
        <x:v>270</x:v>
      </x:c>
      <x:c r="F277" s="108" t="b">
        <x:v>0</x:v>
      </x:c>
      <x:c r="G277" s="111" t="n">
        <x:v>0.47037037</x:v>
      </x:c>
      <x:c r="H277" s="111" t="n">
        <x:v>0.44155619</x:v>
      </x:c>
      <x:c r="I277" s="111" t="n">
        <x:v>0.45007608</x:v>
      </x:c>
      <x:c r="J277" s="96" t="n">
        <x:f>(I277-H277)*100</x:f>
        <x:v>0.8519889999999974</x:v>
      </x:c>
      <x:c r="K277" s="54"/>
      <x:c r="L277" s="54"/>
      <x:c r="M277" s="54" t="str">
        <x:f>IF(OR(K277="",L277=""),"",L277-K277)</x:f>
      </x:c>
      <x:c r="N277" s="54" t="str">
        <x:f>IF(M277="","",ABS(M277))</x:f>
      </x:c>
    </x:row>
    <x:row r="278">
      <x:c r="A278" s="54" t="n">
        <x:v>2026</x:v>
      </x:c>
      <x:c r="B278" s="54" t="n">
        <x:v>66233</x:v>
      </x:c>
      <x:c r="C278" s="54" t="str">
        <x:v>홍성호</x:v>
      </x:c>
      <x:c r="D278" s="54" t="str">
        <x:v>DOO</x:v>
      </x:c>
      <x:c r="E278" s="54" t="n">
        <x:v>65</x:v>
      </x:c>
      <x:c r="F278" s="108" t="b">
        <x:v>0</x:v>
      </x:c>
      <x:c r="G278" s="111" t="n">
        <x:v>0.6</x:v>
      </x:c>
      <x:c r="H278" s="111" t="n">
        <x:v>0.47584789</x:v>
      </x:c>
      <x:c r="I278" s="111" t="n">
        <x:v>0.46689723</x:v>
      </x:c>
      <x:c r="J278" s="96" t="n">
        <x:f>(I278-H278)*100</x:f>
        <x:v>-0.8950659999999999</x:v>
      </x:c>
      <x:c r="K278" s="54"/>
      <x:c r="L278" s="54"/>
      <x:c r="M278" s="54" t="str">
        <x:f>IF(OR(K278="",L278=""),"",L278-K278)</x:f>
      </x:c>
      <x:c r="N278" s="54" t="str">
        <x:f>IF(M278="","",ABS(M278))</x:f>
      </x:c>
    </x:row>
    <x:row r="279">
      <x:c r="A279" s="54" t="n">
        <x:v>2026</x:v>
      </x:c>
      <x:c r="B279" s="54" t="n">
        <x:v>50600</x:v>
      </x:c>
      <x:c r="C279" s="54" t="str">
        <x:v>홍종표</x:v>
      </x:c>
      <x:c r="D279" s="54" t="str">
        <x:v>NC</x:v>
      </x:c>
      <x:c r="E279" s="54" t="n">
        <x:v>32</x:v>
      </x:c>
      <x:c r="F279" s="108" t="b">
        <x:v>0</x:v>
      </x:c>
      <x:c r="G279" s="111" t="n">
        <x:v>0.40625</x:v>
      </x:c>
      <x:c r="H279" s="111" t="n">
        <x:v>0.45489967</x:v>
      </x:c>
      <x:c r="I279" s="111" t="n">
        <x:v>0.45901379</x:v>
      </x:c>
      <x:c r="J279" s="96" t="n">
        <x:f>(I279-H279)*100</x:f>
        <x:v>0.4114119999999999</x:v>
      </x:c>
      <x:c r="K279" s="54"/>
      <x:c r="L279" s="54"/>
      <x:c r="M279" s="54" t="str">
        <x:f>IF(OR(K279="",L279=""),"",L279-K279)</x:f>
      </x:c>
      <x:c r="N279" s="54" t="str">
        <x:f>IF(M279="","",ABS(M279))</x:f>
      </x:c>
    </x:row>
    <x:row r="280">
      <x:c r="A280" s="54" t="n">
        <x:v>2026</x:v>
      </x:c>
      <x:c r="B280" s="54" t="n">
        <x:v>66108</x:v>
      </x:c>
      <x:c r="C280" s="54" t="str">
        <x:v>홍창기</x:v>
      </x:c>
      <x:c r="D280" s="54" t="str">
        <x:v>LG</x:v>
      </x:c>
      <x:c r="E280" s="54" t="n">
        <x:v>2053</x:v>
      </x:c>
      <x:c r="F280" s="108" t="b">
        <x:v>1</x:v>
      </x:c>
      <x:c r="G280" s="111" t="n">
        <x:v>0.34778373</x:v>
      </x:c>
      <x:c r="H280" s="111" t="n">
        <x:v>0.48225909</x:v>
      </x:c>
      <x:c r="I280" s="111" t="n">
        <x:v>0.48109254999999995</x:v>
      </x:c>
      <x:c r="J280" s="96" t="n">
        <x:f>(I280-H280)*100</x:f>
        <x:v>-0.11665400000000492</x:v>
      </x:c>
      <x:c r="K280" s="54" t="n">
        <x:v>2</x:v>
      </x:c>
      <x:c r="L280" s="54" t="n">
        <x:v>4</x:v>
      </x:c>
      <x:c r="M280" s="54" t="n">
        <x:f>IF(OR(K280="",L280=""),"",L280-K280)</x:f>
        <x:v>2</x:v>
      </x:c>
      <x:c r="N280" s="54" t="n">
        <x:f>IF(M280="","",ABS(M280))</x:f>
        <x:v>2</x:v>
      </x:c>
    </x:row>
    <x:row r="281">
      <x:c r="A281" s="54" t="n">
        <x:v>2026</x:v>
      </x:c>
      <x:c r="B281" s="54" t="n">
        <x:v>67005</x:v>
      </x:c>
      <x:c r="C281" s="54" t="str">
        <x:v>홍현빈</x:v>
      </x:c>
      <x:c r="D281" s="54" t="str">
        <x:v>SAM</x:v>
      </x:c>
      <x:c r="E281" s="54" t="n">
        <x:v>24</x:v>
      </x:c>
      <x:c r="F281" s="108" t="b">
        <x:v>0</x:v>
      </x:c>
      <x:c r="G281" s="111" t="n">
        <x:v>0.58333333</x:v>
      </x:c>
      <x:c r="H281" s="111" t="n">
        <x:v>0.48123852</x:v>
      </x:c>
      <x:c r="I281" s="111" t="n">
        <x:v>0.4786632</x:v>
      </x:c>
      <x:c r="J281" s="96" t="n">
        <x:f>(I281-H281)*100</x:f>
        <x:v>-0.2575319999999992</x:v>
      </x:c>
      <x:c r="K281" s="54"/>
      <x:c r="L281" s="54"/>
      <x:c r="M281" s="54" t="str">
        <x:f>IF(OR(K281="",L281=""),"",L281-K281)</x:f>
      </x:c>
      <x:c r="N281" s="54" t="str">
        <x:f>IF(M281="","",ABS(M281))</x:f>
      </x:c>
    </x:row>
    <x:row r="282">
      <x:c r="A282" s="54" t="n">
        <x:v>2026</x:v>
      </x:c>
      <x:c r="B282" s="54" t="n">
        <x:v>65610</x:v>
      </x:c>
      <x:c r="C282" s="54" t="str">
        <x:v>황대인</x:v>
      </x:c>
      <x:c r="D282" s="54" t="str">
        <x:v>KIA</x:v>
      </x:c>
      <x:c r="E282" s="54" t="n">
        <x:v>13</x:v>
      </x:c>
      <x:c r="F282" s="108" t="b">
        <x:v>0</x:v>
      </x:c>
      <x:c r="G282" s="111" t="n">
        <x:v>0.61538462</x:v>
      </x:c>
      <x:c r="H282" s="111" t="n">
        <x:v>0.55411486</x:v>
      </x:c>
      <x:c r="I282" s="111" t="n">
        <x:v>0.5624956600000001</x:v>
      </x:c>
      <x:c r="J282" s="96" t="n">
        <x:f>(I282-H282)*100</x:f>
        <x:v>0.8380800000000077</x:v>
      </x:c>
      <x:c r="K282" s="54"/>
      <x:c r="L282" s="54"/>
      <x:c r="M282" s="54" t="str">
        <x:f>IF(OR(K282="",L282=""),"",L282-K282)</x:f>
      </x:c>
      <x:c r="N282" s="54" t="str">
        <x:f>IF(M282="","",ABS(M282))</x:f>
      </x:c>
    </x:row>
    <x:row r="283">
      <x:c r="A283" s="54" t="n">
        <x:v>2026</x:v>
      </x:c>
      <x:c r="B283" s="54" t="n">
        <x:v>50500</x:v>
      </x:c>
      <x:c r="C283" s="54" t="str">
        <x:v>황성빈</x:v>
      </x:c>
      <x:c r="D283" s="54" t="str">
        <x:v>LOT</x:v>
      </x:c>
      <x:c r="E283" s="54" t="n">
        <x:v>1470</x:v>
      </x:c>
      <x:c r="F283" s="108" t="b">
        <x:v>1</x:v>
      </x:c>
      <x:c r="G283" s="111" t="n">
        <x:v>0.49591837</x:v>
      </x:c>
      <x:c r="H283" s="111" t="n">
        <x:v>0.44198896</x:v>
      </x:c>
      <x:c r="I283" s="111" t="n">
        <x:v>0.43974038</x:v>
      </x:c>
      <x:c r="J283" s="96" t="n">
        <x:f>(I283-H283)*100</x:f>
        <x:v>-0.224858</x:v>
      </x:c>
      <x:c r="K283" s="54" t="n">
        <x:v>93</x:v>
      </x:c>
      <x:c r="L283" s="54" t="n">
        <x:v>100</x:v>
      </x:c>
      <x:c r="M283" s="54" t="n">
        <x:f>IF(OR(K283="",L283=""),"",L283-K283)</x:f>
        <x:v>7</x:v>
      </x:c>
      <x:c r="N283" s="54" t="n">
        <x:f>IF(M283="","",ABS(M283))</x:f>
        <x:v>7</x:v>
      </x:c>
    </x:row>
    <x:row r="284">
      <x:c r="A284" s="54" t="n">
        <x:v>2026</x:v>
      </x:c>
      <x:c r="B284" s="54" t="n">
        <x:v>54795</x:v>
      </x:c>
      <x:c r="C284" s="54" t="str">
        <x:v>황영묵</x:v>
      </x:c>
      <x:c r="D284" s="54" t="str">
        <x:v>HAN</x:v>
      </x:c>
      <x:c r="E284" s="54" t="n">
        <x:v>513</x:v>
      </x:c>
      <x:c r="F284" s="108" t="b">
        <x:v>1</x:v>
      </x:c>
      <x:c r="G284" s="111" t="n">
        <x:v>0.46003899</x:v>
      </x:c>
      <x:c r="H284" s="111" t="n">
        <x:v>0.43661651999999995</x:v>
      </x:c>
      <x:c r="I284" s="111" t="n">
        <x:v>0.43440229</x:v>
      </x:c>
      <x:c r="J284" s="96" t="n">
        <x:f>(I284-H284)*100</x:f>
        <x:v>-0.22142299999999282</x:v>
      </x:c>
      <x:c r="K284" s="54" t="n">
        <x:v>115</x:v>
      </x:c>
      <x:c r="L284" s="54" t="n">
        <x:v>123</x:v>
      </x:c>
      <x:c r="M284" s="54" t="n">
        <x:f>IF(OR(K284="",L284=""),"",L284-K284)</x:f>
        <x:v>8</x:v>
      </x:c>
      <x:c r="N284" s="54" t="n">
        <x:f>IF(M284="","",ABS(M284))</x:f>
        <x:v>8</x:v>
      </x:c>
    </x:row>
    <x:row r="285">
      <x:c r="A285" s="54" t="n">
        <x:v>2026</x:v>
      </x:c>
      <x:c r="B285" s="54" t="n">
        <x:v>56305</x:v>
      </x:c>
      <x:c r="C285" s="54" t="str">
        <x:v>히우라</x:v>
      </x:c>
      <x:c r="D285" s="54" t="str">
        <x:v>KIW</x:v>
      </x:c>
      <x:c r="E285" s="54" t="n">
        <x:v>927</x:v>
      </x:c>
      <x:c r="F285" s="108" t="b">
        <x:v>1</x:v>
      </x:c>
      <x:c r="G285" s="111" t="n">
        <x:v>0.5070118699999999</x:v>
      </x:c>
      <x:c r="H285" s="111" t="n">
        <x:v>0.46927144</x:v>
      </x:c>
      <x:c r="I285" s="111" t="n">
        <x:v>0.4702487</x:v>
      </x:c>
      <x:c r="J285" s="96" t="n">
        <x:f>(I285-H285)*100</x:f>
        <x:v>0.09772600000000353</x:v>
      </x:c>
      <x:c r="K285" s="54" t="n">
        <x:v>13</x:v>
      </x:c>
      <x:c r="L285" s="54" t="n">
        <x:v>10</x:v>
      </x:c>
      <x:c r="M285" s="54" t="n">
        <x:f>IF(OR(K285="",L285=""),"",L285-K285)</x:f>
        <x:v>-3</x:v>
      </x:c>
      <x:c r="N285" s="54" t="n">
        <x:f>IF(M285="","",ABS(M285))</x:f>
        <x:v>3</x:v>
      </x:c>
    </x:row>
    <x:row r="286">
      <x:c r="A286" s="55" t="n">
        <x:v>2026</x:v>
      </x:c>
      <x:c r="B286" s="55" t="n">
        <x:v>56034</x:v>
      </x:c>
      <x:c r="C286" s="55" t="str">
        <x:v>힐리어드</x:v>
      </x:c>
      <x:c r="D286" s="55" t="str">
        <x:v>KT</x:v>
      </x:c>
      <x:c r="E286" s="55" t="n">
        <x:v>1984</x:v>
      </x:c>
      <x:c r="F286" s="109" t="b">
        <x:v>1</x:v>
      </x:c>
      <x:c r="G286" s="112" t="n">
        <x:v>0.46068548</x:v>
      </x:c>
      <x:c r="H286" s="112" t="n">
        <x:v>0.43551591</x:v>
      </x:c>
      <x:c r="I286" s="112" t="n">
        <x:v>0.43473119</x:v>
      </x:c>
      <x:c r="J286" s="97" t="n">
        <x:f>(I286-H286)*100</x:f>
        <x:v>-0.07847200000000165</x:v>
      </x:c>
      <x:c r="K286" s="55" t="n">
        <x:v>119</x:v>
      </x:c>
      <x:c r="L286" s="55" t="n">
        <x:v>119</x:v>
      </x:c>
      <x:c r="M286" s="55" t="n">
        <x:f>IF(OR(K286="",L286=""),"",L286-K286)</x:f>
        <x:v>0</x:v>
      </x:c>
      <x:c r="N286" s="55" t="str">
        <x:f>IF(M286="","",ABS(M286))</x:f>
      </x:c>
    </x:row>
  </x:sheetData>
  <x:mergeCells>
    <x:mergeCell ref="A1:N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12" hidden="0" customWidth="1"/>
    <x:col min="20" max="20" width="12" hidden="0" customWidth="1"/>
    <x:col min="21" max="21" width="12" hidden="0" customWidth="1"/>
    <x:col min="22" max="22" width="12" hidden="0" customWidth="1"/>
    <x:col min="23" max="23" width="12" hidden="0" customWidth="1"/>
    <x:col min="24" max="24" width="12" hidden="0" customWidth="1"/>
    <x:col min="25" max="25" width="12" hidden="0" customWidth="1"/>
  </x:cols>
  <x:sheetData>
    <x:row r="1" ht="30" customHeight="1">
      <x:c r="A1" s="3" t="str">
        <x:v>Base Stats · Residual · Cluster 진단 (앱 비노출)</x:v>
      </x:c>
      <x:c r="B1" s="3" t="str">
        <x:v>Base Stats · Residual · Cluster 진단 (앱 비노출)</x:v>
      </x:c>
      <x:c r="C1" s="3" t="str">
        <x:v>Base Stats · Residual · Cluster 진단 (앱 비노출)</x:v>
      </x:c>
      <x:c r="D1" s="3" t="str">
        <x:v>Base Stats · Residual · Cluster 진단 (앱 비노출)</x:v>
      </x:c>
      <x:c r="E1" s="3" t="str">
        <x:v>Base Stats · Residual · Cluster 진단 (앱 비노출)</x:v>
      </x:c>
      <x:c r="F1" s="3" t="str">
        <x:v>Base Stats · Residual · Cluster 진단 (앱 비노출)</x:v>
      </x:c>
      <x:c r="G1" s="3" t="str">
        <x:v>Base Stats · Residual · Cluster 진단 (앱 비노출)</x:v>
      </x:c>
      <x:c r="H1" s="3" t="str">
        <x:v>Base Stats · Residual · Cluster 진단 (앱 비노출)</x:v>
      </x:c>
      <x:c r="I1" s="3" t="str">
        <x:v>Base Stats · Residual · Cluster 진단 (앱 비노출)</x:v>
      </x:c>
      <x:c r="J1" s="3" t="str">
        <x:v>Base Stats · Residual · Cluster 진단 (앱 비노출)</x:v>
      </x:c>
      <x:c r="K1" s="3" t="str">
        <x:v>Base Stats · Residual · Cluster 진단 (앱 비노출)</x:v>
      </x:c>
      <x:c r="L1" s="3" t="str">
        <x:v>Base Stats · Residual · Cluster 진단 (앱 비노출)</x:v>
      </x:c>
      <x:c r="M1" s="3" t="str">
        <x:v>Base Stats · Residual · Cluster 진단 (앱 비노출)</x:v>
      </x:c>
      <x:c r="N1" s="3" t="str">
        <x:v>Base Stats · Residual · Cluster 진단 (앱 비노출)</x:v>
      </x:c>
      <x:c r="O1" s="3" t="str">
        <x:v>Base Stats · Residual · Cluster 진단 (앱 비노출)</x:v>
      </x:c>
      <x:c r="P1" s="3" t="str">
        <x:v>Base Stats · Residual · Cluster 진단 (앱 비노출)</x:v>
      </x:c>
      <x:c r="Q1" s="3" t="str">
        <x:v>Base Stats · Residual · Cluster 진단 (앱 비노출)</x:v>
      </x:c>
      <x:c r="R1" s="3" t="str">
        <x:v>Base Stats · Residual · Cluster 진단 (앱 비노출)</x:v>
      </x:c>
      <x:c r="S1" s="3" t="str">
        <x:v>Base Stats · Residual · Cluster 진단 (앱 비노출)</x:v>
      </x:c>
      <x:c r="T1" s="3" t="str">
        <x:v>Base Stats · Residual · Cluster 진단 (앱 비노출)</x:v>
      </x:c>
      <x:c r="U1" s="3" t="str">
        <x:v>Base Stats · Residual · Cluster 진단 (앱 비노출)</x:v>
      </x:c>
      <x:c r="V1" s="3" t="str">
        <x:v>Base Stats · Residual · Cluster 진단 (앱 비노출)</x:v>
      </x:c>
      <x:c r="W1" s="3" t="str">
        <x:v>Base Stats · Residual · Cluster 진단 (앱 비노출)</x:v>
      </x:c>
      <x:c r="X1" s="3" t="str">
        <x:v>Base Stats · Residual · Cluster 진단 (앱 비노출)</x:v>
      </x:c>
      <x:c r="Y1" s="3" t="str">
        <x:v>Base Stats · Residual · Cluster 진단 (앱 비노출)</x:v>
      </x:c>
      <x:c r="Z1" s="3" t="str">
        <x:v>Base Stats · Residual · Cluster 진단 (앱 비노출)</x:v>
      </x:c>
      <x:c r="AA1" s="3" t="str">
        <x:v>Base Stats · Residual · Cluster 진단 (앱 비노출)</x:v>
      </x:c>
    </x:row>
    <x:row r="2" ht="30" customHeight="1">
      <x:c r="A2" s="3" t="str">
        <x:v>Base Stats · Residual · Cluster 진단 (앱 비노출)</x:v>
      </x:c>
      <x:c r="B2" s="3" t="str">
        <x:v>Base Stats · Residual · Cluster 진단 (앱 비노출)</x:v>
      </x:c>
      <x:c r="C2" s="3" t="str">
        <x:v>Base Stats · Residual · Cluster 진단 (앱 비노출)</x:v>
      </x:c>
      <x:c r="D2" s="3" t="str">
        <x:v>Base Stats · Residual · Cluster 진단 (앱 비노출)</x:v>
      </x:c>
      <x:c r="E2" s="3" t="str">
        <x:v>Base Stats · Residual · Cluster 진단 (앱 비노출)</x:v>
      </x:c>
      <x:c r="F2" s="3" t="str">
        <x:v>Base Stats · Residual · Cluster 진단 (앱 비노출)</x:v>
      </x:c>
      <x:c r="G2" s="3" t="str">
        <x:v>Base Stats · Residual · Cluster 진단 (앱 비노출)</x:v>
      </x:c>
      <x:c r="H2" s="3" t="str">
        <x:v>Base Stats · Residual · Cluster 진단 (앱 비노출)</x:v>
      </x:c>
      <x:c r="I2" s="3" t="str">
        <x:v>Base Stats · Residual · Cluster 진단 (앱 비노출)</x:v>
      </x:c>
      <x:c r="J2" s="3" t="str">
        <x:v>Base Stats · Residual · Cluster 진단 (앱 비노출)</x:v>
      </x:c>
      <x:c r="K2" s="3" t="str">
        <x:v>Base Stats · Residual · Cluster 진단 (앱 비노출)</x:v>
      </x:c>
      <x:c r="L2" s="3" t="str">
        <x:v>Base Stats · Residual · Cluster 진단 (앱 비노출)</x:v>
      </x:c>
      <x:c r="M2" s="3" t="str">
        <x:v>Base Stats · Residual · Cluster 진단 (앱 비노출)</x:v>
      </x:c>
      <x:c r="N2" s="3" t="str">
        <x:v>Base Stats · Residual · Cluster 진단 (앱 비노출)</x:v>
      </x:c>
      <x:c r="O2" s="3" t="str">
        <x:v>Base Stats · Residual · Cluster 진단 (앱 비노출)</x:v>
      </x:c>
      <x:c r="P2" s="3" t="str">
        <x:v>Base Stats · Residual · Cluster 진단 (앱 비노출)</x:v>
      </x:c>
      <x:c r="Q2" s="3" t="str">
        <x:v>Base Stats · Residual · Cluster 진단 (앱 비노출)</x:v>
      </x:c>
      <x:c r="R2" s="3" t="str">
        <x:v>Base Stats · Residual · Cluster 진단 (앱 비노출)</x:v>
      </x:c>
      <x:c r="S2" s="3" t="str">
        <x:v>Base Stats · Residual · Cluster 진단 (앱 비노출)</x:v>
      </x:c>
      <x:c r="T2" s="3" t="str">
        <x:v>Base Stats · Residual · Cluster 진단 (앱 비노출)</x:v>
      </x:c>
      <x:c r="U2" s="3" t="str">
        <x:v>Base Stats · Residual · Cluster 진단 (앱 비노출)</x:v>
      </x:c>
      <x:c r="V2" s="3" t="str">
        <x:v>Base Stats · Residual · Cluster 진단 (앱 비노출)</x:v>
      </x:c>
      <x:c r="W2" s="3" t="str">
        <x:v>Base Stats · Residual · Cluster 진단 (앱 비노출)</x:v>
      </x:c>
      <x:c r="X2" s="3" t="str">
        <x:v>Base Stats · Residual · Cluster 진단 (앱 비노출)</x:v>
      </x:c>
      <x:c r="Y2" s="3" t="str">
        <x:v>Base Stats · Residual · Cluster 진단 (앱 비노출)</x:v>
      </x:c>
      <x:c r="Z2" s="3" t="str">
        <x:v>Base Stats · Residual · Cluster 진단 (앱 비노출)</x:v>
      </x:c>
      <x:c r="AA2" s="3" t="str">
        <x:v>Base Stats · Residual · Cluster 진단 (앱 비노출)</x:v>
      </x:c>
    </x:row>
    <x:row r="4" ht="30" customHeight="1">
      <x:c r="A4" s="48" t="str">
        <x:v>선수</x:v>
      </x:c>
      <x:c r="B4" s="49" t="str">
        <x:v>팀</x:v>
      </x:c>
      <x:c r="C4" s="49" t="str">
        <x:v>투구 수</x:v>
      </x:c>
      <x:c r="D4" s="49" t="str">
        <x:v>SA</x:v>
      </x:c>
      <x:c r="E4" s="49" t="str">
        <x:v>ZA Raw</x:v>
      </x:c>
      <x:c r="F4" s="49" t="str">
        <x:v>ZA 백분위</x:v>
      </x:c>
      <x:c r="G4" s="49" t="str">
        <x:v>DV/100</x:v>
      </x:c>
      <x:c r="H4" s="49" t="str">
        <x:v>Swing%</x:v>
      </x:c>
      <x:c r="I4" s="49" t="str">
        <x:v>Z-Swing%</x:v>
      </x:c>
      <x:c r="J4" s="49" t="str">
        <x:v>O-Swing%</x:v>
      </x:c>
      <x:c r="K4" s="49" t="str">
        <x:v>Z−O</x:v>
      </x:c>
      <x:c r="L4" s="49" t="str">
        <x:v>Heart%</x:v>
      </x:c>
      <x:c r="M4" s="49" t="str">
        <x:v>Meatball%</x:v>
      </x:c>
      <x:c r="N4" s="49" t="str">
        <x:v>Shadow%</x:v>
      </x:c>
      <x:c r="O4" s="49" t="str">
        <x:v>Chase%</x:v>
      </x:c>
      <x:c r="P4" s="49" t="str">
        <x:v>Waste%</x:v>
      </x:c>
      <x:c r="Q4" s="49" t="str">
        <x:v>Z resid</x:v>
      </x:c>
      <x:c r="R4" s="49" t="str">
        <x:v>O resid</x:v>
      </x:c>
      <x:c r="S4" s="49" t="str">
        <x:v>Heart resid</x:v>
      </x:c>
      <x:c r="T4" s="49" t="str">
        <x:v>Meatball resid</x:v>
      </x:c>
      <x:c r="U4" s="49" t="str">
        <x:v>Waste resid</x:v>
      </x:c>
      <x:c r="V4" s="49" t="str">
        <x:v>Shadow resid</x:v>
      </x:c>
      <x:c r="W4" s="49" t="str">
        <x:v>Cluster</x:v>
      </x:c>
      <x:c r="X4" s="49" t="str">
        <x:v>거리</x:v>
      </x:c>
      <x:c r="Y4" s="50" t="str">
        <x:v>거리 이상치</x:v>
      </x:c>
    </x:row>
    <x:row r="5">
      <x:c r="A5" s="53" t="str">
        <x:v>강민호</x:v>
      </x:c>
      <x:c r="B5" s="53" t="str">
        <x:v>SAM</x:v>
      </x:c>
      <x:c r="C5" s="53" t="n">
        <x:v>1099</x:v>
      </x:c>
      <x:c r="D5" s="101" t="n">
        <x:v>-5.111516</x:v>
      </x:c>
      <x:c r="E5" s="101" t="n">
        <x:v>0.054999</x:v>
      </x:c>
      <x:c r="F5" s="101" t="n">
        <x:v>0.43082</x:v>
      </x:c>
      <x:c r="G5" s="101" t="n">
        <x:v>6.498016</x:v>
      </x:c>
      <x:c r="H5" s="98" t="n">
        <x:v>0.41856233000000004</x:v>
      </x:c>
      <x:c r="I5" s="98" t="n">
        <x:v>0.60912698</x:v>
      </x:c>
      <x:c r="J5" s="98" t="n">
        <x:v>0.25714286000000003</x:v>
      </x:c>
      <x:c r="K5" s="98" t="n">
        <x:v>0.35198411999999996</x:v>
      </x:c>
      <x:c r="L5" s="98" t="n">
        <x:v>0.6741573</x:v>
      </x:c>
      <x:c r="M5" s="98" t="n">
        <x:v>0.70886076</x:v>
      </x:c>
      <x:c r="N5" s="98" t="n">
        <x:v>0.48868778</x:v>
      </x:c>
      <x:c r="O5" s="98" t="n">
        <x:v>0.20863309000000002</x:v>
      </x:c>
      <x:c r="P5" s="98" t="n">
        <x:v>0.053571429999999996</x:v>
      </x:c>
      <x:c r="Q5" s="101" t="n">
        <x:v>-3.636724</x:v>
      </x:c>
      <x:c r="R5" s="101" t="n">
        <x:v>-3.170974</x:v>
      </x:c>
      <x:c r="S5" s="101" t="n">
        <x:v>-2.246277</x:v>
      </x:c>
      <x:c r="T5" s="101" t="n">
        <x:v>-1.961833</x:v>
      </x:c>
      <x:c r="U5" s="101" t="n">
        <x:v>-3.044241</x:v>
      </x:c>
      <x:c r="V5" s="101" t="n">
        <x:v>-3.636587</x:v>
      </x:c>
      <x:c r="W5" s="101" t="n">
        <x:v>2</x:v>
      </x:c>
      <x:c r="X5" s="101" t="n">
        <x:v>0.581142</x:v>
      </x:c>
      <x:c r="Y5" s="107" t="b">
        <x:v>0</x:v>
      </x:c>
    </x:row>
    <x:row r="6">
      <x:c r="A6" s="54" t="str">
        <x:v>강백호</x:v>
      </x:c>
      <x:c r="B6" s="54" t="str">
        <x:v>HAN</x:v>
      </x:c>
      <x:c r="C6" s="54" t="n">
        <x:v>1900</x:v>
      </x:c>
      <x:c r="D6" s="102" t="n">
        <x:v>-1.641781</x:v>
      </x:c>
      <x:c r="E6" s="102" t="n">
        <x:v>-3.389163</x:v>
      </x:c>
      <x:c r="F6" s="102" t="n">
        <x:v>0.07232999999999999</x:v>
      </x:c>
      <x:c r="G6" s="102" t="n">
        <x:v>5.586775</x:v>
      </x:c>
      <x:c r="H6" s="99" t="n">
        <x:v>0.41210526000000003</x:v>
      </x:c>
      <x:c r="I6" s="99" t="n">
        <x:v>0.5721393</x:v>
      </x:c>
      <x:c r="J6" s="99" t="n">
        <x:v>0.29470803</x:v>
      </x:c>
      <x:c r="K6" s="99" t="n">
        <x:v>0.27743127</x:v>
      </x:c>
      <x:c r="L6" s="99" t="n">
        <x:v>0.61860465</x:v>
      </x:c>
      <x:c r="M6" s="99" t="n">
        <x:v>0.66412214</x:v>
      </x:c>
      <x:c r="N6" s="99" t="n">
        <x:v>0.49372385</x:v>
      </x:c>
      <x:c r="O6" s="99" t="n">
        <x:v>0.26170213</x:v>
      </x:c>
      <x:c r="P6" s="99" t="n">
        <x:v>0.14134276</x:v>
      </x:c>
      <x:c r="Q6" s="102" t="n">
        <x:v>-3.10631</x:v>
      </x:c>
      <x:c r="R6" s="102" t="n">
        <x:v>-1.840572</x:v>
      </x:c>
      <x:c r="S6" s="102" t="n">
        <x:v>-2.414706</x:v>
      </x:c>
      <x:c r="T6" s="102" t="n">
        <x:v>-1.310487</x:v>
      </x:c>
      <x:c r="U6" s="102" t="n">
        <x:v>3.17897</x:v>
      </x:c>
      <x:c r="V6" s="102" t="n">
        <x:v>-1.867947</x:v>
      </x:c>
      <x:c r="W6" s="102" t="n">
        <x:v>2</x:v>
      </x:c>
      <x:c r="X6" s="102" t="n">
        <x:v>1.607997</x:v>
      </x:c>
      <x:c r="Y6" s="108" t="b">
        <x:v>0</x:v>
      </x:c>
    </x:row>
    <x:row r="7">
      <x:c r="A7" s="54" t="str">
        <x:v>강승호</x:v>
      </x:c>
      <x:c r="B7" s="54" t="str">
        <x:v>DOO</x:v>
      </x:c>
      <x:c r="C7" s="54" t="n">
        <x:v>818</x:v>
      </x:c>
      <x:c r="D7" s="102" t="n">
        <x:v>3.159555</x:v>
      </x:c>
      <x:c r="E7" s="102" t="n">
        <x:v>0.274345</x:v>
      </x:c>
      <x:c r="F7" s="102" t="n">
        <x:v>0.45597</x:v>
      </x:c>
      <x:c r="G7" s="102" t="n">
        <x:v>5.53748</x:v>
      </x:c>
      <x:c r="H7" s="99" t="n">
        <x:v>0.49633252</x:v>
      </x:c>
      <x:c r="I7" s="99" t="n">
        <x:v>0.69277108</x:v>
      </x:c>
      <x:c r="J7" s="99" t="n">
        <x:v>0.36213991999999995</x:v>
      </x:c>
      <x:c r="K7" s="99" t="n">
        <x:v>0.33063116000000004</x:v>
      </x:c>
      <x:c r="L7" s="99" t="n">
        <x:v>0.73513514</x:v>
      </x:c>
      <x:c r="M7" s="99" t="n">
        <x:v>0.77966102</x:v>
      </x:c>
      <x:c r="N7" s="99" t="n">
        <x:v>0.60237389</x:v>
      </x:c>
      <x:c r="O7" s="99" t="n">
        <x:v>0.30890052</x:v>
      </x:c>
      <x:c r="P7" s="99" t="n">
        <x:v>0.07619048</x:v>
      </x:c>
      <x:c r="Q7" s="102" t="n">
        <x:v>4.458345</x:v>
      </x:c>
      <x:c r="R7" s="102" t="n">
        <x:v>7.483243</x:v>
      </x:c>
      <x:c r="S7" s="102" t="n">
        <x:v>3.508439</x:v>
      </x:c>
      <x:c r="T7" s="102" t="n">
        <x:v>4.791788</x:v>
      </x:c>
      <x:c r="U7" s="102" t="n">
        <x:v>-0.619686</x:v>
      </x:c>
      <x:c r="V7" s="102" t="n">
        <x:v>7.651459</x:v>
      </x:c>
      <x:c r="W7" s="102" t="n">
        <x:v>1</x:v>
      </x:c>
      <x:c r="X7" s="102" t="n">
        <x:v>1.079463</x:v>
      </x:c>
      <x:c r="Y7" s="108" t="b">
        <x:v>0</x:v>
      </x:c>
    </x:row>
    <x:row r="8">
      <x:c r="A8" s="54" t="str">
        <x:v>고명준</x:v>
      </x:c>
      <x:c r="B8" s="54" t="str">
        <x:v>SSG</x:v>
      </x:c>
      <x:c r="C8" s="54" t="n">
        <x:v>585</x:v>
      </x:c>
      <x:c r="D8" s="102" t="n">
        <x:v>6.129953</x:v>
      </x:c>
      <x:c r="E8" s="102" t="n">
        <x:v>-0.000592</x:v>
      </x:c>
      <x:c r="F8" s="102" t="n">
        <x:v>0.41824</x:v>
      </x:c>
      <x:c r="G8" s="102" t="n">
        <x:v>4.510405</x:v>
      </x:c>
      <x:c r="H8" s="99" t="n">
        <x:v>0.5128205100000001</x:v>
      </x:c>
      <x:c r="I8" s="99" t="n">
        <x:v>0.68774704</x:v>
      </x:c>
      <x:c r="J8" s="99" t="n">
        <x:v>0.37951807000000004</x:v>
      </x:c>
      <x:c r="K8" s="99" t="n">
        <x:v>0.30822897</x:v>
      </x:c>
      <x:c r="L8" s="99" t="n">
        <x:v>0.734375</x:v>
      </x:c>
      <x:c r="M8" s="99" t="n">
        <x:v>0.73684211</x:v>
      </x:c>
      <x:c r="N8" s="99" t="n">
        <x:v>0.60569106</x:v>
      </x:c>
      <x:c r="O8" s="99" t="n">
        <x:v>0.34814815000000005</x:v>
      </x:c>
      <x:c r="P8" s="99" t="n">
        <x:v>0.13157895</x:v>
      </x:c>
      <x:c r="Q8" s="102" t="n">
        <x:v>4.293544</x:v>
      </x:c>
      <x:c r="R8" s="102" t="n">
        <x:v>9.027388</x:v>
      </x:c>
      <x:c r="S8" s="102" t="n">
        <x:v>3.86244</x:v>
      </x:c>
      <x:c r="T8" s="102" t="n">
        <x:v>0.919027</x:v>
      </x:c>
      <x:c r="U8" s="102" t="n">
        <x:v>4.715289</x:v>
      </x:c>
      <x:c r="V8" s="102" t="n">
        <x:v>8.084159</x:v>
      </x:c>
      <x:c r="W8" s="102" t="n">
        <x:v>1</x:v>
      </x:c>
      <x:c r="X8" s="102" t="n">
        <x:v>1.370468</x:v>
      </x:c>
      <x:c r="Y8" s="108" t="b">
        <x:v>0</x:v>
      </x:c>
    </x:row>
    <x:row r="9">
      <x:c r="A9" s="54" t="str">
        <x:v>고승민</x:v>
      </x:c>
      <x:c r="B9" s="54" t="str">
        <x:v>LOT</x:v>
      </x:c>
      <x:c r="C9" s="54" t="n">
        <x:v>1494</x:v>
      </x:c>
      <x:c r="D9" s="102" t="n">
        <x:v>-4.976695</x:v>
      </x:c>
      <x:c r="E9" s="102" t="n">
        <x:v>-2.644728</x:v>
      </x:c>
      <x:c r="F9" s="102" t="n">
        <x:v>0.12893000000000002</x:v>
      </x:c>
      <x:c r="G9" s="102" t="n">
        <x:v>5.720838</x:v>
      </x:c>
      <x:c r="H9" s="99" t="n">
        <x:v>0.40428379999999997</x:v>
      </x:c>
      <x:c r="I9" s="99" t="n">
        <x:v>0.57203994</x:v>
      </x:c>
      <x:c r="J9" s="99" t="n">
        <x:v>0.25598991000000004</x:v>
      </x:c>
      <x:c r="K9" s="99" t="n">
        <x:v>0.31605003</x:v>
      </x:c>
      <x:c r="L9" s="99" t="n">
        <x:v>0.60881543</x:v>
      </x:c>
      <x:c r="M9" s="99" t="n">
        <x:v>0.7108433700000001</x:v>
      </x:c>
      <x:c r="N9" s="99" t="n">
        <x:v>0.46469622</x:v>
      </x:c>
      <x:c r="O9" s="99" t="n">
        <x:v>0.25513196</x:v>
      </x:c>
      <x:c r="P9" s="99" t="n">
        <x:v>0.0718232</x:v>
      </x:c>
      <x:c r="Q9" s="102" t="n">
        <x:v>-4.030359</x:v>
      </x:c>
      <x:c r="R9" s="102" t="n">
        <x:v>-5.187994</x:v>
      </x:c>
      <x:c r="S9" s="102" t="n">
        <x:v>-4.55796</x:v>
      </x:c>
      <x:c r="T9" s="102" t="n">
        <x:v>2.253853</x:v>
      </x:c>
      <x:c r="U9" s="102" t="n">
        <x:v>-3.220971</x:v>
      </x:c>
      <x:c r="V9" s="102" t="n">
        <x:v>-5.04414</x:v>
      </x:c>
      <x:c r="W9" s="102" t="n">
        <x:v>2</x:v>
      </x:c>
      <x:c r="X9" s="102" t="n">
        <x:v>0.921377</x:v>
      </x:c>
      <x:c r="Y9" s="108" t="b">
        <x:v>0</x:v>
      </x:c>
    </x:row>
    <x:row r="10">
      <x:c r="A10" s="54" t="str">
        <x:v>구본혁</x:v>
      </x:c>
      <x:c r="B10" s="54" t="str">
        <x:v>LG</x:v>
      </x:c>
      <x:c r="C10" s="54" t="n">
        <x:v>1079</x:v>
      </x:c>
      <x:c r="D10" s="102" t="n">
        <x:v>3.407832</x:v>
      </x:c>
      <x:c r="E10" s="102" t="n">
        <x:v>0.352649</x:v>
      </x:c>
      <x:c r="F10" s="102" t="n">
        <x:v>0.48113</x:v>
      </x:c>
      <x:c r="G10" s="102" t="n">
        <x:v>6.173968</x:v>
      </x:c>
      <x:c r="H10" s="99" t="n">
        <x:v>0.5032437399999999</x:v>
      </x:c>
      <x:c r="I10" s="99" t="n">
        <x:v>0.71257485</x:v>
      </x:c>
      <x:c r="J10" s="99" t="n">
        <x:v>0.32179931000000006</x:v>
      </x:c>
      <x:c r="K10" s="99" t="n">
        <x:v>0.39077554</x:v>
      </x:c>
      <x:c r="L10" s="99" t="n">
        <x:v>0.7816092</x:v>
      </x:c>
      <x:c r="M10" s="99" t="n">
        <x:v>0.77011494</x:v>
      </x:c>
      <x:c r="N10" s="99" t="n">
        <x:v>0.57718121</x:v>
      </x:c>
      <x:c r="O10" s="99" t="n">
        <x:v>0.28571429</x:v>
      </x:c>
      <x:c r="P10" s="99" t="n">
        <x:v>0.0625</x:v>
      </x:c>
      <x:c r="Q10" s="102" t="n">
        <x:v>6.34257</x:v>
      </x:c>
      <x:c r="R10" s="102" t="n">
        <x:v>3.50434</x:v>
      </x:c>
      <x:c r="S10" s="102" t="n">
        <x:v>8.033374</x:v>
      </x:c>
      <x:c r="T10" s="102" t="n">
        <x:v>3.720657</x:v>
      </x:c>
      <x:c r="U10" s="102" t="n">
        <x:v>-1.93067</x:v>
      </x:c>
      <x:c r="V10" s="102" t="n">
        <x:v>5.10343</x:v>
      </x:c>
      <x:c r="W10" s="102" t="n">
        <x:v>1</x:v>
      </x:c>
      <x:c r="X10" s="102" t="n">
        <x:v>1.378713</x:v>
      </x:c>
      <x:c r="Y10" s="108" t="b">
        <x:v>0</x:v>
      </x:c>
    </x:row>
    <x:row r="11">
      <x:c r="A11" s="54" t="str">
        <x:v>구자욱</x:v>
      </x:c>
      <x:c r="B11" s="54" t="str">
        <x:v>SAM</x:v>
      </x:c>
      <x:c r="C11" s="54" t="n">
        <x:v>1681</x:v>
      </x:c>
      <x:c r="D11" s="102" t="n">
        <x:v>0.636933</x:v>
      </x:c>
      <x:c r="E11" s="102" t="n">
        <x:v>3.029522</x:v>
      </x:c>
      <x:c r="F11" s="102" t="n">
        <x:v>0.80818</x:v>
      </x:c>
      <x:c r="G11" s="102" t="n">
        <x:v>7.405988</x:v>
      </x:c>
      <x:c r="H11" s="99" t="n">
        <x:v>0.43961927</x:v>
      </x:c>
      <x:c r="I11" s="99" t="n">
        <x:v>0.6547945199999999</x:v>
      </x:c>
      <x:c r="J11" s="99" t="n">
        <x:v>0.27444795</x:v>
      </x:c>
      <x:c r="K11" s="99" t="n">
        <x:v>0.38034657000000005</x:v>
      </x:c>
      <x:c r="L11" s="99" t="n">
        <x:v>0.70889488</x:v>
      </x:c>
      <x:c r="M11" s="99" t="n">
        <x:v>0.7807017500000001</x:v>
      </x:c>
      <x:c r="N11" s="99" t="n">
        <x:v>0.51783167</x:v>
      </x:c>
      <x:c r="O11" s="99" t="n">
        <x:v>0.25126904</x:v>
      </x:c>
      <x:c r="P11" s="99" t="n">
        <x:v>0.06511628</x:v>
      </x:c>
      <x:c r="Q11" s="102" t="n">
        <x:v>-2.722469</x:v>
      </x:c>
      <x:c r="R11" s="102" t="n">
        <x:v>0.654831</x:v>
      </x:c>
      <x:c r="S11" s="102" t="n">
        <x:v>-3.424817</x:v>
      </x:c>
      <x:c r="T11" s="102" t="n">
        <x:v>0.795922</x:v>
      </x:c>
      <x:c r="U11" s="102" t="n">
        <x:v>0.315919</x:v>
      </x:c>
      <x:c r="V11" s="102" t="n">
        <x:v>-1.814733</x:v>
      </x:c>
      <x:c r="W11" s="102" t="n">
        <x:v>2</x:v>
      </x:c>
      <x:c r="X11" s="102" t="n">
        <x:v>1.408454</x:v>
      </x:c>
      <x:c r="Y11" s="108" t="b">
        <x:v>0</x:v>
      </x:c>
    </x:row>
    <x:row r="12">
      <x:c r="A12" s="54" t="str">
        <x:v>권동진</x:v>
      </x:c>
      <x:c r="B12" s="54" t="str">
        <x:v>KT</x:v>
      </x:c>
      <x:c r="C12" s="54" t="n">
        <x:v>894</x:v>
      </x:c>
      <x:c r="D12" s="102" t="n">
        <x:v>-0.99639</x:v>
      </x:c>
      <x:c r="E12" s="102" t="n">
        <x:v>0.075878</x:v>
      </x:c>
      <x:c r="F12" s="102" t="n">
        <x:v>0.43711</x:v>
      </x:c>
      <x:c r="G12" s="102" t="n">
        <x:v>6.836782</x:v>
      </x:c>
      <x:c r="H12" s="99" t="n">
        <x:v>0.44742729</x:v>
      </x:c>
      <x:c r="I12" s="99" t="n">
        <x:v>0.65238095</x:v>
      </x:c>
      <x:c r="J12" s="99" t="n">
        <x:v>0.26582278</x:v>
      </x:c>
      <x:c r="K12" s="99" t="n">
        <x:v>0.38655817</x:v>
      </x:c>
      <x:c r="L12" s="99" t="n">
        <x:v>0.72807018</x:v>
      </x:c>
      <x:c r="M12" s="99" t="n">
        <x:v>0.82352941</x:v>
      </x:c>
      <x:c r="N12" s="99" t="n">
        <x:v>0.50134048</x:v>
      </x:c>
      <x:c r="O12" s="99" t="n">
        <x:v>0.23497268</x:v>
      </x:c>
      <x:c r="P12" s="99" t="n">
        <x:v>0.03636364</x:v>
      </x:c>
      <x:c r="Q12" s="102" t="n">
        <x:v>0.663035</x:v>
      </x:c>
      <x:c r="R12" s="102" t="n">
        <x:v>-2.288274</x:v>
      </x:c>
      <x:c r="S12" s="102" t="n">
        <x:v>3.112355</x:v>
      </x:c>
      <x:c r="T12" s="102" t="n">
        <x:v>9.473963</x:v>
      </x:c>
      <x:c r="U12" s="102" t="n">
        <x:v>-4.749537</x:v>
      </x:c>
      <x:c r="V12" s="102" t="n">
        <x:v>-2.378986</x:v>
      </x:c>
      <x:c r="W12" s="102" t="n">
        <x:v>1</x:v>
      </x:c>
      <x:c r="X12" s="102" t="n">
        <x:v>2.480949</x:v>
      </x:c>
      <x:c r="Y12" s="108" t="b">
        <x:v>0</x:v>
      </x:c>
    </x:row>
    <x:row r="13">
      <x:c r="A13" s="54" t="str">
        <x:v>권혁빈</x:v>
      </x:c>
      <x:c r="B13" s="54" t="str">
        <x:v>KIW</x:v>
      </x:c>
      <x:c r="C13" s="54" t="n">
        <x:v>938</x:v>
      </x:c>
      <x:c r="D13" s="102" t="n">
        <x:v>-2.392349</x:v>
      </x:c>
      <x:c r="E13" s="102" t="n">
        <x:v>-5.55316</x:v>
      </x:c>
      <x:c r="F13" s="102" t="n">
        <x:v>0.028300000000000002</x:v>
      </x:c>
      <x:c r="G13" s="102" t="n">
        <x:v>4.397368</x:v>
      </x:c>
      <x:c r="H13" s="99" t="n">
        <x:v>0.43603411999999997</x:v>
      </x:c>
      <x:c r="I13" s="99" t="n">
        <x:v>0.55</x:v>
      </x:c>
      <x:c r="J13" s="99" t="n">
        <x:v>0.33534137</x:v>
      </x:c>
      <x:c r="K13" s="99" t="n">
        <x:v>0.21465863</x:v>
      </x:c>
      <x:c r="L13" s="99" t="n">
        <x:v>0.58297872</x:v>
      </x:c>
      <x:c r="M13" s="99" t="n">
        <x:v>0.60869565</x:v>
      </x:c>
      <x:c r="N13" s="99" t="n">
        <x:v>0.47448979999999996</x:v>
      </x:c>
      <x:c r="O13" s="99" t="n">
        <x:v>0.32888889</x:v>
      </x:c>
      <x:c r="P13" s="99" t="n">
        <x:v>0.13953488</x:v>
      </x:c>
      <x:c r="Q13" s="102" t="n">
        <x:v>-2.663009</x:v>
      </x:c>
      <x:c r="R13" s="102" t="n">
        <x:v>0.698413</x:v>
      </x:c>
      <x:c r="S13" s="102" t="n">
        <x:v>-2.592703</x:v>
      </x:c>
      <x:c r="T13" s="102" t="n">
        <x:v>-3.632924</x:v>
      </x:c>
      <x:c r="U13" s="102" t="n">
        <x:v>1.393531</x:v>
      </x:c>
      <x:c r="V13" s="102" t="n">
        <x:v>-2.996521</x:v>
      </x:c>
      <x:c r="W13" s="102" t="n">
        <x:v>2</x:v>
      </x:c>
      <x:c r="X13" s="102" t="n">
        <x:v>1.393954</x:v>
      </x:c>
      <x:c r="Y13" s="108" t="b">
        <x:v>0</x:v>
      </x:c>
    </x:row>
    <x:row r="14">
      <x:c r="A14" s="54" t="str">
        <x:v>권희동</x:v>
      </x:c>
      <x:c r="B14" s="54" t="str">
        <x:v>NC</x:v>
      </x:c>
      <x:c r="C14" s="54" t="n">
        <x:v>990</x:v>
      </x:c>
      <x:c r="D14" s="102" t="n">
        <x:v>-16.20771</x:v>
      </x:c>
      <x:c r="E14" s="102" t="n">
        <x:v>-2.544884</x:v>
      </x:c>
      <x:c r="F14" s="102" t="n">
        <x:v>0.1478</x:v>
      </x:c>
      <x:c r="G14" s="102" t="n">
        <x:v>7.223707</x:v>
      </x:c>
      <x:c r="H14" s="99" t="n">
        <x:v>0.32020202</x:v>
      </x:c>
      <x:c r="I14" s="99" t="n">
        <x:v>0.49266247</x:v>
      </x:c>
      <x:c r="J14" s="99" t="n">
        <x:v>0.15984405000000002</x:v>
      </x:c>
      <x:c r="K14" s="99" t="n">
        <x:v>0.33281841999999995</x:v>
      </x:c>
      <x:c r="L14" s="99" t="n">
        <x:v>0.532</x:v>
      </x:c>
      <x:c r="M14" s="99" t="n">
        <x:v>0.62666667</x:v>
      </x:c>
      <x:c r="N14" s="99" t="n">
        <x:v>0.36945813</x:v>
      </x:c>
      <x:c r="O14" s="99" t="n">
        <x:v>0.13478261</x:v>
      </x:c>
      <x:c r="P14" s="99" t="n">
        <x:v>0.02884615</x:v>
      </x:c>
      <x:c r="Q14" s="102" t="n">
        <x:v>-12.090707</x:v>
      </x:c>
      <x:c r="R14" s="102" t="n">
        <x:v>-14.732248</x:v>
      </x:c>
      <x:c r="S14" s="102" t="n">
        <x:v>-12.395664</x:v>
      </x:c>
      <x:c r="T14" s="102" t="n">
        <x:v>-6.312394</x:v>
      </x:c>
      <x:c r="U14" s="102" t="n">
        <x:v>-7.444639</x:v>
      </x:c>
      <x:c r="V14" s="102" t="n">
        <x:v>-14.604621</x:v>
      </x:c>
      <x:c r="W14" s="102" t="n">
        <x:v>2</x:v>
      </x:c>
      <x:c r="X14" s="102" t="n">
        <x:v>3.451702</x:v>
      </x:c>
      <x:c r="Y14" s="108" t="b">
        <x:v>1</x:v>
      </x:c>
    </x:row>
    <x:row r="15">
      <x:c r="A15" s="54" t="str">
        <x:v>김건희</x:v>
      </x:c>
      <x:c r="B15" s="54" t="str">
        <x:v>KIW</x:v>
      </x:c>
      <x:c r="C15" s="54" t="n">
        <x:v>1468</x:v>
      </x:c>
      <x:c r="D15" s="102" t="n">
        <x:v>3.468932</x:v>
      </x:c>
      <x:c r="E15" s="102" t="n">
        <x:v>-1.862751</x:v>
      </x:c>
      <x:c r="F15" s="102" t="n">
        <x:v>0.24843</x:v>
      </x:c>
      <x:c r="G15" s="102" t="n">
        <x:v>6.041642</x:v>
      </x:c>
      <x:c r="H15" s="99" t="n">
        <x:v>0.49114441</x:v>
      </x:c>
      <x:c r="I15" s="99" t="n">
        <x:v>0.6621823600000001</x:v>
      </x:c>
      <x:c r="J15" s="99" t="n">
        <x:v>0.34793492</x:v>
      </x:c>
      <x:c r="K15" s="99" t="n">
        <x:v>0.31424744</x:v>
      </x:c>
      <x:c r="L15" s="99" t="n">
        <x:v>0.72753623</x:v>
      </x:c>
      <x:c r="M15" s="99" t="n">
        <x:v>0.7282608700000001</x:v>
      </x:c>
      <x:c r="N15" s="99" t="n">
        <x:v>0.5640599000000001</x:v>
      </x:c>
      <x:c r="O15" s="99" t="n">
        <x:v>0.31764706</x:v>
      </x:c>
      <x:c r="P15" s="99" t="n">
        <x:v>0.12637363000000001</x:v>
      </x:c>
      <x:c r="Q15" s="102" t="n">
        <x:v>4.023672</x:v>
      </x:c>
      <x:c r="R15" s="102" t="n">
        <x:v>4.557343</x:v>
      </x:c>
      <x:c r="S15" s="102" t="n">
        <x:v>6.09107</x:v>
      </x:c>
      <x:c r="T15" s="102" t="n">
        <x:v>2.831954</x:v>
      </x:c>
      <x:c r="U15" s="102" t="n">
        <x:v>2.813925</x:v>
      </x:c>
      <x:c r="V15" s="102" t="n">
        <x:v>4.60501</x:v>
      </x:c>
      <x:c r="W15" s="102" t="n">
        <x:v>1</x:v>
      </x:c>
      <x:c r="X15" s="102" t="n">
        <x:v>0.556098</x:v>
      </x:c>
      <x:c r="Y15" s="108" t="b">
        <x:v>0</x:v>
      </x:c>
    </x:row>
    <x:row r="16">
      <x:c r="A16" s="54" t="str">
        <x:v>김규성</x:v>
      </x:c>
      <x:c r="B16" s="54" t="str">
        <x:v>KIA</x:v>
      </x:c>
      <x:c r="C16" s="54" t="n">
        <x:v>748</x:v>
      </x:c>
      <x:c r="D16" s="102" t="n">
        <x:v>-5.085271</x:v>
      </x:c>
      <x:c r="E16" s="102" t="n">
        <x:v>-2.456562</x:v>
      </x:c>
      <x:c r="F16" s="102" t="n">
        <x:v>0.16667</x:v>
      </x:c>
      <x:c r="G16" s="102" t="n">
        <x:v>6.547259</x:v>
      </x:c>
      <x:c r="H16" s="99" t="n">
        <x:v>0.4131016</x:v>
      </x:c>
      <x:c r="I16" s="99" t="n">
        <x:v>0.5867768600000001</x:v>
      </x:c>
      <x:c r="J16" s="99" t="n">
        <x:v>0.24935065</x:v>
      </x:c>
      <x:c r="K16" s="99" t="n">
        <x:v>0.33742621</x:v>
      </x:c>
      <x:c r="L16" s="99" t="n">
        <x:v>0.6602870799999999</x:v>
      </x:c>
      <x:c r="M16" s="99" t="n">
        <x:v>0.640625</x:v>
      </x:c>
      <x:c r="N16" s="99" t="n">
        <x:v>0.4295082</x:v>
      </x:c>
      <x:c r="O16" s="99" t="n">
        <x:v>0.20754717</x:v>
      </x:c>
      <x:c r="P16" s="99" t="n">
        <x:v>0.09333332999999999</x:v>
      </x:c>
      <x:c r="Q16" s="102" t="n">
        <x:v>-2.787721</x:v>
      </x:c>
      <x:c r="R16" s="102" t="n">
        <x:v>-5.719373</x:v>
      </x:c>
      <x:c r="S16" s="102" t="n">
        <x:v>0.294904</x:v>
      </x:c>
      <x:c r="T16" s="102" t="n">
        <x:v>-5.047991</x:v>
      </x:c>
      <x:c r="U16" s="102" t="n">
        <x:v>-0.930428</x:v>
      </x:c>
      <x:c r="V16" s="102" t="n">
        <x:v>-8.632055</x:v>
      </x:c>
      <x:c r="W16" s="102" t="n">
        <x:v>2</x:v>
      </x:c>
      <x:c r="X16" s="102" t="n">
        <x:v>1.105662</x:v>
      </x:c>
      <x:c r="Y16" s="108" t="b">
        <x:v>0</x:v>
      </x:c>
    </x:row>
    <x:row r="17">
      <x:c r="A17" s="54" t="str">
        <x:v>김대한</x:v>
      </x:c>
      <x:c r="B17" s="54" t="str">
        <x:v>DOO</x:v>
      </x:c>
      <x:c r="C17" s="54" t="n">
        <x:v>383</x:v>
      </x:c>
      <x:c r="D17" s="102" t="n">
        <x:v>4.075844</x:v>
      </x:c>
      <x:c r="E17" s="102" t="n">
        <x:v>2.780751</x:v>
      </x:c>
      <x:c r="F17" s="102" t="n">
        <x:v>0.77673</x:v>
      </x:c>
      <x:c r="G17" s="102" t="n">
        <x:v>5.059184</x:v>
      </x:c>
      <x:c r="H17" s="99" t="n">
        <x:v>0.49869452000000003</x:v>
      </x:c>
      <x:c r="I17" s="99" t="n">
        <x:v>0.72316384</x:v>
      </x:c>
      <x:c r="J17" s="99" t="n">
        <x:v>0.30582524</x:v>
      </x:c>
      <x:c r="K17" s="99" t="n">
        <x:v>0.4173386</x:v>
      </x:c>
      <x:c r="L17" s="99" t="n">
        <x:v>0.7901234599999999</x:v>
      </x:c>
      <x:c r="M17" s="99" t="n">
        <x:v>0.8</x:v>
      </x:c>
      <x:c r="N17" s="99" t="n">
        <x:v>0.57541899</x:v>
      </x:c>
      <x:c r="O17" s="99" t="n">
        <x:v>0.22988506</x:v>
      </x:c>
      <x:c r="P17" s="99" t="n">
        <x:v>0.11111111</x:v>
      </x:c>
      <x:c r="Q17" s="102" t="n">
        <x:v>4.419936</x:v>
      </x:c>
      <x:c r="R17" s="102" t="n">
        <x:v>3.617322</x:v>
      </x:c>
      <x:c r="S17" s="102" t="n">
        <x:v>5.087131</x:v>
      </x:c>
      <x:c r="T17" s="102" t="n">
        <x:v>3.09594</x:v>
      </x:c>
      <x:c r="U17" s="102" t="n">
        <x:v>4.730932</x:v>
      </x:c>
      <x:c r="V17" s="102" t="n">
        <x:v>4.035372</x:v>
      </x:c>
      <x:c r="W17" s="102" t="n">
        <x:v>1</x:v>
      </x:c>
      <x:c r="X17" s="102" t="n">
        <x:v>0.796694</x:v>
      </x:c>
      <x:c r="Y17" s="108" t="b">
        <x:v>0</x:v>
      </x:c>
    </x:row>
    <x:row r="18">
      <x:c r="A18" s="54" t="str">
        <x:v>김도영</x:v>
      </x:c>
      <x:c r="B18" s="54" t="str">
        <x:v>KIA</x:v>
      </x:c>
      <x:c r="C18" s="54" t="n">
        <x:v>1908</x:v>
      </x:c>
      <x:c r="D18" s="102" t="n">
        <x:v>0.454297</x:v>
      </x:c>
      <x:c r="E18" s="102" t="n">
        <x:v>6.504004</x:v>
      </x:c>
      <x:c r="F18" s="102" t="n">
        <x:v>0.9905700000000001</x:v>
      </x:c>
      <x:c r="G18" s="102" t="n">
        <x:v>6.782493</x:v>
      </x:c>
      <x:c r="H18" s="99" t="n">
        <x:v>0.43553458999999994</x:v>
      </x:c>
      <x:c r="I18" s="99" t="n">
        <x:v>0.69269521</x:v>
      </x:c>
      <x:c r="J18" s="99" t="n">
        <x:v>0.25224417</x:v>
      </x:c>
      <x:c r="K18" s="99" t="n">
        <x:v>0.44045104</x:v>
      </x:c>
      <x:c r="L18" s="99" t="n">
        <x:v>0.75764706</x:v>
      </x:c>
      <x:c r="M18" s="99" t="n">
        <x:v>0.73737374</x:v>
      </x:c>
      <x:c r="N18" s="99" t="n">
        <x:v>0.54696133</x:v>
      </x:c>
      <x:c r="O18" s="99" t="n">
        <x:v>0.21355236000000002</x:v>
      </x:c>
      <x:c r="P18" s="99" t="n">
        <x:v>0.03308824</x:v>
      </x:c>
      <x:c r="Q18" s="102" t="n">
        <x:v>-3.198813</x:v>
      </x:c>
      <x:c r="R18" s="102" t="n">
        <x:v>0.881926</x:v>
      </x:c>
      <x:c r="S18" s="102" t="n">
        <x:v>-3.983857</x:v>
      </x:c>
      <x:c r="T18" s="102" t="n">
        <x:v>-8.707205</x:v>
      </x:c>
      <x:c r="U18" s="102" t="n">
        <x:v>-0.31048</x:v>
      </x:c>
      <x:c r="V18" s="102" t="n">
        <x:v>-0.177936</x:v>
      </x:c>
      <x:c r="W18" s="102" t="n">
        <x:v>2</x:v>
      </x:c>
      <x:c r="X18" s="102" t="n">
        <x:v>1.455499</x:v>
      </x:c>
      <x:c r="Y18" s="108" t="b">
        <x:v>0</x:v>
      </x:c>
    </x:row>
    <x:row r="19">
      <x:c r="A19" s="54" t="str">
        <x:v>김도환</x:v>
      </x:c>
      <x:c r="B19" s="54" t="str">
        <x:v>SAM</x:v>
      </x:c>
      <x:c r="C19" s="54" t="n">
        <x:v>430</x:v>
      </x:c>
      <x:c r="D19" s="102" t="n">
        <x:v>-0.875979</x:v>
      </x:c>
      <x:c r="E19" s="102" t="n">
        <x:v>2.916791</x:v>
      </x:c>
      <x:c r="F19" s="102" t="n">
        <x:v>0.7956</x:v>
      </x:c>
      <x:c r="G19" s="102" t="n">
        <x:v>6.353278</x:v>
      </x:c>
      <x:c r="H19" s="99" t="n">
        <x:v>0.43953488</x:v>
      </x:c>
      <x:c r="I19" s="99" t="n">
        <x:v>0.66666667</x:v>
      </x:c>
      <x:c r="J19" s="99" t="n">
        <x:v>0.25630252</x:v>
      </x:c>
      <x:c r="K19" s="99" t="n">
        <x:v>0.41036415</x:v>
      </x:c>
      <x:c r="L19" s="99" t="n">
        <x:v>0.7647058800000001</x:v>
      </x:c>
      <x:c r="M19" s="99" t="n">
        <x:v>0.8</x:v>
      </x:c>
      <x:c r="N19" s="99" t="n">
        <x:v>0.48837209000000004</x:v>
      </x:c>
      <x:c r="O19" s="99" t="n">
        <x:v>0.22340426000000002</x:v>
      </x:c>
      <x:c r="P19" s="99" t="n">
        <x:v>0.09677419000000001</x:v>
      </x:c>
      <x:c r="Q19" s="102" t="n">
        <x:v>-1.396829</x:v>
      </x:c>
      <x:c r="R19" s="102" t="n">
        <x:v>-1.239122</x:v>
      </x:c>
      <x:c r="S19" s="102" t="n">
        <x:v>2.3326</x:v>
      </x:c>
      <x:c r="T19" s="102" t="n">
        <x:v>2.893501</x:v>
      </x:c>
      <x:c r="U19" s="102" t="n">
        <x:v>3.398117</x:v>
      </x:c>
      <x:c r="V19" s="102" t="n">
        <x:v>-4.719285</x:v>
      </x:c>
      <x:c r="W19" s="102" t="n">
        <x:v>1</x:v>
      </x:c>
      <x:c r="X19" s="102" t="n">
        <x:v>1.913294</x:v>
      </x:c>
      <x:c r="Y19" s="108" t="b">
        <x:v>0</x:v>
      </x:c>
    </x:row>
    <x:row r="20">
      <x:c r="A20" s="54" t="str">
        <x:v>김민석</x:v>
      </x:c>
      <x:c r="B20" s="54" t="str">
        <x:v>DOO</x:v>
      </x:c>
      <x:c r="C20" s="54" t="n">
        <x:v>1658</x:v>
      </x:c>
      <x:c r="D20" s="102" t="n">
        <x:v>-3.534675</x:v>
      </x:c>
      <x:c r="E20" s="102" t="n">
        <x:v>-0.193289</x:v>
      </x:c>
      <x:c r="F20" s="102" t="n">
        <x:v>0.40566</x:v>
      </x:c>
      <x:c r="G20" s="102" t="n">
        <x:v>6.130577</x:v>
      </x:c>
      <x:c r="H20" s="99" t="n">
        <x:v>0.41073582999999997</x:v>
      </x:c>
      <x:c r="I20" s="99" t="n">
        <x:v>0.60817942</x:v>
      </x:c>
      <x:c r="J20" s="99" t="n">
        <x:v>0.24444444</x:v>
      </x:c>
      <x:c r="K20" s="99" t="n">
        <x:v>0.36373498</x:v>
      </x:c>
      <x:c r="L20" s="99" t="n">
        <x:v>0.69873418</x:v>
      </x:c>
      <x:c r="M20" s="99" t="n">
        <x:v>0.7758620700000001</x:v>
      </x:c>
      <x:c r="N20" s="99" t="n">
        <x:v>0.43484627000000003</x:v>
      </x:c>
      <x:c r="O20" s="99" t="n">
        <x:v>0.2361809</x:v>
      </x:c>
      <x:c r="P20" s="99" t="n">
        <x:v>0.07692307999999999</x:v>
      </x:c>
      <x:c r="Q20" s="102" t="n">
        <x:v>-3.4266</x:v>
      </x:c>
      <x:c r="R20" s="102" t="n">
        <x:v>-4.615713</x:v>
      </x:c>
      <x:c r="S20" s="102" t="n">
        <x:v>0.599745</x:v>
      </x:c>
      <x:c r="T20" s="102" t="n">
        <x:v>5.107772</x:v>
      </x:c>
      <x:c r="U20" s="102" t="n">
        <x:v>-0.893187</x:v>
      </x:c>
      <x:c r="V20" s="102" t="n">
        <x:v>-8.929542</x:v>
      </x:c>
      <x:c r="W20" s="102" t="n">
        <x:v>2</x:v>
      </x:c>
      <x:c r="X20" s="102" t="n">
        <x:v>1.680421</x:v>
      </x:c>
      <x:c r="Y20" s="108" t="b">
        <x:v>0</x:v>
      </x:c>
    </x:row>
    <x:row r="21">
      <x:c r="A21" s="54" t="str">
        <x:v>김민혁</x:v>
      </x:c>
      <x:c r="B21" s="54" t="str">
        <x:v>KT</x:v>
      </x:c>
      <x:c r="C21" s="54" t="n">
        <x:v>1306</x:v>
      </x:c>
      <x:c r="D21" s="102" t="n">
        <x:v>-2.453124</x:v>
      </x:c>
      <x:c r="E21" s="102" t="n">
        <x:v>-0.667818</x:v>
      </x:c>
      <x:c r="F21" s="102" t="n">
        <x:v>0.35534999999999994</x:v>
      </x:c>
      <x:c r="G21" s="102" t="n">
        <x:v>6.589016</x:v>
      </x:c>
      <x:c r="H21" s="99" t="n">
        <x:v>0.41730475</x:v>
      </x:c>
      <x:c r="I21" s="99" t="n">
        <x:v>0.61258278</x:v>
      </x:c>
      <x:c r="J21" s="99" t="n">
        <x:v>0.24928775000000003</x:v>
      </x:c>
      <x:c r="K21" s="99" t="n">
        <x:v>0.36329503</x:v>
      </x:c>
      <x:c r="L21" s="99" t="n">
        <x:v>0.6656534999999999</x:v>
      </x:c>
      <x:c r="M21" s="99" t="n">
        <x:v>0.6132075499999999</x:v>
      </x:c>
      <x:c r="N21" s="99" t="n">
        <x:v>0.48411214999999996</x:v>
      </x:c>
      <x:c r="O21" s="99" t="n">
        <x:v>0.18729097</x:v>
      </x:c>
      <x:c r="P21" s="99" t="n">
        <x:v>0.07692307999999999</x:v>
      </x:c>
      <x:c r="Q21" s="102" t="n">
        <x:v>-2.403577</x:v>
      </x:c>
      <x:c r="R21" s="102" t="n">
        <x:v>-4.465647</x:v>
      </x:c>
      <x:c r="S21" s="102" t="n">
        <x:v>-1.966136</x:v>
      </x:c>
      <x:c r="T21" s="102" t="n">
        <x:v>-10.45154</x:v>
      </x:c>
      <x:c r="U21" s="102" t="n">
        <x:v>-1.24506</x:v>
      </x:c>
      <x:c r="V21" s="102" t="n">
        <x:v>-3.828661</x:v>
      </x:c>
      <x:c r="W21" s="102" t="n">
        <x:v>2</x:v>
      </x:c>
      <x:c r="X21" s="102" t="n">
        <x:v>1.098515</x:v>
      </x:c>
      <x:c r="Y21" s="108" t="b">
        <x:v>0</x:v>
      </x:c>
    </x:row>
    <x:row r="22">
      <x:c r="A22" s="54" t="str">
        <x:v>김상수</x:v>
      </x:c>
      <x:c r="B22" s="54" t="str">
        <x:v>KT</x:v>
      </x:c>
      <x:c r="C22" s="54" t="n">
        <x:v>1648</x:v>
      </x:c>
      <x:c r="D22" s="102" t="n">
        <x:v>-10.022994</x:v>
      </x:c>
      <x:c r="E22" s="102" t="n">
        <x:v>-3.412048</x:v>
      </x:c>
      <x:c r="F22" s="102" t="n">
        <x:v>0.06604</x:v>
      </x:c>
      <x:c r="G22" s="102" t="n">
        <x:v>6.971037</x:v>
      </x:c>
      <x:c r="H22" s="99" t="n">
        <x:v>0.36043689</x:v>
      </x:c>
      <x:c r="I22" s="99" t="n">
        <x:v>0.51629726</x:v>
      </x:c>
      <x:c r="J22" s="99" t="n">
        <x:v>0.22474461</x:v>
      </x:c>
      <x:c r="K22" s="99" t="n">
        <x:v>0.29155265</x:v>
      </x:c>
      <x:c r="L22" s="99" t="n">
        <x:v>0.54285714</x:v>
      </x:c>
      <x:c r="M22" s="99" t="n">
        <x:v>0.50909091</x:v>
      </x:c>
      <x:c r="N22" s="99" t="n">
        <x:v>0.43378995000000004</x:v>
      </x:c>
      <x:c r="O22" s="99" t="n">
        <x:v>0.19836957000000002</x:v>
      </x:c>
      <x:c r="P22" s="99" t="n">
        <x:v>0.03940887</x:v>
      </x:c>
      <x:c r="Q22" s="102" t="n">
        <x:v>-8.662413</x:v>
      </x:c>
      <x:c r="R22" s="102" t="n">
        <x:v>-8.853034</x:v>
      </x:c>
      <x:c r="S22" s="102" t="n">
        <x:v>-9.953664</x:v>
      </x:c>
      <x:c r="T22" s="102" t="n">
        <x:v>-16.779556</x:v>
      </x:c>
      <x:c r="U22" s="102" t="n">
        <x:v>-7.031388</x:v>
      </x:c>
      <x:c r="V22" s="102" t="n">
        <x:v>-7.852932</x:v>
      </x:c>
      <x:c r="W22" s="102" t="n">
        <x:v>2</x:v>
      </x:c>
      <x:c r="X22" s="102" t="n">
        <x:v>2.737812</x:v>
      </x:c>
      <x:c r="Y22" s="108" t="b">
        <x:v>0</x:v>
      </x:c>
    </x:row>
    <x:row r="23">
      <x:c r="A23" s="54" t="str">
        <x:v>김선빈</x:v>
      </x:c>
      <x:c r="B23" s="54" t="str">
        <x:v>KIA</x:v>
      </x:c>
      <x:c r="C23" s="54" t="n">
        <x:v>1825</x:v>
      </x:c>
      <x:c r="D23" s="102" t="n">
        <x:v>-7.716011</x:v>
      </x:c>
      <x:c r="E23" s="102" t="n">
        <x:v>-0.371151</x:v>
      </x:c>
      <x:c r="F23" s="102" t="n">
        <x:v>0.39308</x:v>
      </x:c>
      <x:c r="G23" s="102" t="n">
        <x:v>7.108532</x:v>
      </x:c>
      <x:c r="H23" s="99" t="n">
        <x:v>0.37917808000000003</x:v>
      </x:c>
      <x:c r="I23" s="99" t="n">
        <x:v>0.5707196</x:v>
      </x:c>
      <x:c r="J23" s="99" t="n">
        <x:v>0.22767419</x:v>
      </x:c>
      <x:c r="K23" s="99" t="n">
        <x:v>0.34304541</x:v>
      </x:c>
      <x:c r="L23" s="99" t="n">
        <x:v>0.61678005</x:v>
      </x:c>
      <x:c r="M23" s="99" t="n">
        <x:v>0.65217391</x:v>
      </x:c>
      <x:c r="N23" s="99" t="n">
        <x:v>0.45143639</x:v>
      </x:c>
      <x:c r="O23" s="99" t="n">
        <x:v>0.17040359</x:v>
      </x:c>
      <x:c r="P23" s="99" t="n">
        <x:v>0.06763285</x:v>
      </x:c>
      <x:c r="Q23" s="102" t="n">
        <x:v>-6.954181</x:v>
      </x:c>
      <x:c r="R23" s="102" t="n">
        <x:v>-6.418027</x:v>
      </x:c>
      <x:c r="S23" s="102" t="n">
        <x:v>-7.317483</x:v>
      </x:c>
      <x:c r="T23" s="102" t="n">
        <x:v>-6.99637</x:v>
      </x:c>
      <x:c r="U23" s="102" t="n">
        <x:v>-1.954098</x:v>
      </x:c>
      <x:c r="V23" s="102" t="n">
        <x:v>-7.205202</x:v>
      </x:c>
      <x:c r="W23" s="102" t="n">
        <x:v>2</x:v>
      </x:c>
      <x:c r="X23" s="102" t="n">
        <x:v>1.016635</x:v>
      </x:c>
      <x:c r="Y23" s="108" t="b">
        <x:v>0</x:v>
      </x:c>
    </x:row>
    <x:row r="24">
      <x:c r="A24" s="54" t="str">
        <x:v>김성욱</x:v>
      </x:c>
      <x:c r="B24" s="54" t="str">
        <x:v>SSG</x:v>
      </x:c>
      <x:c r="C24" s="54" t="n">
        <x:v>587</x:v>
      </x:c>
      <x:c r="D24" s="102" t="n">
        <x:v>-4.904183</x:v>
      </x:c>
      <x:c r="E24" s="102" t="n">
        <x:v>-0.099999</x:v>
      </x:c>
      <x:c r="F24" s="102" t="n">
        <x:v>0.41195</x:v>
      </x:c>
      <x:c r="G24" s="102" t="n">
        <x:v>7.303452</x:v>
      </x:c>
      <x:c r="H24" s="99" t="n">
        <x:v>0.40374786999999995</x:v>
      </x:c>
      <x:c r="I24" s="99" t="n">
        <x:v>0.58695652</x:v>
      </x:c>
      <x:c r="J24" s="99" t="n">
        <x:v>0.24115756000000002</x:v>
      </x:c>
      <x:c r="K24" s="99" t="n">
        <x:v>0.34579896</x:v>
      </x:c>
      <x:c r="L24" s="99" t="n">
        <x:v>0.62416107</x:v>
      </x:c>
      <x:c r="M24" s="99" t="n">
        <x:v>0.6315789500000001</x:v>
      </x:c>
      <x:c r="N24" s="99" t="n">
        <x:v>0.48760331</x:v>
      </x:c>
      <x:c r="O24" s="99" t="n">
        <x:v>0.1826087</x:v>
      </x:c>
      <x:c r="P24" s="99" t="n">
        <x:v>0.061728399999999996</x:v>
      </x:c>
      <x:c r="Q24" s="102" t="n">
        <x:v>-5.663444</x:v>
      </x:c>
      <x:c r="R24" s="102" t="n">
        <x:v>-4.878686</x:v>
      </x:c>
      <x:c r="S24" s="102" t="n">
        <x:v>-7.003476</x:v>
      </x:c>
      <x:c r="T24" s="102" t="n">
        <x:v>-9.459363</x:v>
      </x:c>
      <x:c r="U24" s="102" t="n">
        <x:v>-2.343478</x:v>
      </x:c>
      <x:c r="V24" s="102" t="n">
        <x:v>-3.688104</x:v>
      </x:c>
      <x:c r="W24" s="102" t="n">
        <x:v>2</x:v>
      </x:c>
      <x:c r="X24" s="102" t="n">
        <x:v>1.002753</x:v>
      </x:c>
      <x:c r="Y24" s="108" t="b">
        <x:v>0</x:v>
      </x:c>
    </x:row>
    <x:row r="25">
      <x:c r="A25" s="54" t="str">
        <x:v>김성윤</x:v>
      </x:c>
      <x:c r="B25" s="54" t="str">
        <x:v>SAM</x:v>
      </x:c>
      <x:c r="C25" s="54" t="n">
        <x:v>1419</x:v>
      </x:c>
      <x:c r="D25" s="102" t="n">
        <x:v>3.819731</x:v>
      </x:c>
      <x:c r="E25" s="102" t="n">
        <x:v>1.389131</x:v>
      </x:c>
      <x:c r="F25" s="102" t="n">
        <x:v>0.68239</x:v>
      </x:c>
      <x:c r="G25" s="102" t="n">
        <x:v>6.211297</x:v>
      </x:c>
      <x:c r="H25" s="99" t="n">
        <x:v>0.43551797000000003</x:v>
      </x:c>
      <x:c r="I25" s="99" t="n">
        <x:v>0.66449511</x:v>
      </x:c>
      <x:c r="J25" s="99" t="n">
        <x:v>0.26086957</x:v>
      </x:c>
      <x:c r="K25" s="99" t="n">
        <x:v>0.40362554</x:v>
      </x:c>
      <x:c r="L25" s="99" t="n">
        <x:v>0.70588235</x:v>
      </x:c>
      <x:c r="M25" s="99" t="n">
        <x:v>0.7125</x:v>
      </x:c>
      <x:c r="N25" s="99" t="n">
        <x:v>0.5319148899999999</x:v>
      </x:c>
      <x:c r="O25" s="99" t="n">
        <x:v>0.22186495</x:v>
      </x:c>
      <x:c r="P25" s="99" t="n">
        <x:v>0.09502262</x:v>
      </x:c>
      <x:c r="Q25" s="102" t="n">
        <x:v>0.261871</x:v>
      </x:c>
      <x:c r="R25" s="102" t="n">
        <x:v>-1.858522</x:v>
      </x:c>
      <x:c r="S25" s="102" t="n">
        <x:v>-1.160419</x:v>
      </x:c>
      <x:c r="T25" s="102" t="n">
        <x:v>-3.583211</x:v>
      </x:c>
      <x:c r="U25" s="102" t="n">
        <x:v>2.090167</x:v>
      </x:c>
      <x:c r="V25" s="102" t="n">
        <x:v>0.1961</x:v>
      </x:c>
      <x:c r="W25" s="102" t="n">
        <x:v>2</x:v>
      </x:c>
      <x:c r="X25" s="102" t="n">
        <x:v>1.723536</x:v>
      </x:c>
      <x:c r="Y25" s="108" t="b">
        <x:v>0</x:v>
      </x:c>
    </x:row>
    <x:row r="26">
      <x:c r="A26" s="54" t="str">
        <x:v>김영웅</x:v>
      </x:c>
      <x:c r="B26" s="54" t="str">
        <x:v>SAM</x:v>
      </x:c>
      <x:c r="C26" s="54" t="n">
        <x:v>604</x:v>
      </x:c>
      <x:c r="D26" s="102" t="n">
        <x:v>6.163502</x:v>
      </x:c>
      <x:c r="E26" s="102" t="n">
        <x:v>-0.420933</x:v>
      </x:c>
      <x:c r="F26" s="102" t="n">
        <x:v>0.38679</x:v>
      </x:c>
      <x:c r="G26" s="102" t="n">
        <x:v>5.211158</x:v>
      </x:c>
      <x:c r="H26" s="99" t="n">
        <x:v>0.51821192</x:v>
      </x:c>
      <x:c r="I26" s="99" t="n">
        <x:v>0.69285714</x:v>
      </x:c>
      <x:c r="J26" s="99" t="n">
        <x:v>0.36728394999999997</x:v>
      </x:c>
      <x:c r="K26" s="99" t="n">
        <x:v>0.32557319</x:v>
      </x:c>
      <x:c r="L26" s="99" t="n">
        <x:v>0.7272727299999999</x:v>
      </x:c>
      <x:c r="M26" s="99" t="n">
        <x:v>0.7419354800000001</x:v>
      </x:c>
      <x:c r="N26" s="99" t="n">
        <x:v>0.63218391</x:v>
      </x:c>
      <x:c r="O26" s="99" t="n">
        <x:v>0.30985914999999997</x:v>
      </x:c>
      <x:c r="P26" s="99" t="n">
        <x:v>0.11594203</x:v>
      </x:c>
      <x:c r="Q26" s="102" t="n">
        <x:v>5.320702</x:v>
      </x:c>
      <x:c r="R26" s="102" t="n">
        <x:v>7.507882</x:v>
      </x:c>
      <x:c r="S26" s="102" t="n">
        <x:v>3.809647</x:v>
      </x:c>
      <x:c r="T26" s="102" t="n">
        <x:v>2.053867</x:v>
      </x:c>
      <x:c r="U26" s="102" t="n">
        <x:v>2.839905</x:v>
      </x:c>
      <x:c r="V26" s="102" t="n">
        <x:v>10.887835</x:v>
      </x:c>
      <x:c r="W26" s="102" t="n">
        <x:v>1</x:v>
      </x:c>
      <x:c r="X26" s="102" t="n">
        <x:v>1.248585</x:v>
      </x:c>
      <x:c r="Y26" s="108" t="b">
        <x:v>0</x:v>
      </x:c>
    </x:row>
    <x:row r="27">
      <x:c r="A27" s="54" t="str">
        <x:v>김웅빈</x:v>
      </x:c>
      <x:c r="B27" s="54" t="str">
        <x:v>KIW</x:v>
      </x:c>
      <x:c r="C27" s="54" t="n">
        <x:v>1027</x:v>
      </x:c>
      <x:c r="D27" s="102" t="n">
        <x:v>-0.847553</x:v>
      </x:c>
      <x:c r="E27" s="102" t="n">
        <x:v>-1.695418</x:v>
      </x:c>
      <x:c r="F27" s="102" t="n">
        <x:v>0.2673</x:v>
      </x:c>
      <x:c r="G27" s="102" t="n">
        <x:v>6.297161</x:v>
      </x:c>
      <x:c r="H27" s="99" t="n">
        <x:v>0.43037975</x:v>
      </x:c>
      <x:c r="I27" s="99" t="n">
        <x:v>0.61746362</x:v>
      </x:c>
      <x:c r="J27" s="99" t="n">
        <x:v>0.26556777</x:v>
      </x:c>
      <x:c r="K27" s="99" t="n">
        <x:v>0.35189585</x:v>
      </x:c>
      <x:c r="L27" s="99" t="n">
        <x:v>0.70040486</x:v>
      </x:c>
      <x:c r="M27" s="99" t="n">
        <x:v>0.7714285700000001</x:v>
      </x:c>
      <x:c r="N27" s="99" t="n">
        <x:v>0.47761194</x:v>
      </x:c>
      <x:c r="O27" s="99" t="n">
        <x:v>0.26839827</x:v>
      </x:c>
      <x:c r="P27" s="99" t="n">
        <x:v>0.10204081999999999</x:v>
      </x:c>
      <x:c r="Q27" s="102" t="n">
        <x:v>-0.653675</x:v>
      </x:c>
      <x:c r="R27" s="102" t="n">
        <x:v>-3.561501</x:v>
      </x:c>
      <x:c r="S27" s="102" t="n">
        <x:v>3.116216</x:v>
      </x:c>
      <x:c r="T27" s="102" t="n">
        <x:v>6.899718</x:v>
      </x:c>
      <x:c r="U27" s="102" t="n">
        <x:v>0.504726</x:v>
      </x:c>
      <x:c r="V27" s="102" t="n">
        <x:v>-4.101247</x:v>
      </x:c>
      <x:c r="W27" s="102" t="n">
        <x:v>1</x:v>
      </x:c>
      <x:c r="X27" s="102" t="n">
        <x:v>2.078527</x:v>
      </x:c>
      <x:c r="Y27" s="108" t="b">
        <x:v>0</x:v>
      </x:c>
    </x:row>
    <x:row r="28">
      <x:c r="A28" s="54" t="str">
        <x:v>김재환</x:v>
      </x:c>
      <x:c r="B28" s="54" t="str">
        <x:v>SSG</x:v>
      </x:c>
      <x:c r="C28" s="54" t="n">
        <x:v>1825</x:v>
      </x:c>
      <x:c r="D28" s="102" t="n">
        <x:v>-1.748235</x:v>
      </x:c>
      <x:c r="E28" s="102" t="n">
        <x:v>2.187813</x:v>
      </x:c>
      <x:c r="F28" s="102" t="n">
        <x:v>0.72642</x:v>
      </x:c>
      <x:c r="G28" s="102" t="n">
        <x:v>6.871705</x:v>
      </x:c>
      <x:c r="H28" s="99" t="n">
        <x:v>0.42575342</x:v>
      </x:c>
      <x:c r="I28" s="99" t="n">
        <x:v>0.66088117</x:v>
      </x:c>
      <x:c r="J28" s="99" t="n">
        <x:v>0.26208178</x:v>
      </x:c>
      <x:c r="K28" s="99" t="n">
        <x:v>0.39879939</x:v>
      </x:c>
      <x:c r="L28" s="99" t="n">
        <x:v>0.73282443</x:v>
      </x:c>
      <x:c r="M28" s="99" t="n">
        <x:v>0.84545455</x:v>
      </x:c>
      <x:c r="N28" s="99" t="n">
        <x:v>0.51206434</x:v>
      </x:c>
      <x:c r="O28" s="99" t="n">
        <x:v>0.20982143</x:v>
      </x:c>
      <x:c r="P28" s="99" t="n">
        <x:v>0.05462185</x:v>
      </x:c>
      <x:c r="Q28" s="102" t="n">
        <x:v>-1.080246</x:v>
      </x:c>
      <x:c r="R28" s="102" t="n">
        <x:v>-1.174698</x:v>
      </x:c>
      <x:c r="S28" s="102" t="n">
        <x:v>0.284612</x:v>
      </x:c>
      <x:c r="T28" s="102" t="n">
        <x:v>8.523737</x:v>
      </x:c>
      <x:c r="U28" s="102" t="n">
        <x:v>-1.35767</x:v>
      </x:c>
      <x:c r="V28" s="102" t="n">
        <x:v>-2.082309</x:v>
      </x:c>
      <x:c r="W28" s="102" t="n">
        <x:v>1</x:v>
      </x:c>
      <x:c r="X28" s="102" t="n">
        <x:v>2.01328</x:v>
      </x:c>
      <x:c r="Y28" s="108" t="b">
        <x:v>0</x:v>
      </x:c>
    </x:row>
    <x:row r="29">
      <x:c r="A29" s="54" t="str">
        <x:v>김주원</x:v>
      </x:c>
      <x:c r="B29" s="54" t="str">
        <x:v>NC</x:v>
      </x:c>
      <x:c r="C29" s="54" t="n">
        <x:v>1943</x:v>
      </x:c>
      <x:c r="D29" s="102" t="n">
        <x:v>-0.634647</x:v>
      </x:c>
      <x:c r="E29" s="102" t="n">
        <x:v>4.148653</x:v>
      </x:c>
      <x:c r="F29" s="102" t="n">
        <x:v>0.91509</x:v>
      </x:c>
      <x:c r="G29" s="102" t="n">
        <x:v>6.64339</x:v>
      </x:c>
      <x:c r="H29" s="99" t="n">
        <x:v>0.44776119000000003</x:v>
      </x:c>
      <x:c r="I29" s="99" t="n">
        <x:v>0.6909871200000001</x:v>
      </x:c>
      <x:c r="J29" s="99" t="n">
        <x:v>0.22354105000000002</x:v>
      </x:c>
      <x:c r="K29" s="99" t="n">
        <x:v>0.46744607000000005</x:v>
      </x:c>
      <x:c r="L29" s="99" t="n">
        <x:v>0.75051125</x:v>
      </x:c>
      <x:c r="M29" s="99" t="n">
        <x:v>0.7753623199999999</x:v>
      </x:c>
      <x:c r="N29" s="99" t="n">
        <x:v>0.51133501</x:v>
      </x:c>
      <x:c r="O29" s="99" t="n">
        <x:v>0.18837209000000002</x:v>
      </x:c>
      <x:c r="P29" s="99" t="n">
        <x:v>0.06956522</x:v>
      </x:c>
      <x:c r="Q29" s="102" t="n">
        <x:v>-0.477421</x:v>
      </x:c>
      <x:c r="R29" s="102" t="n">
        <x:v>-3.647528</x:v>
      </x:c>
      <x:c r="S29" s="102" t="n">
        <x:v>-1.013555</x:v>
      </x:c>
      <x:c r="T29" s="102" t="n">
        <x:v>-1.403383</x:v>
      </x:c>
      <x:c r="U29" s="102" t="n">
        <x:v>1.590673</x:v>
      </x:c>
      <x:c r="V29" s="102" t="n">
        <x:v>-2.875453</x:v>
      </x:c>
      <x:c r="W29" s="102" t="n">
        <x:v>2</x:v>
      </x:c>
      <x:c r="X29" s="102" t="n">
        <x:v>1.410163</x:v>
      </x:c>
      <x:c r="Y29" s="108" t="b">
        <x:v>0</x:v>
      </x:c>
    </x:row>
    <x:row r="30">
      <x:c r="A30" s="54" t="str">
        <x:v>김지찬</x:v>
      </x:c>
      <x:c r="B30" s="54" t="str">
        <x:v>SAM</x:v>
      </x:c>
      <x:c r="C30" s="54" t="n">
        <x:v>1735</x:v>
      </x:c>
      <x:c r="D30" s="102" t="n">
        <x:v>-3.525444</x:v>
      </x:c>
      <x:c r="E30" s="102" t="n">
        <x:v>-1.972726</x:v>
      </x:c>
      <x:c r="F30" s="102" t="n">
        <x:v>0.21698</x:v>
      </x:c>
      <x:c r="G30" s="102" t="n">
        <x:v>6.649914</x:v>
      </x:c>
      <x:c r="H30" s="99" t="n">
        <x:v>0.37291066</x:v>
      </x:c>
      <x:c r="I30" s="99" t="n">
        <x:v>0.56133333</x:v>
      </x:c>
      <x:c r="J30" s="99" t="n">
        <x:v>0.22944161999999999</x:v>
      </x:c>
      <x:c r="K30" s="99" t="n">
        <x:v>0.33189171</x:v>
      </x:c>
      <x:c r="L30" s="99" t="n">
        <x:v>0.56743003</x:v>
      </x:c>
      <x:c r="M30" s="99" t="n">
        <x:v>0.6176470599999999</x:v>
      </x:c>
      <x:c r="N30" s="99" t="n">
        <x:v>0.47033284999999997</x:v>
      </x:c>
      <x:c r="O30" s="99" t="n">
        <x:v>0.21921182000000003</x:v>
      </x:c>
      <x:c r="P30" s="99" t="n">
        <x:v>0.04081633</x:v>
      </x:c>
      <x:c r="Q30" s="102" t="n">
        <x:v>-5.926189</x:v>
      </x:c>
      <x:c r="R30" s="102" t="n">
        <x:v>-7.369455</x:v>
      </x:c>
      <x:c r="S30" s="102" t="n">
        <x:v>-9.747544</x:v>
      </x:c>
      <x:c r="T30" s="102" t="n">
        <x:v>-8.065775</x:v>
      </x:c>
      <x:c r="U30" s="102" t="n">
        <x:v>-5.823353</x:v>
      </x:c>
      <x:c r="V30" s="102" t="n">
        <x:v>-4.727301</x:v>
      </x:c>
      <x:c r="W30" s="102" t="n">
        <x:v>2</x:v>
      </x:c>
      <x:c r="X30" s="102" t="n">
        <x:v>1.650218</x:v>
      </x:c>
      <x:c r="Y30" s="108" t="b">
        <x:v>0</x:v>
      </x:c>
    </x:row>
    <x:row r="31">
      <x:c r="A31" s="54" t="str">
        <x:v>김태군</x:v>
      </x:c>
      <x:c r="B31" s="54" t="str">
        <x:v>KIA</x:v>
      </x:c>
      <x:c r="C31" s="54" t="n">
        <x:v>639</x:v>
      </x:c>
      <x:c r="D31" s="102" t="n">
        <x:v>-5.672193</x:v>
      </x:c>
      <x:c r="E31" s="102" t="n">
        <x:v>-7.277884</x:v>
      </x:c>
      <x:c r="F31" s="102" t="n">
        <x:v>0.01572</x:v>
      </x:c>
      <x:c r="G31" s="102" t="n">
        <x:v>5.233946</x:v>
      </x:c>
      <x:c r="H31" s="99" t="n">
        <x:v>0.3943662</x:v>
      </x:c>
      <x:c r="I31" s="99" t="n">
        <x:v>0.48591549</x:v>
      </x:c>
      <x:c r="J31" s="99" t="n">
        <x:v>0.32112676</x:v>
      </x:c>
      <x:c r="K31" s="99" t="n">
        <x:v>0.16478873</x:v>
      </x:c>
      <x:c r="L31" s="99" t="n">
        <x:v>0.53020134</x:v>
      </x:c>
      <x:c r="M31" s="99" t="n">
        <x:v>0.675</x:v>
      </x:c>
      <x:c r="N31" s="99" t="n">
        <x:v>0.44186047</x:v>
      </x:c>
      <x:c r="O31" s="99" t="n">
        <x:v>0.33112583</x:v>
      </x:c>
      <x:c r="P31" s="99" t="n">
        <x:v>0.11111111</x:v>
      </x:c>
      <x:c r="Q31" s="102" t="n">
        <x:v>-6.953623</x:v>
      </x:c>
      <x:c r="R31" s="102" t="n">
        <x:v>-1.937968</x:v>
      </x:c>
      <x:c r="S31" s="102" t="n">
        <x:v>-5.172889</x:v>
      </x:c>
      <x:c r="T31" s="102" t="n">
        <x:v>5.564048</x:v>
      </x:c>
      <x:c r="U31" s="102" t="n">
        <x:v>-2.727767</x:v>
      </x:c>
      <x:c r="V31" s="102" t="n">
        <x:v>-5.625967</x:v>
      </x:c>
      <x:c r="W31" s="102" t="n">
        <x:v>2</x:v>
      </x:c>
      <x:c r="X31" s="102" t="n">
        <x:v>1.499527</x:v>
      </x:c>
      <x:c r="Y31" s="108" t="b">
        <x:v>0</x:v>
      </x:c>
    </x:row>
    <x:row r="32">
      <x:c r="A32" s="54" t="str">
        <x:v>김태연</x:v>
      </x:c>
      <x:c r="B32" s="54" t="str">
        <x:v>HAN</x:v>
      </x:c>
      <x:c r="C32" s="54" t="n">
        <x:v>1318</x:v>
      </x:c>
      <x:c r="D32" s="102" t="n">
        <x:v>1.371822</x:v>
      </x:c>
      <x:c r="E32" s="102" t="n">
        <x:v>-0.225004</x:v>
      </x:c>
      <x:c r="F32" s="102" t="n">
        <x:v>0.39937</x:v>
      </x:c>
      <x:c r="G32" s="102" t="n">
        <x:v>5.571571</x:v>
      </x:c>
      <x:c r="H32" s="99" t="n">
        <x:v>0.45675266000000003</x:v>
      </x:c>
      <x:c r="I32" s="99" t="n">
        <x:v>0.65820643</x:v>
      </x:c>
      <x:c r="J32" s="99" t="n">
        <x:v>0.29298487</x:v>
      </x:c>
      <x:c r="K32" s="99" t="n">
        <x:v>0.36522156</x:v>
      </x:c>
      <x:c r="L32" s="99" t="n">
        <x:v>0.69255663</x:v>
      </x:c>
      <x:c r="M32" s="99" t="n">
        <x:v>0.69565217</x:v>
      </x:c>
      <x:c r="N32" s="99" t="n">
        <x:v>0.53717472</x:v>
      </x:c>
      <x:c r="O32" s="99" t="n">
        <x:v>0.28231293</x:v>
      </x:c>
      <x:c r="P32" s="99" t="n">
        <x:v>0.09039548</x:v>
      </x:c>
      <x:c r="Q32" s="102" t="n">
        <x:v>1.615044</x:v>
      </x:c>
      <x:c r="R32" s="102" t="n">
        <x:v>0.215989</x:v>
      </x:c>
      <x:c r="S32" s="102" t="n">
        <x:v>0.031594</x:v>
      </x:c>
      <x:c r="T32" s="102" t="n">
        <x:v>-2.866023</x:v>
      </x:c>
      <x:c r="U32" s="102" t="n">
        <x:v>0.430536</x:v>
      </x:c>
      <x:c r="V32" s="102" t="n">
        <x:v>1.314951</x:v>
      </x:c>
      <x:c r="W32" s="102" t="n">
        <x:v>1</x:v>
      </x:c>
      <x:c r="X32" s="102" t="n">
        <x:v>1.450866</x:v>
      </x:c>
      <x:c r="Y32" s="108" t="b">
        <x:v>0</x:v>
      </x:c>
    </x:row>
    <x:row r="33">
      <x:c r="A33" s="54" t="str">
        <x:v>김한별</x:v>
      </x:c>
      <x:c r="B33" s="54" t="str">
        <x:v>NC</x:v>
      </x:c>
      <x:c r="C33" s="54" t="n">
        <x:v>513</x:v>
      </x:c>
      <x:c r="D33" s="102" t="n">
        <x:v>-4.452993</x:v>
      </x:c>
      <x:c r="E33" s="102" t="n">
        <x:v>-1.403931</x:v>
      </x:c>
      <x:c r="F33" s="102" t="n">
        <x:v>0.30503</x:v>
      </x:c>
      <x:c r="G33" s="102" t="n">
        <x:v>7.535446</x:v>
      </x:c>
      <x:c r="H33" s="99" t="n">
        <x:v>0.41325536</x:v>
      </x:c>
      <x:c r="I33" s="99" t="n">
        <x:v>0.60792952</x:v>
      </x:c>
      <x:c r="J33" s="99" t="n">
        <x:v>0.25874126000000003</x:v>
      </x:c>
      <x:c r="K33" s="99" t="n">
        <x:v>0.34918826000000003</x:v>
      </x:c>
      <x:c r="L33" s="99" t="n">
        <x:v>0.68181818</x:v>
      </x:c>
      <x:c r="M33" s="99" t="n">
        <x:v>0.73913043</x:v>
      </x:c>
      <x:c r="N33" s="99" t="n">
        <x:v>0.50471698</x:v>
      </x:c>
      <x:c r="O33" s="99" t="n">
        <x:v>0.20325202999999997</x:v>
      </x:c>
      <x:c r="P33" s="99" t="n">
        <x:v>0.07352941</x:v>
      </x:c>
      <x:c r="Q33" s="102" t="n">
        <x:v>-1.96501</x:v>
      </x:c>
      <x:c r="R33" s="102" t="n">
        <x:v>-4.038824</x:v>
      </x:c>
      <x:c r="S33" s="102" t="n">
        <x:v>0.801648</x:v>
      </x:c>
      <x:c r="T33" s="102" t="n">
        <x:v>3.236147</x:v>
      </x:c>
      <x:c r="U33" s="102" t="n">
        <x:v>-2.130271</x:v>
      </x:c>
      <x:c r="V33" s="102" t="n">
        <x:v>-1.497805</x:v>
      </x:c>
      <x:c r="W33" s="102" t="n">
        <x:v>2</x:v>
      </x:c>
      <x:c r="X33" s="102" t="n">
        <x:v>1.503126</x:v>
      </x:c>
      <x:c r="Y33" s="108" t="b">
        <x:v>0</x:v>
      </x:c>
    </x:row>
    <x:row r="34">
      <x:c r="A34" s="54" t="str">
        <x:v>김현수</x:v>
      </x:c>
      <x:c r="B34" s="54" t="str">
        <x:v>KT</x:v>
      </x:c>
      <x:c r="C34" s="54" t="n">
        <x:v>1937</x:v>
      </x:c>
      <x:c r="D34" s="102" t="n">
        <x:v>-0.762679</x:v>
      </x:c>
      <x:c r="E34" s="102" t="n">
        <x:v>1.575756</x:v>
      </x:c>
      <x:c r="F34" s="102" t="n">
        <x:v>0.70126</x:v>
      </x:c>
      <x:c r="G34" s="102" t="n">
        <x:v>6.707846</x:v>
      </x:c>
      <x:c r="H34" s="99" t="n">
        <x:v>0.42694889</x:v>
      </x:c>
      <x:c r="I34" s="99" t="n">
        <x:v>0.62824859</x:v>
      </x:c>
      <x:c r="J34" s="99" t="n">
        <x:v>0.25760456000000004</x:v>
      </x:c>
      <x:c r="K34" s="99" t="n">
        <x:v>0.37064403</x:v>
      </x:c>
      <x:c r="L34" s="99" t="n">
        <x:v>0.6783505200000001</x:v>
      </x:c>
      <x:c r="M34" s="99" t="n">
        <x:v>0.66906475</x:v>
      </x:c>
      <x:c r="N34" s="99" t="n">
        <x:v>0.49042146000000003</x:v>
      </x:c>
      <x:c r="O34" s="99" t="n">
        <x:v>0.21052632</x:v>
      </x:c>
      <x:c r="P34" s="99" t="n">
        <x:v>0.07216495</x:v>
      </x:c>
      <x:c r="Q34" s="102" t="n">
        <x:v>-3.591943</x:v>
      </x:c>
      <x:c r="R34" s="102" t="n">
        <x:v>-2.053561</x:v>
      </x:c>
      <x:c r="S34" s="102" t="n">
        <x:v>-4.205493</x:v>
      </x:c>
      <x:c r="T34" s="102" t="n">
        <x:v>-8.20445</x:v>
      </x:c>
      <x:c r="U34" s="102" t="n">
        <x:v>-0.057214</x:v>
      </x:c>
      <x:c r="V34" s="102" t="n">
        <x:v>-4.021789</x:v>
      </x:c>
      <x:c r="W34" s="102" t="n">
        <x:v>2</x:v>
      </x:c>
      <x:c r="X34" s="102" t="n">
        <x:v>0.935307</x:v>
      </x:c>
      <x:c r="Y34" s="108" t="b">
        <x:v>0</x:v>
      </x:c>
    </x:row>
    <x:row r="35">
      <x:c r="A35" s="54" t="str">
        <x:v>김형준</x:v>
      </x:c>
      <x:c r="B35" s="54" t="str">
        <x:v>NC</x:v>
      </x:c>
      <x:c r="C35" s="54" t="n">
        <x:v>1284</x:v>
      </x:c>
      <x:c r="D35" s="102" t="n">
        <x:v>0.371887</x:v>
      </x:c>
      <x:c r="E35" s="102" t="n">
        <x:v>4.170549</x:v>
      </x:c>
      <x:c r="F35" s="102" t="n">
        <x:v>0.92767</x:v>
      </x:c>
      <x:c r="G35" s="102" t="n">
        <x:v>7.197827</x:v>
      </x:c>
      <x:c r="H35" s="99" t="n">
        <x:v>0.46028037</x:v>
      </x:c>
      <x:c r="I35" s="99" t="n">
        <x:v>0.69595782</x:v>
      </x:c>
      <x:c r="J35" s="99" t="n">
        <x:v>0.27272727</x:v>
      </x:c>
      <x:c r="K35" s="99" t="n">
        <x:v>0.42323055</x:v>
      </x:c>
      <x:c r="L35" s="99" t="n">
        <x:v>0.73548387</x:v>
      </x:c>
      <x:c r="M35" s="99" t="n">
        <x:v>0.76</x:v>
      </x:c>
      <x:c r="N35" s="99" t="n">
        <x:v>0.55491329</x:v>
      </x:c>
      <x:c r="O35" s="99" t="n">
        <x:v>0.21830986</x:v>
      </x:c>
      <x:c r="P35" s="99" t="n">
        <x:v>0.07602339</x:v>
      </x:c>
      <x:c r="Q35" s="102" t="n">
        <x:v>-0.007238</x:v>
      </x:c>
      <x:c r="R35" s="102" t="n">
        <x:v>1.286518</x:v>
      </x:c>
      <x:c r="S35" s="102" t="n">
        <x:v>-2.550539</x:v>
      </x:c>
      <x:c r="T35" s="102" t="n">
        <x:v>-2.972198</x:v>
      </x:c>
      <x:c r="U35" s="102" t="n">
        <x:v>2.252726</x:v>
      </x:c>
      <x:c r="V35" s="102" t="n">
        <x:v>1.474332</x:v>
      </x:c>
      <x:c r="W35" s="102" t="n">
        <x:v>1</x:v>
      </x:c>
      <x:c r="X35" s="102" t="n">
        <x:v>1.715115</x:v>
      </x:c>
      <x:c r="Y35" s="108" t="b">
        <x:v>0</x:v>
      </x:c>
    </x:row>
    <x:row r="36">
      <x:c r="A36" s="54" t="str">
        <x:v>김호령</x:v>
      </x:c>
      <x:c r="B36" s="54" t="str">
        <x:v>KIA</x:v>
      </x:c>
      <x:c r="C36" s="54" t="n">
        <x:v>1801</x:v>
      </x:c>
      <x:c r="D36" s="102" t="n">
        <x:v>0.814052</x:v>
      </x:c>
      <x:c r="E36" s="102" t="n">
        <x:v>-1.614215</x:v>
      </x:c>
      <x:c r="F36" s="102" t="n">
        <x:v>0.28615999999999997</x:v>
      </x:c>
      <x:c r="G36" s="102" t="n">
        <x:v>5.226777</x:v>
      </x:c>
      <x:c r="H36" s="99" t="n">
        <x:v>0.4858412</x:v>
      </x:c>
      <x:c r="I36" s="99" t="n">
        <x:v>0.6533490000000001</x:v>
      </x:c>
      <x:c r="J36" s="99" t="n">
        <x:v>0.33578947</x:v>
      </x:c>
      <x:c r="K36" s="99" t="n">
        <x:v>0.31755953000000003</x:v>
      </x:c>
      <x:c r="L36" s="99" t="n">
        <x:v>0.6740576500000001</x:v>
      </x:c>
      <x:c r="M36" s="99" t="n">
        <x:v>0.7410071899999999</x:v>
      </x:c>
      <x:c r="N36" s="99" t="n">
        <x:v>0.57219973</x:v>
      </x:c>
      <x:c r="O36" s="99" t="n">
        <x:v>0.29743590000000003</x:v>
      </x:c>
      <x:c r="P36" s="99" t="n">
        <x:v>0.14155251</x:v>
      </x:c>
      <x:c r="Q36" s="102" t="n">
        <x:v>2.835152</x:v>
      </x:c>
      <x:c r="R36" s="102" t="n">
        <x:v>3.51787</x:v>
      </x:c>
      <x:c r="S36" s="102" t="n">
        <x:v>0.354489</x:v>
      </x:c>
      <x:c r="T36" s="102" t="n">
        <x:v>3.736743</x:v>
      </x:c>
      <x:c r="U36" s="102" t="n">
        <x:v>4.516108</x:v>
      </x:c>
      <x:c r="V36" s="102" t="n">
        <x:v>5.327706</x:v>
      </x:c>
      <x:c r="W36" s="102" t="n">
        <x:v>1</x:v>
      </x:c>
      <x:c r="X36" s="102" t="n">
        <x:v>0.9315</x:v>
      </x:c>
      <x:c r="Y36" s="108" t="b">
        <x:v>0</x:v>
      </x:c>
    </x:row>
    <x:row r="37">
      <x:c r="A37" s="54" t="str">
        <x:v>김휘집</x:v>
      </x:c>
      <x:c r="B37" s="54" t="str">
        <x:v>NC</x:v>
      </x:c>
      <x:c r="C37" s="54" t="n">
        <x:v>874</x:v>
      </x:c>
      <x:c r="D37" s="102" t="n">
        <x:v>-1.409506</x:v>
      </x:c>
      <x:c r="E37" s="102" t="n">
        <x:v>2.873772</x:v>
      </x:c>
      <x:c r="F37" s="102" t="n">
        <x:v>0.78931</x:v>
      </x:c>
      <x:c r="G37" s="102" t="n">
        <x:v>7.016045</x:v>
      </x:c>
      <x:c r="H37" s="99" t="n">
        <x:v>0.44164760000000003</x:v>
      </x:c>
      <x:c r="I37" s="99" t="n">
        <x:v>0.66666667</x:v>
      </x:c>
      <x:c r="J37" s="99" t="n">
        <x:v>0.24463519</x:v>
      </x:c>
      <x:c r="K37" s="99" t="n">
        <x:v>0.42203148</x:v>
      </x:c>
      <x:c r="L37" s="99" t="n">
        <x:v>0.7488372099999999</x:v>
      </x:c>
      <x:c r="M37" s="99" t="n">
        <x:v>0.8076923100000001</x:v>
      </x:c>
      <x:c r="N37" s="99" t="n">
        <x:v>0.50712251</x:v>
      </x:c>
      <x:c r="O37" s="99" t="n">
        <x:v>0.20560748</x:v>
      </x:c>
      <x:c r="P37" s="99" t="n">
        <x:v>0.03191489</x:v>
      </x:c>
      <x:c r="Q37" s="102" t="n">
        <x:v>-1.344004</x:v>
      </x:c>
      <x:c r="R37" s="102" t="n">
        <x:v>-2.436158</x:v>
      </x:c>
      <x:c r="S37" s="102" t="n">
        <x:v>0.813017</x:v>
      </x:c>
      <x:c r="T37" s="102" t="n">
        <x:v>3.726747</x:v>
      </x:c>
      <x:c r="U37" s="102" t="n">
        <x:v>-3.119712</x:v>
      </x:c>
      <x:c r="V37" s="102" t="n">
        <x:v>-2.828443</x:v>
      </x:c>
      <x:c r="W37" s="102" t="n">
        <x:v>2</x:v>
      </x:c>
      <x:c r="X37" s="102" t="n">
        <x:v>1.593604</x:v>
      </x:c>
      <x:c r="Y37" s="108" t="b">
        <x:v>0</x:v>
      </x:c>
    </x:row>
    <x:row r="38">
      <x:c r="A38" s="54" t="str">
        <x:v>나성범</x:v>
      </x:c>
      <x:c r="B38" s="54" t="str">
        <x:v>KIA</x:v>
      </x:c>
      <x:c r="C38" s="54" t="n">
        <x:v>1785</x:v>
      </x:c>
      <x:c r="D38" s="102" t="n">
        <x:v>8.764955</x:v>
      </x:c>
      <x:c r="E38" s="102" t="n">
        <x:v>5.101016</x:v>
      </x:c>
      <x:c r="F38" s="102" t="n">
        <x:v>0.96541</x:v>
      </x:c>
      <x:c r="G38" s="102" t="n">
        <x:v>6.483873</x:v>
      </x:c>
      <x:c r="H38" s="99" t="n">
        <x:v>0.51876751</x:v>
      </x:c>
      <x:c r="I38" s="99" t="n">
        <x:v>0.7962213199999999</x:v>
      </x:c>
      <x:c r="J38" s="99" t="n">
        <x:v>0.32183908</x:v>
      </x:c>
      <x:c r="K38" s="99" t="n">
        <x:v>0.47438223999999996</x:v>
      </x:c>
      <x:c r="L38" s="99" t="n">
        <x:v>0.8719346</x:v>
      </x:c>
      <x:c r="M38" s="99" t="n">
        <x:v>0.9266055</x:v>
      </x:c>
      <x:c r="N38" s="99" t="n">
        <x:v>0.63908702</x:v>
      </x:c>
      <x:c r="O38" s="99" t="n">
        <x:v>0.27212389000000003</x:v>
      </x:c>
      <x:c r="P38" s="99" t="n">
        <x:v>0.13207547</x:v>
      </x:c>
      <x:c r="Q38" s="102" t="n">
        <x:v>8.876566</x:v>
      </x:c>
      <x:c r="R38" s="102" t="n">
        <x:v>6.853133</x:v>
      </x:c>
      <x:c r="S38" s="102" t="n">
        <x:v>9.639238</x:v>
      </x:c>
      <x:c r="T38" s="102" t="n">
        <x:v>12.303737</x:v>
      </x:c>
      <x:c r="U38" s="102" t="n">
        <x:v>8.547896</x:v>
      </x:c>
      <x:c r="V38" s="102" t="n">
        <x:v>9.549947</x:v>
      </x:c>
      <x:c r="W38" s="102" t="n">
        <x:v>1</x:v>
      </x:c>
      <x:c r="X38" s="102" t="n">
        <x:v>2.746983</x:v>
      </x:c>
      <x:c r="Y38" s="108" t="b">
        <x:v>0</x:v>
      </x:c>
    </x:row>
    <x:row r="39">
      <x:c r="A39" s="54" t="str">
        <x:v>나승엽</x:v>
      </x:c>
      <x:c r="B39" s="54" t="str">
        <x:v>LOT</x:v>
      </x:c>
      <x:c r="C39" s="54" t="n">
        <x:v>1247</x:v>
      </x:c>
      <x:c r="D39" s="102" t="n">
        <x:v>-6.38048</x:v>
      </x:c>
      <x:c r="E39" s="102" t="n">
        <x:v>0.645295</x:v>
      </x:c>
      <x:c r="F39" s="102" t="n">
        <x:v>0.51887</x:v>
      </x:c>
      <x:c r="G39" s="102" t="n">
        <x:v>6.559062</x:v>
      </x:c>
      <x:c r="H39" s="99" t="n">
        <x:v>0.38251804</x:v>
      </x:c>
      <x:c r="I39" s="99" t="n">
        <x:v>0.5694444399999999</x:v>
      </x:c>
      <x:c r="J39" s="99" t="n">
        <x:v>0.22205663</x:v>
      </x:c>
      <x:c r="K39" s="99" t="n">
        <x:v>0.34738781</x:v>
      </x:c>
      <x:c r="L39" s="99" t="n">
        <x:v>0.6336633700000001</x:v>
      </x:c>
      <x:c r="M39" s="99" t="n">
        <x:v>0.61445783</x:v>
      </x:c>
      <x:c r="N39" s="99" t="n">
        <x:v>0.44881889999999997</x:v>
      </x:c>
      <x:c r="O39" s="99" t="n">
        <x:v>0.19520548000000001</x:v>
      </x:c>
      <x:c r="P39" s="99" t="n">
        <x:v>0</x:v>
      </x:c>
      <x:c r="Q39" s="102" t="n">
        <x:v>-8.329819</x:v>
      </x:c>
      <x:c r="R39" s="102" t="n">
        <x:v>-6.263784</x:v>
      </x:c>
      <x:c r="S39" s="102" t="n">
        <x:v>-7.218922</x:v>
      </x:c>
      <x:c r="T39" s="102" t="n">
        <x:v>-12.280536</x:v>
      </x:c>
      <x:c r="U39" s="102" t="n">
        <x:v>-7.963666</x:v>
      </x:c>
      <x:c r="V39" s="102" t="n">
        <x:v>-7.840289</x:v>
      </x:c>
      <x:c r="W39" s="102" t="n">
        <x:v>2</x:v>
      </x:c>
      <x:c r="X39" s="102" t="n">
        <x:v>2.186226</x:v>
      </x:c>
      <x:c r="Y39" s="108" t="b">
        <x:v>0</x:v>
      </x:c>
    </x:row>
    <x:row r="40">
      <x:c r="A40" s="54" t="str">
        <x:v>노시환</x:v>
      </x:c>
      <x:c r="B40" s="54" t="str">
        <x:v>HAN</x:v>
      </x:c>
      <x:c r="C40" s="54" t="n">
        <x:v>1948</x:v>
      </x:c>
      <x:c r="D40" s="102" t="n">
        <x:v>0.341805</x:v>
      </x:c>
      <x:c r="E40" s="102" t="n">
        <x:v>4.014689</x:v>
      </x:c>
      <x:c r="F40" s="102" t="n">
        <x:v>0.90881</x:v>
      </x:c>
      <x:c r="G40" s="102" t="n">
        <x:v>6.903593</x:v>
      </x:c>
      <x:c r="H40" s="99" t="n">
        <x:v>0.45841889</x:v>
      </x:c>
      <x:c r="I40" s="99" t="n">
        <x:v>0.69916766</x:v>
      </x:c>
      <x:c r="J40" s="99" t="n">
        <x:v>0.27551942</x:v>
      </x:c>
      <x:c r="K40" s="99" t="n">
        <x:v>0.42364824</x:v>
      </x:c>
      <x:c r="L40" s="99" t="n">
        <x:v>0.78125</x:v>
      </x:c>
      <x:c r="M40" s="99" t="n">
        <x:v>0.8521739100000001</x:v>
      </x:c>
      <x:c r="N40" s="99" t="n">
        <x:v>0.5522193200000001</x:v>
      </x:c>
      <x:c r="O40" s="99" t="n">
        <x:v>0.22431866</x:v>
      </x:c>
      <x:c r="P40" s="99" t="n">
        <x:v>0.05058366</x:v>
      </x:c>
      <x:c r="Q40" s="102" t="n">
        <x:v>0.505131</x:v>
      </x:c>
      <x:c r="R40" s="102" t="n">
        <x:v>1.455943</x:v>
      </x:c>
      <x:c r="S40" s="102" t="n">
        <x:v>2.269846</x:v>
      </x:c>
      <x:c r="T40" s="102" t="n">
        <x:v>6.477126</x:v>
      </x:c>
      <x:c r="U40" s="102" t="n">
        <x:v>-0.40682</x:v>
      </x:c>
      <x:c r="V40" s="102" t="n">
        <x:v>1.262182</x:v>
      </x:c>
      <x:c r="W40" s="102" t="n">
        <x:v>1</x:v>
      </x:c>
      <x:c r="X40" s="102" t="n">
        <x:v>1.152006</x:v>
      </x:c>
      <x:c r="Y40" s="108" t="b">
        <x:v>0</x:v>
      </x:c>
    </x:row>
    <x:row r="41">
      <x:c r="A41" s="54" t="str">
        <x:v>노진혁</x:v>
      </x:c>
      <x:c r="B41" s="54" t="str">
        <x:v>LOT</x:v>
      </x:c>
      <x:c r="C41" s="54" t="n">
        <x:v>826</x:v>
      </x:c>
      <x:c r="D41" s="102" t="n">
        <x:v>0.721591</x:v>
      </x:c>
      <x:c r="E41" s="102" t="n">
        <x:v>3.291302</x:v>
      </x:c>
      <x:c r="F41" s="102" t="n">
        <x:v>0.83333</x:v>
      </x:c>
      <x:c r="G41" s="102" t="n">
        <x:v>6.999488</x:v>
      </x:c>
      <x:c r="H41" s="99" t="n">
        <x:v>0.46368039000000005</x:v>
      </x:c>
      <x:c r="I41" s="99" t="n">
        <x:v>0.69796954</x:v>
      </x:c>
      <x:c r="J41" s="99" t="n">
        <x:v>0.25</x:v>
      </x:c>
      <x:c r="K41" s="99" t="n">
        <x:v>0.44796954</x:v>
      </x:c>
      <x:c r="L41" s="99" t="n">
        <x:v>0.72429907</x:v>
      </x:c>
      <x:c r="M41" s="99" t="n">
        <x:v>0.62264151</x:v>
      </x:c>
      <x:c r="N41" s="99" t="n">
        <x:v>0.55757576</x:v>
      </x:c>
      <x:c r="O41" s="99" t="n">
        <x:v>0.18974359</x:v>
      </x:c>
      <x:c r="P41" s="99" t="n">
        <x:v>0.08045977</x:v>
      </x:c>
      <x:c r="Q41" s="102" t="n">
        <x:v>1.273586</x:v>
      </x:c>
      <x:c r="R41" s="102" t="n">
        <x:v>-1.605563</x:v>
      </x:c>
      <x:c r="S41" s="102" t="n">
        <x:v>-2.293834</x:v>
      </x:c>
      <x:c r="T41" s="102" t="n">
        <x:v>-15.399653</x:v>
      </x:c>
      <x:c r="U41" s="102" t="n">
        <x:v>2.044383</x:v>
      </x:c>
      <x:c r="V41" s="102" t="n">
        <x:v>2.063525</x:v>
      </x:c>
      <x:c r="W41" s="102" t="n">
        <x:v>2</x:v>
      </x:c>
      <x:c r="X41" s="102" t="n">
        <x:v>2.495325</x:v>
      </x:c>
      <x:c r="Y41" s="108" t="b">
        <x:v>0</x:v>
      </x:c>
    </x:row>
    <x:row r="42">
      <x:c r="A42" s="54" t="str">
        <x:v>데이비슨</x:v>
      </x:c>
      <x:c r="B42" s="54" t="str">
        <x:v>NC · KIW</x:v>
      </x:c>
      <x:c r="C42" s="54" t="n">
        <x:v>1670</x:v>
      </x:c>
      <x:c r="D42" s="102" t="n">
        <x:v>7.632079</x:v>
      </x:c>
      <x:c r="E42" s="102" t="n">
        <x:v>0.949147</x:v>
      </x:c>
      <x:c r="F42" s="102" t="n">
        <x:v>0.59434</x:v>
      </x:c>
      <x:c r="G42" s="102" t="n">
        <x:v>6.120156</x:v>
      </x:c>
      <x:c r="H42" s="99" t="n">
        <x:v>0.53832335</x:v>
      </x:c>
      <x:c r="I42" s="99" t="n">
        <x:v>0.75</x:v>
      </x:c>
      <x:c r="J42" s="99" t="n">
        <x:v>0.37945492999999997</x:v>
      </x:c>
      <x:c r="K42" s="99" t="n">
        <x:v>0.37054507000000003</x:v>
      </x:c>
      <x:c r="L42" s="99" t="n">
        <x:v>0.7989821899999999</x:v>
      </x:c>
      <x:c r="M42" s="99" t="n">
        <x:v>0.875</x:v>
      </x:c>
      <x:c r="N42" s="99" t="n">
        <x:v>0.65566038</x:v>
      </x:c>
      <x:c r="O42" s="99" t="n">
        <x:v>0.3675</x:v>
      </x:c>
      <x:c r="P42" s="99" t="n">
        <x:v>0.08713692999999999</x:v>
      </x:c>
      <x:c r="Q42" s="102" t="n">
        <x:v>9.352629</x:v>
      </x:c>
      <x:c r="R42" s="102" t="n">
        <x:v>9.690084</x:v>
      </x:c>
      <x:c r="S42" s="102" t="n">
        <x:v>8.837721</x:v>
      </x:c>
      <x:c r="T42" s="102" t="n">
        <x:v>13.321523</x:v>
      </x:c>
      <x:c r="U42" s="102" t="n">
        <x:v>0.97534</x:v>
      </x:c>
      <x:c r="V42" s="102" t="n">
        <x:v>12.732255</x:v>
      </x:c>
      <x:c r="W42" s="102" t="n">
        <x:v>1</x:v>
      </x:c>
      <x:c r="X42" s="102" t="n">
        <x:v>2.580765</x:v>
      </x:c>
      <x:c r="Y42" s="108" t="b">
        <x:v>0</x:v>
      </x:c>
    </x:row>
    <x:row r="43">
      <x:c r="A43" s="54" t="str">
        <x:v>데일</x:v>
      </x:c>
      <x:c r="B43" s="54" t="str">
        <x:v>KIA</x:v>
      </x:c>
      <x:c r="C43" s="54" t="n">
        <x:v>490</x:v>
      </x:c>
      <x:c r="D43" s="102" t="n">
        <x:v>6.3296</x:v>
      </x:c>
      <x:c r="E43" s="102" t="n">
        <x:v>4.262412</x:v>
      </x:c>
      <x:c r="F43" s="102" t="n">
        <x:v>0.94025</x:v>
      </x:c>
      <x:c r="G43" s="102" t="n">
        <x:v>6.552008</x:v>
      </x:c>
      <x:c r="H43" s="99" t="n">
        <x:v>0.51632653</x:v>
      </x:c>
      <x:c r="I43" s="99" t="n">
        <x:v>0.74672489</x:v>
      </x:c>
      <x:c r="J43" s="99" t="n">
        <x:v>0.31417625</x:v>
      </x:c>
      <x:c r="K43" s="99" t="n">
        <x:v>0.43254864</x:v>
      </x:c>
      <x:c r="L43" s="99" t="n">
        <x:v>0.81746032</x:v>
      </x:c>
      <x:c r="M43" s="99" t="n">
        <x:v>0.8571428600000001</x:v>
      </x:c>
      <x:c r="N43" s="99" t="n">
        <x:v>0.6039604</x:v>
      </x:c>
      <x:c r="O43" s="99" t="n">
        <x:v>0.24528302</x:v>
      </x:c>
      <x:c r="P43" s="99" t="n">
        <x:v>0.03571429</x:v>
      </x:c>
      <x:c r="Q43" s="102" t="n">
        <x:v>4.956668</x:v>
      </x:c>
      <x:c r="R43" s="102" t="n">
        <x:v>5.496125</x:v>
      </x:c>
      <x:c r="S43" s="102" t="n">
        <x:v>5.503428</x:v>
      </x:c>
      <x:c r="T43" s="102" t="n">
        <x:v>6.605388</x:v>
      </x:c>
      <x:c r="U43" s="102" t="n">
        <x:v>-1.710065</x:v>
      </x:c>
      <x:c r="V43" s="102" t="n">
        <x:v>6.345302</x:v>
      </x:c>
      <x:c r="W43" s="102" t="n">
        <x:v>1</x:v>
      </x:c>
      <x:c r="X43" s="102" t="n">
        <x:v>1.194989</x:v>
      </x:c>
      <x:c r="Y43" s="108" t="b">
        <x:v>0</x:v>
      </x:c>
    </x:row>
    <x:row r="44">
      <x:c r="A44" s="54" t="str">
        <x:v>도태훈</x:v>
      </x:c>
      <x:c r="B44" s="54" t="str">
        <x:v>NC</x:v>
      </x:c>
      <x:c r="C44" s="54" t="n">
        <x:v>343</x:v>
      </x:c>
      <x:c r="D44" s="102" t="n">
        <x:v>-6.016883</x:v>
      </x:c>
      <x:c r="E44" s="102" t="n">
        <x:v>1.192607</x:v>
      </x:c>
      <x:c r="F44" s="102" t="n">
        <x:v>0.6446500000000001</x:v>
      </x:c>
      <x:c r="G44" s="102" t="n">
        <x:v>6.014062</x:v>
      </x:c>
      <x:c r="H44" s="99" t="n">
        <x:v>0.37026238999999994</x:v>
      </x:c>
      <x:c r="I44" s="99" t="n">
        <x:v>0.58</x:v>
      </x:c>
      <x:c r="J44" s="99" t="n">
        <x:v>0.20725389</x:v>
      </x:c>
      <x:c r="K44" s="99" t="n">
        <x:v>0.37274611</x:v>
      </x:c>
      <x:c r="L44" s="99" t="n">
        <x:v>0.7236842099999999</x:v>
      </x:c>
      <x:c r="M44" s="99" t="n">
        <x:v>0.75</x:v>
      </x:c>
      <x:c r="N44" s="99" t="n">
        <x:v>0.40145985</x:v>
      </x:c>
      <x:c r="O44" s="99" t="n">
        <x:v>0.16842105</x:v>
      </x:c>
      <x:c r="P44" s="99" t="n">
        <x:v>0.028571430000000002</x:v>
      </x:c>
      <x:c r="Q44" s="102" t="n">
        <x:v>-7.946322</x:v>
      </x:c>
      <x:c r="R44" s="102" t="n">
        <x:v>-7.358524</x:v>
      </x:c>
      <x:c r="S44" s="102" t="n">
        <x:v>0.92714</x:v>
      </x:c>
      <x:c r="T44" s="102" t="n">
        <x:v>0.459234</x:v>
      </x:c>
      <x:c r="U44" s="102" t="n">
        <x:v>-4.700679</x:v>
      </x:c>
      <x:c r="V44" s="102" t="n">
        <x:v>-12.777221</x:v>
      </x:c>
      <x:c r="W44" s="102" t="n">
        <x:v>2</x:v>
      </x:c>
      <x:c r="X44" s="102" t="n">
        <x:v>1.9236</x:v>
      </x:c>
      <x:c r="Y44" s="108" t="b">
        <x:v>0</x:v>
      </x:c>
    </x:row>
    <x:row r="45">
      <x:c r="A45" s="54" t="str">
        <x:v>디아즈</x:v>
      </x:c>
      <x:c r="B45" s="54" t="str">
        <x:v>SAM</x:v>
      </x:c>
      <x:c r="C45" s="54" t="n">
        <x:v>1986</x:v>
      </x:c>
      <x:c r="D45" s="102" t="n">
        <x:v>2.238129</x:v>
      </x:c>
      <x:c r="E45" s="102" t="n">
        <x:v>-2.713983</x:v>
      </x:c>
      <x:c r="F45" s="102" t="n">
        <x:v>0.12264</x:v>
      </x:c>
      <x:c r="G45" s="102" t="n">
        <x:v>5.89751</x:v>
      </x:c>
      <x:c r="H45" s="99" t="n">
        <x:v>0.43202417</x:v>
      </x:c>
      <x:c r="I45" s="99" t="n">
        <x:v>0.61333333</x:v>
      </x:c>
      <x:c r="J45" s="99" t="n">
        <x:v>0.30318691000000003</x:v>
      </x:c>
      <x:c r="K45" s="99" t="n">
        <x:v>0.31014642</x:v>
      </x:c>
      <x:c r="L45" s="99" t="n">
        <x:v>0.6440281</x:v>
      </x:c>
      <x:c r="M45" s="99" t="n">
        <x:v>0.62162162</x:v>
      </x:c>
      <x:c r="N45" s="99" t="n">
        <x:v>0.53590426</x:v>
      </x:c>
      <x:c r="O45" s="99" t="n">
        <x:v>0.29310345000000004</x:v>
      </x:c>
      <x:c r="P45" s="99" t="n">
        <x:v>0.09473684</x:v>
      </x:c>
      <x:c r="Q45" s="102" t="n">
        <x:v>0.184021</x:v>
      </x:c>
      <x:c r="R45" s="102" t="n">
        <x:v>-0.517078</x:v>
      </x:c>
      <x:c r="S45" s="102" t="n">
        <x:v>-0.928375</x:v>
      </x:c>
      <x:c r="T45" s="102" t="n">
        <x:v>-6.565265</x:v>
      </x:c>
      <x:c r="U45" s="102" t="n">
        <x:v>-0.980961</x:v>
      </x:c>
      <x:c r="V45" s="102" t="n">
        <x:v>2.102102</x:v>
      </x:c>
      <x:c r="W45" s="102" t="n">
        <x:v>2</x:v>
      </x:c>
      <x:c r="X45" s="102" t="n">
        <x:v>1.672032</x:v>
      </x:c>
      <x:c r="Y45" s="108" t="b">
        <x:v>0</x:v>
      </x:c>
    </x:row>
    <x:row r="46">
      <x:c r="A46" s="54" t="str">
        <x:v>레이예스</x:v>
      </x:c>
      <x:c r="B46" s="54" t="str">
        <x:v>LOT</x:v>
      </x:c>
      <x:c r="C46" s="54" t="n">
        <x:v>1870</x:v>
      </x:c>
      <x:c r="D46" s="102" t="n">
        <x:v>10.20813</x:v>
      </x:c>
      <x:c r="E46" s="102" t="n">
        <x:v>-0.588692</x:v>
      </x:c>
      <x:c r="F46" s="102" t="n">
        <x:v>0.36792</x:v>
      </x:c>
      <x:c r="G46" s="102" t="n">
        <x:v>5.539883</x:v>
      </x:c>
      <x:c r="H46" s="99" t="n">
        <x:v>0.5315508</x:v>
      </x:c>
      <x:c r="I46" s="99" t="n">
        <x:v>0.74935401</x:v>
      </x:c>
      <x:c r="J46" s="99" t="n">
        <x:v>0.37773723</x:v>
      </x:c>
      <x:c r="K46" s="99" t="n">
        <x:v>0.37161678000000004</x:v>
      </x:c>
      <x:c r="L46" s="99" t="n">
        <x:v>0.7620192299999999</x:v>
      </x:c>
      <x:c r="M46" s="99" t="n">
        <x:v>0.8303571399999999</x:v>
      </x:c>
      <x:c r="N46" s="99" t="n">
        <x:v>0.66525424</x:v>
      </x:c>
      <x:c r="O46" s="99" t="n">
        <x:v>0.38565022</x:v>
      </x:c>
      <x:c r="P46" s="99" t="n">
        <x:v>0.11333333</x:v>
      </x:c>
      <x:c r="Q46" s="102" t="n">
        <x:v>11.176385</x:v>
      </x:c>
      <x:c r="R46" s="102" t="n">
        <x:v>8.435039</x:v>
      </x:c>
      <x:c r="S46" s="102" t="n">
        <x:v>7.54668</x:v>
      </x:c>
      <x:c r="T46" s="102" t="n">
        <x:v>11.145673</x:v>
      </x:c>
      <x:c r="U46" s="102" t="n">
        <x:v>2.454638</x:v>
      </x:c>
      <x:c r="V46" s="102" t="n">
        <x:v>14.256485</x:v>
      </x:c>
      <x:c r="W46" s="102" t="n">
        <x:v>1</x:v>
      </x:c>
      <x:c r="X46" s="102" t="n">
        <x:v>2.529702</x:v>
      </x:c>
      <x:c r="Y46" s="108" t="b">
        <x:v>0</x:v>
      </x:c>
    </x:row>
    <x:row r="47">
      <x:c r="A47" s="54" t="str">
        <x:v>류승민</x:v>
      </x:c>
      <x:c r="B47" s="54" t="str">
        <x:v>SAM · DOO</x:v>
      </x:c>
      <x:c r="C47" s="54" t="n">
        <x:v>350</x:v>
      </x:c>
      <x:c r="D47" s="102" t="n">
        <x:v>1.688262</x:v>
      </x:c>
      <x:c r="E47" s="102" t="n">
        <x:v>-2.269133</x:v>
      </x:c>
      <x:c r="F47" s="102" t="n">
        <x:v>0.19182</x:v>
      </x:c>
      <x:c r="G47" s="102" t="n">
        <x:v>5.711323</x:v>
      </x:c>
      <x:c r="H47" s="99" t="n">
        <x:v>0.45142857</x:v>
      </x:c>
      <x:c r="I47" s="99" t="n">
        <x:v>0.61290323</x:v>
      </x:c>
      <x:c r="J47" s="99" t="n">
        <x:v>0.32307692000000005</x:v>
      </x:c>
      <x:c r="K47" s="99" t="n">
        <x:v>0.28982631000000003</x:v>
      </x:c>
      <x:c r="L47" s="99" t="n">
        <x:v>0.6590909100000001</x:v>
      </x:c>
      <x:c r="M47" s="99" t="n">
        <x:v>0.63636364</x:v>
      </x:c>
      <x:c r="N47" s="99" t="n">
        <x:v>0.47727273</x:v>
      </x:c>
      <x:c r="O47" s="99" t="n">
        <x:v>0.32941176</x:v>
      </x:c>
      <x:c r="P47" s="99" t="n">
        <x:v>0.2</x:v>
      </x:c>
      <x:c r="Q47" s="102" t="n">
        <x:v>-0.405233</x:v>
      </x:c>
      <x:c r="R47" s="102" t="n">
        <x:v>1.785282</x:v>
      </x:c>
      <x:c r="S47" s="102" t="n">
        <x:v>-0.117861</x:v>
      </x:c>
      <x:c r="T47" s="102" t="n">
        <x:v>-5.753038</x:v>
      </x:c>
      <x:c r="U47" s="102" t="n">
        <x:v>9.875221</x:v>
      </x:c>
      <x:c r="V47" s="102" t="n">
        <x:v>-3.924444</x:v>
      </x:c>
      <x:c r="W47" s="102" t="n">
        <x:v>1</x:v>
      </x:c>
      <x:c r="X47" s="102" t="n">
        <x:v>2.912571</x:v>
      </x:c>
      <x:c r="Y47" s="108" t="b">
        <x:v>1</x:v>
      </x:c>
    </x:row>
    <x:row r="48">
      <x:c r="A48" s="54" t="str">
        <x:v>류지혁</x:v>
      </x:c>
      <x:c r="B48" s="54" t="str">
        <x:v>SAM</x:v>
      </x:c>
      <x:c r="C48" s="54" t="n">
        <x:v>1762</x:v>
      </x:c>
      <x:c r="D48" s="102" t="n">
        <x:v>-1.837605</x:v>
      </x:c>
      <x:c r="E48" s="102" t="n">
        <x:v>2.722202</x:v>
      </x:c>
      <x:c r="F48" s="102" t="n">
        <x:v>0.77044</x:v>
      </x:c>
      <x:c r="G48" s="102" t="n">
        <x:v>7.715803</x:v>
      </x:c>
      <x:c r="H48" s="99" t="n">
        <x:v>0.42111237</x:v>
      </x:c>
      <x:c r="I48" s="99" t="n">
        <x:v>0.65880893</x:v>
      </x:c>
      <x:c r="J48" s="99" t="n">
        <x:v>0.2207113</x:v>
      </x:c>
      <x:c r="K48" s="99" t="n">
        <x:v>0.43809762999999996</x:v>
      </x:c>
      <x:c r="L48" s="99" t="n">
        <x:v>0.72477064</x:v>
      </x:c>
      <x:c r="M48" s="99" t="n">
        <x:v>0.67924528</x:v>
      </x:c>
      <x:c r="N48" s="99" t="n">
        <x:v>0.49008499</x:v>
      </x:c>
      <x:c r="O48" s="99" t="n">
        <x:v>0.18159806</x:v>
      </x:c>
      <x:c r="P48" s="99" t="n">
        <x:v>0.024154589999999997</x:v>
      </x:c>
      <x:c r="Q48" s="102" t="n">
        <x:v>-1.943661</x:v>
      </x:c>
      <x:c r="R48" s="102" t="n">
        <x:v>-4.935315</x:v>
      </x:c>
      <x:c r="S48" s="102" t="n">
        <x:v>-1.356578</x:v>
      </x:c>
      <x:c r="T48" s="102" t="n">
        <x:v>-8.892406</x:v>
      </x:c>
      <x:c r="U48" s="102" t="n">
        <x:v>-4.008135</x:v>
      </x:c>
      <x:c r="V48" s="102" t="n">
        <x:v>-4.476523</x:v>
      </x:c>
      <x:c r="W48" s="102" t="n">
        <x:v>2</x:v>
      </x:c>
      <x:c r="X48" s="102" t="n">
        <x:v>1.085154</x:v>
      </x:c>
      <x:c r="Y48" s="108" t="b">
        <x:v>0</x:v>
      </x:c>
    </x:row>
    <x:row r="49">
      <x:c r="A49" s="54" t="str">
        <x:v>류현인</x:v>
      </x:c>
      <x:c r="B49" s="54" t="str">
        <x:v>KT</x:v>
      </x:c>
      <x:c r="C49" s="54" t="n">
        <x:v>663</x:v>
      </x:c>
      <x:c r="D49" s="102" t="n">
        <x:v>3.399425</x:v>
      </x:c>
      <x:c r="E49" s="102" t="n">
        <x:v>0.740316</x:v>
      </x:c>
      <x:c r="F49" s="102" t="n">
        <x:v>0.54403</x:v>
      </x:c>
      <x:c r="G49" s="102" t="n">
        <x:v>6.644702</x:v>
      </x:c>
      <x:c r="H49" s="99" t="n">
        <x:v>0.49321266999999996</x:v>
      </x:c>
      <x:c r="I49" s="99" t="n">
        <x:v>0.68535826</x:v>
      </x:c>
      <x:c r="J49" s="99" t="n">
        <x:v>0.31286549999999996</x:v>
      </x:c>
      <x:c r="K49" s="99" t="n">
        <x:v>0.37249276000000003</x:v>
      </x:c>
      <x:c r="L49" s="99" t="n">
        <x:v>0.71204188</x:v>
      </x:c>
      <x:c r="M49" s="99" t="n">
        <x:v>0.7727272700000001</x:v>
      </x:c>
      <x:c r="N49" s="99" t="n">
        <x:v>0.6124031</x:v>
      </x:c>
      <x:c r="O49" s="99" t="n">
        <x:v>0.23664121999999999</x:v>
      </x:c>
      <x:c r="P49" s="99" t="n">
        <x:v>0.02409639</x:v>
      </x:c>
      <x:c r="Q49" s="102" t="n">
        <x:v>3.144884</x:v>
      </x:c>
      <x:c r="R49" s="102" t="n">
        <x:v>2.884037</x:v>
      </x:c>
      <x:c r="S49" s="102" t="n">
        <x:v>0.470312</x:v>
      </x:c>
      <x:c r="T49" s="102" t="n">
        <x:v>3.405008</x:v>
      </x:c>
      <x:c r="U49" s="102" t="n">
        <x:v>-5.483567</x:v>
      </x:c>
      <x:c r="V49" s="102" t="n">
        <x:v>8.48323</x:v>
      </x:c>
      <x:c r="W49" s="102" t="n">
        <x:v>1</x:v>
      </x:c>
      <x:c r="X49" s="102" t="n">
        <x:v>2.085984</x:v>
      </x:c>
      <x:c r="Y49" s="108" t="b">
        <x:v>0</x:v>
      </x:c>
    </x:row>
    <x:row r="50">
      <x:c r="A50" s="54" t="str">
        <x:v>문보경</x:v>
      </x:c>
      <x:c r="B50" s="54" t="str">
        <x:v>LG</x:v>
      </x:c>
      <x:c r="C50" s="54" t="n">
        <x:v>1510</x:v>
      </x:c>
      <x:c r="D50" s="102" t="n">
        <x:v>-3.85526</x:v>
      </x:c>
      <x:c r="E50" s="102" t="n">
        <x:v>1.869698</x:v>
      </x:c>
      <x:c r="F50" s="102" t="n">
        <x:v>0.72013</x:v>
      </x:c>
      <x:c r="G50" s="102" t="n">
        <x:v>6.925803</x:v>
      </x:c>
      <x:c r="H50" s="99" t="n">
        <x:v>0.40463576</x:v>
      </x:c>
      <x:c r="I50" s="99" t="n">
        <x:v>0.62462006</x:v>
      </x:c>
      <x:c r="J50" s="99" t="n">
        <x:v>0.23474177999999998</x:v>
      </x:c>
      <x:c r="K50" s="99" t="n">
        <x:v>0.38987828</x:v>
      </x:c>
      <x:c r="L50" s="99" t="n">
        <x:v>0.66475645</x:v>
      </x:c>
      <x:c r="M50" s="99" t="n">
        <x:v>0.76691729</x:v>
      </x:c>
      <x:c r="N50" s="99" t="n">
        <x:v>0.48148148</x:v>
      </x:c>
      <x:c r="O50" s="99" t="n">
        <x:v>0.21164021000000002</x:v>
      </x:c>
      <x:c r="P50" s="99" t="n">
        <x:v>0.06878307</x:v>
      </x:c>
      <x:c r="Q50" s="102" t="n">
        <x:v>-4.315735</x:v>
      </x:c>
      <x:c r="R50" s="102" t="n">
        <x:v>-4.132783</x:v>
      </x:c>
      <x:c r="S50" s="102" t="n">
        <x:v>-6.024639</x:v>
      </x:c>
      <x:c r="T50" s="102" t="n">
        <x:v>1.143393</x:v>
      </x:c>
      <x:c r="U50" s="102" t="n">
        <x:v>-0.177437</x:v>
      </x:c>
      <x:c r="V50" s="102" t="n">
        <x:v>-5.023752</x:v>
      </x:c>
      <x:c r="W50" s="102" t="n">
        <x:v>2</x:v>
      </x:c>
      <x:c r="X50" s="102" t="n">
        <x:v>0.945739</x:v>
      </x:c>
      <x:c r="Y50" s="108" t="b">
        <x:v>0</x:v>
      </x:c>
    </x:row>
    <x:row r="51">
      <x:c r="A51" s="54" t="str">
        <x:v>문성주</x:v>
      </x:c>
      <x:c r="B51" s="54" t="str">
        <x:v>LG</x:v>
      </x:c>
      <x:c r="C51" s="54" t="n">
        <x:v>886</x:v>
      </x:c>
      <x:c r="D51" s="102" t="n">
        <x:v>1.184293</x:v>
      </x:c>
      <x:c r="E51" s="102" t="n">
        <x:v>1.169262</x:v>
      </x:c>
      <x:c r="F51" s="102" t="n">
        <x:v>0.63836</x:v>
      </x:c>
      <x:c r="G51" s="102" t="n">
        <x:v>6.290927</x:v>
      </x:c>
      <x:c r="H51" s="99" t="n">
        <x:v>0.44469526000000004</x:v>
      </x:c>
      <x:c r="I51" s="99" t="n">
        <x:v>0.6540404</x:v>
      </x:c>
      <x:c r="J51" s="99" t="n">
        <x:v>0.27551020000000004</x:v>
      </x:c>
      <x:c r="K51" s="99" t="n">
        <x:v>0.3785302</x:v>
      </x:c>
      <x:c r="L51" s="99" t="n">
        <x:v>0.6826923100000001</x:v>
      </x:c>
      <x:c r="M51" s="99" t="n">
        <x:v>0.7142857100000001</x:v>
      </x:c>
      <x:c r="N51" s="99" t="n">
        <x:v>0.5660377400000001</x:v>
      </x:c>
      <x:c r="O51" s="99" t="n">
        <x:v>0.20942408</x:v>
      </x:c>
      <x:c r="P51" s="99" t="n">
        <x:v>0.01724138</x:v>
      </x:c>
      <x:c r="Q51" s="102" t="n">
        <x:v>-0.513616</x:v>
      </x:c>
      <x:c r="R51" s="102" t="n">
        <x:v>-0.549337</x:v>
      </x:c>
      <x:c r="S51" s="102" t="n">
        <x:v>-3.135537</x:v>
      </x:c>
      <x:c r="T51" s="102" t="n">
        <x:v>-3.077456</x:v>
      </x:c>
      <x:c r="U51" s="102" t="n">
        <x:v>-5.850995</x:v>
      </x:c>
      <x:c r="V51" s="102" t="n">
        <x:v>3.689143</x:v>
      </x:c>
      <x:c r="W51" s="102" t="n">
        <x:v>2</x:v>
      </x:c>
      <x:c r="X51" s="102" t="n">
        <x:v>1.866797</x:v>
      </x:c>
      <x:c r="Y51" s="108" t="b">
        <x:v>0</x:v>
      </x:c>
    </x:row>
    <x:row r="52">
      <x:c r="A52" s="54" t="str">
        <x:v>문정빈</x:v>
      </x:c>
      <x:c r="B52" s="54" t="str">
        <x:v>LG</x:v>
      </x:c>
      <x:c r="C52" s="54" t="n">
        <x:v>979</x:v>
      </x:c>
      <x:c r="D52" s="102" t="n">
        <x:v>-3.212786</x:v>
      </x:c>
      <x:c r="E52" s="102" t="n">
        <x:v>1.30801</x:v>
      </x:c>
      <x:c r="F52" s="102" t="n">
        <x:v>0.6698099999999999</x:v>
      </x:c>
      <x:c r="G52" s="102" t="n">
        <x:v>6.322896</x:v>
      </x:c>
      <x:c r="H52" s="99" t="n">
        <x:v>0.43615935</x:v>
      </x:c>
      <x:c r="I52" s="99" t="n">
        <x:v>0.63409091</x:v>
      </x:c>
      <x:c r="J52" s="99" t="n">
        <x:v>0.27458256</x:v>
      </x:c>
      <x:c r="K52" s="99" t="n">
        <x:v>0.35950835</x:v>
      </x:c>
      <x:c r="L52" s="99" t="n">
        <x:v>0.6457399100000001</x:v>
      </x:c>
      <x:c r="M52" s="99" t="n">
        <x:v>0.66</x:v>
      </x:c>
      <x:c r="N52" s="99" t="n">
        <x:v>0.53045685</x:v>
      </x:c>
      <x:c r="O52" s="99" t="n">
        <x:v>0.26244344000000003</x:v>
      </x:c>
      <x:c r="P52" s="99" t="n">
        <x:v>0.11347518000000001</x:v>
      </x:c>
      <x:c r="Q52" s="102" t="n">
        <x:v>-2.678938</x:v>
      </x:c>
      <x:c r="R52" s="102" t="n">
        <x:v>-0.544365</x:v>
      </x:c>
      <x:c r="S52" s="102" t="n">
        <x:v>-7.047786</x:v>
      </x:c>
      <x:c r="T52" s="102" t="n">
        <x:v>-8.712496</x:v>
      </x:c>
      <x:c r="U52" s="102" t="n">
        <x:v>3.87527</x:v>
      </x:c>
      <x:c r="V52" s="102" t="n">
        <x:v>0.080092</x:v>
      </x:c>
      <x:c r="W52" s="102" t="n">
        <x:v>2</x:v>
      </x:c>
      <x:c r="X52" s="102" t="n">
        <x:v>2.072195</x:v>
      </x:c>
      <x:c r="Y52" s="108" t="b">
        <x:v>0</x:v>
      </x:c>
    </x:row>
    <x:row r="53">
      <x:c r="A53" s="54" t="str">
        <x:v>문현빈</x:v>
      </x:c>
      <x:c r="B53" s="54" t="str">
        <x:v>HAN</x:v>
      </x:c>
      <x:c r="C53" s="54" t="n">
        <x:v>1907</x:v>
      </x:c>
      <x:c r="D53" s="102" t="n">
        <x:v>1.83238</x:v>
      </x:c>
      <x:c r="E53" s="102" t="n">
        <x:v>3.16065</x:v>
      </x:c>
      <x:c r="F53" s="102" t="n">
        <x:v>0.81447</x:v>
      </x:c>
      <x:c r="G53" s="102" t="n">
        <x:v>7.373568</x:v>
      </x:c>
      <x:c r="H53" s="99" t="n">
        <x:v>0.43628736</x:v>
      </x:c>
      <x:c r="I53" s="99" t="n">
        <x:v>0.68248175</x:v>
      </x:c>
      <x:c r="J53" s="99" t="n">
        <x:v>0.24976959</x:v>
      </x:c>
      <x:c r="K53" s="99" t="n">
        <x:v>0.43271216</x:v>
      </x:c>
      <x:c r="L53" s="99" t="n">
        <x:v>0.7236534</x:v>
      </x:c>
      <x:c r="M53" s="99" t="n">
        <x:v>0.7844827600000001</x:v>
      </x:c>
      <x:c r="N53" s="99" t="n">
        <x:v>0.54967742</x:v>
      </x:c>
      <x:c r="O53" s="99" t="n">
        <x:v>0.19333333</x:v>
      </x:c>
      <x:c r="P53" s="99" t="n">
        <x:v>0.03921569</x:v>
      </x:c>
      <x:c r="Q53" s="102" t="n">
        <x:v>-0.114762</x:v>
      </x:c>
      <x:c r="R53" s="102" t="n">
        <x:v>-1.720637</x:v>
      </x:c>
      <x:c r="S53" s="102" t="n">
        <x:v>-2.154055</x:v>
      </x:c>
      <x:c r="T53" s="102" t="n">
        <x:v>0.978894</x:v>
      </x:c>
      <x:c r="U53" s="102" t="n">
        <x:v>-2.176906</x:v>
      </x:c>
      <x:c r="V53" s="102" t="n">
        <x:v>1.321679</x:v>
      </x:c>
      <x:c r="W53" s="102" t="n">
        <x:v>2</x:v>
      </x:c>
      <x:c r="X53" s="102" t="n">
        <x:v>1.498847</x:v>
      </x:c>
      <x:c r="Y53" s="108" t="b">
        <x:v>0</x:v>
      </x:c>
    </x:row>
    <x:row r="54">
      <x:c r="A54" s="54" t="str">
        <x:v>박건우</x:v>
      </x:c>
      <x:c r="B54" s="54" t="str">
        <x:v>NC</x:v>
      </x:c>
      <x:c r="C54" s="54" t="n">
        <x:v>1591</x:v>
      </x:c>
      <x:c r="D54" s="102" t="n">
        <x:v>3.366831</x:v>
      </x:c>
      <x:c r="E54" s="102" t="n">
        <x:v>6.606401</x:v>
      </x:c>
      <x:c r="F54" s="102" t="n">
        <x:v>0.9968600000000001</x:v>
      </x:c>
      <x:c r="G54" s="102" t="n">
        <x:v>7.495069</x:v>
      </x:c>
      <x:c r="H54" s="99" t="n">
        <x:v>0.47265871</x:v>
      </x:c>
      <x:c r="I54" s="99" t="n">
        <x:v>0.73545706</x:v>
      </x:c>
      <x:c r="J54" s="99" t="n">
        <x:v>0.25431529999999997</x:v>
      </x:c>
      <x:c r="K54" s="99" t="n">
        <x:v>0.48114176000000003</x:v>
      </x:c>
      <x:c r="L54" s="99" t="n">
        <x:v>0.82044888</x:v>
      </x:c>
      <x:c r="M54" s="99" t="n">
        <x:v>0.84482759</x:v>
      </x:c>
      <x:c r="N54" s="99" t="n">
        <x:v>0.5411954800000001</x:v>
      </x:c>
      <x:c r="O54" s="99" t="n">
        <x:v>0.21164021000000002</x:v>
      </x:c>
      <x:c r="P54" s="99" t="n">
        <x:v>0.04145078</x:v>
      </x:c>
      <x:c r="Q54" s="102" t="n">
        <x:v>0.951636</x:v>
      </x:c>
      <x:c r="R54" s="102" t="n">
        <x:v>1.161169</x:v>
      </x:c>
      <x:c r="S54" s="102" t="n">
        <x:v>2.136171</x:v>
      </x:c>
      <x:c r="T54" s="102" t="n">
        <x:v>1.885805</x:v>
      </x:c>
      <x:c r="U54" s="102" t="n">
        <x:v>0.601703</x:v>
      </x:c>
      <x:c r="V54" s="102" t="n">
        <x:v>-0.792131</x:v>
      </x:c>
      <x:c r="W54" s="102" t="n">
        <x:v>1</x:v>
      </x:c>
      <x:c r="X54" s="102" t="n">
        <x:v>1.125638</x:v>
      </x:c>
      <x:c r="Y54" s="108" t="b">
        <x:v>0</x:v>
      </x:c>
    </x:row>
    <x:row r="55">
      <x:c r="A55" s="54" t="str">
        <x:v>박동원</x:v>
      </x:c>
      <x:c r="B55" s="54" t="str">
        <x:v>LG</x:v>
      </x:c>
      <x:c r="C55" s="54" t="n">
        <x:v>1380</x:v>
      </x:c>
      <x:c r="D55" s="102" t="n">
        <x:v>2.83555</x:v>
      </x:c>
      <x:c r="E55" s="102" t="n">
        <x:v>5.119768</x:v>
      </x:c>
      <x:c r="F55" s="102" t="n">
        <x:v>0.9717</x:v>
      </x:c>
      <x:c r="G55" s="102" t="n">
        <x:v>7.242552</x:v>
      </x:c>
      <x:c r="H55" s="99" t="n">
        <x:v>0.46521738999999995</x:v>
      </x:c>
      <x:c r="I55" s="99" t="n">
        <x:v>0.72318339</x:v>
      </x:c>
      <x:c r="J55" s="99" t="n">
        <x:v>0.27930174999999996</x:v>
      </x:c>
      <x:c r="K55" s="99" t="n">
        <x:v>0.44388164</x:v>
      </x:c>
      <x:c r="L55" s="99" t="n">
        <x:v>0.75510204</x:v>
      </x:c>
      <x:c r="M55" s="99" t="n">
        <x:v>0.7717391299999999</x:v>
      </x:c>
      <x:c r="N55" s="99" t="n">
        <x:v>0.58703704</x:v>
      </x:c>
      <x:c r="O55" s="99" t="n">
        <x:v>0.26888217999999997</x:v>
      </x:c>
      <x:c r="P55" s="99" t="n">
        <x:v>0.06511628</x:v>
      </x:c>
      <x:c r="Q55" s="102" t="n">
        <x:v>1.549747</x:v>
      </x:c>
      <x:c r="R55" s="102" t="n">
        <x:v>2.612609</x:v>
      </x:c>
      <x:c r="S55" s="102" t="n">
        <x:v>-2.073347</x:v>
      </x:c>
      <x:c r="T55" s="102" t="n">
        <x:v>-3.210804</x:v>
      </x:c>
      <x:c r="U55" s="102" t="n">
        <x:v>1.865882</x:v>
      </x:c>
      <x:c r="V55" s="102" t="n">
        <x:v>4.338061</x:v>
      </x:c>
      <x:c r="W55" s="102" t="n">
        <x:v>1</x:v>
      </x:c>
      <x:c r="X55" s="102" t="n">
        <x:v>1.469125</x:v>
      </x:c>
      <x:c r="Y55" s="108" t="b">
        <x:v>0</x:v>
      </x:c>
    </x:row>
    <x:row r="56">
      <x:c r="A56" s="54" t="str">
        <x:v>박민</x:v>
      </x:c>
      <x:c r="B56" s="54" t="str">
        <x:v>KIA</x:v>
      </x:c>
      <x:c r="C56" s="54" t="n">
        <x:v>701</x:v>
      </x:c>
      <x:c r="D56" s="102" t="n">
        <x:v>-1.527222</x:v>
      </x:c>
      <x:c r="E56" s="102" t="n">
        <x:v>-1.746902</x:v>
      </x:c>
      <x:c r="F56" s="102" t="n">
        <x:v>0.26100999999999996</x:v>
      </x:c>
      <x:c r="G56" s="102" t="n">
        <x:v>5.822911</x:v>
      </x:c>
      <x:c r="H56" s="99" t="n">
        <x:v>0.44793152999999997</x:v>
      </x:c>
      <x:c r="I56" s="99" t="n">
        <x:v>0.62928349</x:v>
      </x:c>
      <x:c r="J56" s="99" t="n">
        <x:v>0.29473684</x:v>
      </x:c>
      <x:c r="K56" s="99" t="n">
        <x:v>0.33454665</x:v>
      </x:c>
      <x:c r="L56" s="99" t="n">
        <x:v>0.6486486499999999</x:v>
      </x:c>
      <x:c r="M56" s="99" t="n">
        <x:v>0.7843137299999999</x:v>
      </x:c>
      <x:c r="N56" s="99" t="n">
        <x:v>0.51672862</x:v>
      </x:c>
      <x:c r="O56" s="99" t="n">
        <x:v>0.30188679</x:v>
      </x:c>
      <x:c r="P56" s="99" t="n">
        <x:v>0.07954545</x:v>
      </x:c>
      <x:c r="Q56" s="102" t="n">
        <x:v>0.591531</x:v>
      </x:c>
      <x:c r="R56" s="102" t="n">
        <x:v>-0.68086</x:v>
      </x:c>
      <x:c r="S56" s="102" t="n">
        <x:v>-1.978882</x:v>
      </x:c>
      <x:c r="T56" s="102" t="n">
        <x:v>8.264847</x:v>
      </x:c>
      <x:c r="U56" s="102" t="n">
        <x:v>-1.782988</x:v>
      </x:c>
      <x:c r="V56" s="102" t="n">
        <x:v>-0.170669</x:v>
      </x:c>
      <x:c r="W56" s="102" t="n">
        <x:v>1</x:v>
      </x:c>
      <x:c r="X56" s="102" t="n">
        <x:v>1.96031</x:v>
      </x:c>
      <x:c r="Y56" s="108" t="b">
        <x:v>0</x:v>
      </x:c>
    </x:row>
    <x:row r="57">
      <x:c r="A57" s="54" t="str">
        <x:v>박민우</x:v>
      </x:c>
      <x:c r="B57" s="54" t="str">
        <x:v>NC</x:v>
      </x:c>
      <x:c r="C57" s="54" t="n">
        <x:v>1717</x:v>
      </x:c>
      <x:c r="D57" s="102" t="n">
        <x:v>-2.394945</x:v>
      </x:c>
      <x:c r="E57" s="102" t="n">
        <x:v>2.377299</x:v>
      </x:c>
      <x:c r="F57" s="102" t="n">
        <x:v>0.73899</x:v>
      </x:c>
      <x:c r="G57" s="102" t="n">
        <x:v>6.779077</x:v>
      </x:c>
      <x:c r="H57" s="99" t="n">
        <x:v>0.41351194</x:v>
      </x:c>
      <x:c r="I57" s="99" t="n">
        <x:v>0.62929936</x:v>
      </x:c>
      <x:c r="J57" s="99" t="n">
        <x:v>0.23175965999999998</x:v>
      </x:c>
      <x:c r="K57" s="99" t="n">
        <x:v>0.39753970000000005</x:v>
      </x:c>
      <x:c r="L57" s="99" t="n">
        <x:v>0.6891566299999999</x:v>
      </x:c>
      <x:c r="M57" s="99" t="n">
        <x:v>0.7768595</x:v>
      </x:c>
      <x:c r="N57" s="99" t="n">
        <x:v>0.48933144</x:v>
      </x:c>
      <x:c r="O57" s="99" t="n">
        <x:v>0.20810811</x:v>
      </x:c>
      <x:c r="P57" s="99" t="n">
        <x:v>0.01310044</x:v>
      </x:c>
      <x:c r="Q57" s="102" t="n">
        <x:v>-4.471102</x:v>
      </x:c>
      <x:c r="R57" s="102" t="n">
        <x:v>-4.073433</x:v>
      </x:c>
      <x:c r="S57" s="102" t="n">
        <x:v>-4.378534</x:v>
      </x:c>
      <x:c r="T57" s="102" t="n">
        <x:v>1.382261</x:v>
      </x:c>
      <x:c r="U57" s="102" t="n">
        <x:v>-5.369303</x:v>
      </x:c>
      <x:c r="V57" s="102" t="n">
        <x:v>-4.425196</x:v>
      </x:c>
      <x:c r="W57" s="102" t="n">
        <x:v>2</x:v>
      </x:c>
      <x:c r="X57" s="102" t="n">
        <x:v>1.111849</x:v>
      </x:c>
      <x:c r="Y57" s="108" t="b">
        <x:v>0</x:v>
      </x:c>
    </x:row>
    <x:row r="58">
      <x:c r="A58" s="54" t="str">
        <x:v>박상준</x:v>
      </x:c>
      <x:c r="B58" s="54" t="str">
        <x:v>KIA</x:v>
      </x:c>
      <x:c r="C58" s="54" t="n">
        <x:v>552</x:v>
      </x:c>
      <x:c r="D58" s="102" t="n">
        <x:v>3.055057</x:v>
      </x:c>
      <x:c r="E58" s="102" t="n">
        <x:v>3.67461</x:v>
      </x:c>
      <x:c r="F58" s="102" t="n">
        <x:v>0.87107</x:v>
      </x:c>
      <x:c r="G58" s="102" t="n">
        <x:v>7.13425</x:v>
      </x:c>
      <x:c r="H58" s="99" t="n">
        <x:v>0.46557971000000004</x:v>
      </x:c>
      <x:c r="I58" s="99" t="n">
        <x:v>0.73417722</x:v>
      </x:c>
      <x:c r="J58" s="99" t="n">
        <x:v>0.26349206</x:v>
      </x:c>
      <x:c r="K58" s="99" t="n">
        <x:v>0.47068516000000005</x:v>
      </x:c>
      <x:c r="L58" s="99" t="n">
        <x:v>0.76515152</x:v>
      </x:c>
      <x:c r="M58" s="99" t="n">
        <x:v>0.6875</x:v>
      </x:c>
      <x:c r="N58" s="99" t="n">
        <x:v>0.58767773</x:v>
      </x:c>
      <x:c r="O58" s="99" t="n">
        <x:v>0.18705036</x:v>
      </x:c>
      <x:c r="P58" s="99" t="n">
        <x:v>0.08571429</x:v>
      </x:c>
      <x:c r="Q58" s="102" t="n">
        <x:v>4.42368</x:v>
      </x:c>
      <x:c r="R58" s="102" t="n">
        <x:v>0.01365</x:v>
      </x:c>
      <x:c r="S58" s="102" t="n">
        <x:v>1.191898</x:v>
      </x:c>
      <x:c r="T58" s="102" t="n">
        <x:v>-9.484199</x:v>
      </x:c>
      <x:c r="U58" s="102" t="n">
        <x:v>2.854067</x:v>
      </x:c>
      <x:c r="V58" s="102" t="n">
        <x:v>4.932933</x:v>
      </x:c>
      <x:c r="W58" s="102" t="n">
        <x:v>1</x:v>
      </x:c>
      <x:c r="X58" s="102" t="n">
        <x:v>2.000749</x:v>
      </x:c>
      <x:c r="Y58" s="108" t="b">
        <x:v>0</x:v>
      </x:c>
    </x:row>
    <x:row r="59">
      <x:c r="A59" s="54" t="str">
        <x:v>박성한</x:v>
      </x:c>
      <x:c r="B59" s="54" t="str">
        <x:v>SSG</x:v>
      </x:c>
      <x:c r="C59" s="54" t="n">
        <x:v>2232</x:v>
      </x:c>
      <x:c r="D59" s="102" t="n">
        <x:v>-8.602484</x:v>
      </x:c>
      <x:c r="E59" s="102" t="n">
        <x:v>-2.409285</x:v>
      </x:c>
      <x:c r="F59" s="102" t="n">
        <x:v>0.17925000000000002</x:v>
      </x:c>
      <x:c r="G59" s="102" t="n">
        <x:v>6.615577</x:v>
      </x:c>
      <x:c r="H59" s="99" t="n">
        <x:v>0.35663082</x:v>
      </x:c>
      <x:c r="I59" s="99" t="n">
        <x:v>0.53287537</x:v>
      </x:c>
      <x:c r="J59" s="99" t="n">
        <x:v>0.20857378000000001</x:v>
      </x:c>
      <x:c r="K59" s="99" t="n">
        <x:v>0.32430159000000003</x:v>
      </x:c>
      <x:c r="L59" s="99" t="n">
        <x:v>0.55477032</x:v>
      </x:c>
      <x:c r="M59" s="99" t="n">
        <x:v>0.6071428600000001</x:v>
      </x:c>
      <x:c r="N59" s="99" t="n">
        <x:v>0.41555556000000005</x:v>
      </x:c>
      <x:c r="O59" s="99" t="n">
        <x:v>0.17125984</x:v>
      </x:c>
      <x:c r="P59" s="99" t="n">
        <x:v>0.08139535</x:v>
      </x:c>
      <x:c r="Q59" s="102" t="n">
        <x:v>-8.235923</x:v>
      </x:c>
      <x:c r="R59" s="102" t="n">
        <x:v>-9.763757</x:v>
      </x:c>
      <x:c r="S59" s="102" t="n">
        <x:v>-10.330716</x:v>
      </x:c>
      <x:c r="T59" s="102" t="n">
        <x:v>-8.466558</x:v>
      </x:c>
      <x:c r="U59" s="102" t="n">
        <x:v>-2.08917</x:v>
      </x:c>
      <x:c r="V59" s="102" t="n">
        <x:v>-10.044683</x:v>
      </x:c>
      <x:c r="W59" s="102" t="n">
        <x:v>2</x:v>
      </x:c>
      <x:c r="X59" s="102" t="n">
        <x:v>1.947842</x:v>
      </x:c>
      <x:c r="Y59" s="108" t="b">
        <x:v>0</x:v>
      </x:c>
    </x:row>
    <x:row r="60">
      <x:c r="A60" s="54" t="str">
        <x:v>박승규</x:v>
      </x:c>
      <x:c r="B60" s="54" t="str">
        <x:v>SAM</x:v>
      </x:c>
      <x:c r="C60" s="54" t="n">
        <x:v>1203</x:v>
      </x:c>
      <x:c r="D60" s="102" t="n">
        <x:v>-0.439625</x:v>
      </x:c>
      <x:c r="E60" s="102" t="n">
        <x:v>3.335926</x:v>
      </x:c>
      <x:c r="F60" s="102" t="n">
        <x:v>0.83962</x:v>
      </x:c>
      <x:c r="G60" s="102" t="n">
        <x:v>8.18912</x:v>
      </x:c>
      <x:c r="H60" s="99" t="n">
        <x:v>0.43059019</x:v>
      </x:c>
      <x:c r="I60" s="99" t="n">
        <x:v>0.67504836</x:v>
      </x:c>
      <x:c r="J60" s="99" t="n">
        <x:v>0.24635569000000002</x:v>
      </x:c>
      <x:c r="K60" s="99" t="n">
        <x:v>0.42869267</x:v>
      </x:c>
      <x:c r="L60" s="99" t="n">
        <x:v>0.69594595</x:v>
      </x:c>
      <x:c r="M60" s="99" t="n">
        <x:v>0.68831169</x:v>
      </x:c>
      <x:c r="N60" s="99" t="n">
        <x:v>0.54</x:v>
      </x:c>
      <x:c r="O60" s="99" t="n">
        <x:v>0.20761246</x:v>
      </x:c>
      <x:c r="P60" s="99" t="n">
        <x:v>0.053571429999999996</x:v>
      </x:c>
      <x:c r="Q60" s="102" t="n">
        <x:v>-1.073327</x:v>
      </x:c>
      <x:c r="R60" s="102" t="n">
        <x:v>-1.93856</x:v>
      </x:c>
      <x:c r="S60" s="102" t="n">
        <x:v>-5.198941</x:v>
      </x:c>
      <x:c r="T60" s="102" t="n">
        <x:v>-8.899039</x:v>
      </x:c>
      <x:c r="U60" s="102" t="n">
        <x:v>-0.611361</x:v>
      </x:c>
      <x:c r="V60" s="102" t="n">
        <x:v>0.289558</x:v>
      </x:c>
      <x:c r="W60" s="102" t="n">
        <x:v>2</x:v>
      </x:c>
      <x:c r="X60" s="102" t="n">
        <x:v>1.350511</x:v>
      </x:c>
      <x:c r="Y60" s="108" t="b">
        <x:v>0</x:v>
      </x:c>
    </x:row>
    <x:row r="61">
      <x:c r="A61" s="54" t="str">
        <x:v>박승욱</x:v>
      </x:c>
      <x:c r="B61" s="54" t="str">
        <x:v>LOT</x:v>
      </x:c>
      <x:c r="C61" s="54" t="n">
        <x:v>540</x:v>
      </x:c>
      <x:c r="D61" s="102" t="n">
        <x:v>1.184613</x:v>
      </x:c>
      <x:c r="E61" s="102" t="n">
        <x:v>1.522329</x:v>
      </x:c>
      <x:c r="F61" s="102" t="n">
        <x:v>0.69497</x:v>
      </x:c>
      <x:c r="G61" s="102" t="n">
        <x:v>5.676178</x:v>
      </x:c>
      <x:c r="H61" s="99" t="n">
        <x:v>0.48148148</x:v>
      </x:c>
      <x:c r="I61" s="99" t="n">
        <x:v>0.67578125</x:v>
      </x:c>
      <x:c r="J61" s="99" t="n">
        <x:v>0.30633803</x:v>
      </x:c>
      <x:c r="K61" s="99" t="n">
        <x:v>0.36944322</x:v>
      </x:c>
      <x:c r="L61" s="99" t="n">
        <x:v>0.7520661200000001</x:v>
      </x:c>
      <x:c r="M61" s="99" t="n">
        <x:v>0.69444444</x:v>
      </x:c>
      <x:c r="N61" s="99" t="n">
        <x:v>0.55060729</x:v>
      </x:c>
      <x:c r="O61" s="99" t="n">
        <x:v>0.27272727</x:v>
      </x:c>
      <x:c r="P61" s="99" t="n">
        <x:v>0.048387099999999995</x:v>
      </x:c>
      <x:c r="Q61" s="102" t="n">
        <x:v>1.226928</x:v>
      </x:c>
      <x:c r="R61" s="102" t="n">
        <x:v>2.782151</x:v>
      </x:c>
      <x:c r="S61" s="102" t="n">
        <x:v>3.24963</x:v>
      </x:c>
      <x:c r="T61" s="102" t="n">
        <x:v>-5.586977</x:v>
      </x:c>
      <x:c r="U61" s="102" t="n">
        <x:v>-2.474616</x:v>
      </x:c>
      <x:c r="V61" s="102" t="n">
        <x:v>2.016417</x:v>
      </x:c>
      <x:c r="W61" s="102" t="n">
        <x:v>1</x:v>
      </x:c>
      <x:c r="X61" s="102" t="n">
        <x:v>1.791512</x:v>
      </x:c>
      <x:c r="Y61" s="108" t="b">
        <x:v>0</x:v>
      </x:c>
    </x:row>
    <x:row r="62">
      <x:c r="A62" s="54" t="str">
        <x:v>박시원</x:v>
      </x:c>
      <x:c r="B62" s="54" t="str">
        <x:v>NC</x:v>
      </x:c>
      <x:c r="C62" s="54" t="n">
        <x:v>462</x:v>
      </x:c>
      <x:c r="D62" s="102" t="n">
        <x:v>3.165207</x:v>
      </x:c>
      <x:c r="E62" s="102" t="n">
        <x:v>1.052309</x:v>
      </x:c>
      <x:c r="F62" s="102" t="n">
        <x:v>0.60692</x:v>
      </x:c>
      <x:c r="G62" s="102" t="n">
        <x:v>6.350147</x:v>
      </x:c>
      <x:c r="H62" s="99" t="n">
        <x:v>0.47835498</x:v>
      </x:c>
      <x:c r="I62" s="99" t="n">
        <x:v>0.67464115</x:v>
      </x:c>
      <x:c r="J62" s="99" t="n">
        <x:v>0.31620553</x:v>
      </x:c>
      <x:c r="K62" s="99" t="n">
        <x:v>0.35843562</x:v>
      </x:c>
      <x:c r="L62" s="99" t="n">
        <x:v>0.7647058800000001</x:v>
      </x:c>
      <x:c r="M62" s="99" t="n">
        <x:v>0.83870968</x:v>
      </x:c>
      <x:c r="N62" s="99" t="n">
        <x:v>0.54901961</x:v>
      </x:c>
      <x:c r="O62" s="99" t="n">
        <x:v>0.26373626</x:v>
      </x:c>
      <x:c r="P62" s="99" t="n">
        <x:v>0.10769231</x:v>
      </x:c>
      <x:c r="Q62" s="102" t="n">
        <x:v>1.690068</x:v>
      </x:c>
      <x:c r="R62" s="102" t="n">
        <x:v>3.437812</x:v>
      </x:c>
      <x:c r="S62" s="102" t="n">
        <x:v>5.24874</x:v>
      </x:c>
      <x:c r="T62" s="102" t="n">
        <x:v>9.538977</x:v>
      </x:c>
      <x:c r="U62" s="102" t="n">
        <x:v>3.107375</x:v>
      </x:c>
      <x:c r="V62" s="102" t="n">
        <x:v>2.030286</x:v>
      </x:c>
      <x:c r="W62" s="102" t="n">
        <x:v>1</x:v>
      </x:c>
      <x:c r="X62" s="102" t="n">
        <x:v>1.094748</x:v>
      </x:c>
      <x:c r="Y62" s="108" t="b">
        <x:v>0</x:v>
      </x:c>
    </x:row>
    <x:row r="63">
      <x:c r="A63" s="54" t="str">
        <x:v>박재현</x:v>
      </x:c>
      <x:c r="B63" s="54" t="str">
        <x:v>KIA</x:v>
      </x:c>
      <x:c r="C63" s="54" t="n">
        <x:v>1612</x:v>
      </x:c>
      <x:c r="D63" s="102" t="n">
        <x:v>10.263729</x:v>
      </x:c>
      <x:c r="E63" s="102" t="n">
        <x:v>-1.833796</x:v>
      </x:c>
      <x:c r="F63" s="102" t="n">
        <x:v>0.25472</x:v>
      </x:c>
      <x:c r="G63" s="102" t="n">
        <x:v>4.353627</x:v>
      </x:c>
      <x:c r="H63" s="99" t="n">
        <x:v>0.52915633</x:v>
      </x:c>
      <x:c r="I63" s="99" t="n">
        <x:v>0.70621469</x:v>
      </x:c>
      <x:c r="J63" s="99" t="n">
        <x:v>0.39048673</x:v>
      </x:c>
      <x:c r="K63" s="99" t="n">
        <x:v>0.31572796000000003</x:v>
      </x:c>
      <x:c r="L63" s="99" t="n">
        <x:v>0.73560209</x:v>
      </x:c>
      <x:c r="M63" s="99" t="n">
        <x:v>0.8058252400000001</x:v>
      </x:c>
      <x:c r="N63" s="99" t="n">
        <x:v>0.60769231</x:v>
      </x:c>
      <x:c r="O63" s="99" t="n">
        <x:v>0.43055556</x:v>
      </x:c>
      <x:c r="P63" s="99" t="n">
        <x:v>0.1</x:v>
      </x:c>
      <x:c r="Q63" s="102" t="n">
        <x:v>8.391351</x:v>
      </x:c>
      <x:c r="R63" s="102" t="n">
        <x:v>8.83292</x:v>
      </x:c>
      <x:c r="S63" s="102" t="n">
        <x:v>6.852369</x:v>
      </x:c>
      <x:c r="T63" s="102" t="n">
        <x:v>10.545304</x:v>
      </x:c>
      <x:c r="U63" s="102" t="n">
        <x:v>0.198033</x:v>
      </x:c>
      <x:c r="V63" s="102" t="n">
        <x:v>8.957616</x:v>
      </x:c>
      <x:c r="W63" s="102" t="n">
        <x:v>1</x:v>
      </x:c>
      <x:c r="X63" s="102" t="n">
        <x:v>1.894005</x:v>
      </x:c>
      <x:c r="Y63" s="108" t="b">
        <x:v>0</x:v>
      </x:c>
    </x:row>
    <x:row r="64">
      <x:c r="A64" s="54" t="str">
        <x:v>박정우</x:v>
      </x:c>
      <x:c r="B64" s="54" t="str">
        <x:v>KIA</x:v>
      </x:c>
      <x:c r="C64" s="54" t="n">
        <x:v>322</x:v>
      </x:c>
      <x:c r="D64" s="102" t="n">
        <x:v>-3.037283</x:v>
      </x:c>
      <x:c r="E64" s="102" t="n">
        <x:v>0.912819</x:v>
      </x:c>
      <x:c r="F64" s="102" t="n">
        <x:v>0.56918</x:v>
      </x:c>
      <x:c r="G64" s="102" t="n">
        <x:v>7.028081</x:v>
      </x:c>
      <x:c r="H64" s="99" t="n">
        <x:v>0.3757764</x:v>
      </x:c>
      <x:c r="I64" s="99" t="n">
        <x:v>0.6328125</x:v>
      </x:c>
      <x:c r="J64" s="99" t="n">
        <x:v>0.20618556999999998</x:v>
      </x:c>
      <x:c r="K64" s="99" t="n">
        <x:v>0.42662692999999996</x:v>
      </x:c>
      <x:c r="L64" s="99" t="n">
        <x:v>0.671875</x:v>
      </x:c>
      <x:c r="M64" s="99" t="n">
        <x:v>0.7142857100000001</x:v>
      </x:c>
      <x:c r="N64" s="99" t="n">
        <x:v>0.42424242</x:v>
      </x:c>
      <x:c r="O64" s="99" t="n">
        <x:v>0.23863636</x:v>
      </x:c>
      <x:c r="P64" s="99" t="n">
        <x:v>0.02631579</x:v>
      </x:c>
      <x:c r="Q64" s="102" t="n">
        <x:v>-2.321513</x:v>
      </x:c>
      <x:c r="R64" s="102" t="n">
        <x:v>-7.662442</x:v>
      </x:c>
      <x:c r="S64" s="102" t="n">
        <x:v>-3.816179</x:v>
      </x:c>
      <x:c r="T64" s="102" t="n">
        <x:v>-2.695847</x:v>
      </x:c>
      <x:c r="U64" s="102" t="n">
        <x:v>-5.133712</x:v>
      </x:c>
      <x:c r="V64" s="102" t="n">
        <x:v>-10.396198</x:v>
      </x:c>
      <x:c r="W64" s="102" t="n">
        <x:v>2</x:v>
      </x:c>
      <x:c r="X64" s="102" t="n">
        <x:v>1.321989</x:v>
      </x:c>
      <x:c r="Y64" s="108" t="b">
        <x:v>0</x:v>
      </x:c>
    </x:row>
    <x:row r="65">
      <x:c r="A65" s="54" t="str">
        <x:v>박주홍</x:v>
      </x:c>
      <x:c r="B65" s="54" t="str">
        <x:v>KIW</x:v>
      </x:c>
      <x:c r="C65" s="54" t="n">
        <x:v>736</x:v>
      </x:c>
      <x:c r="D65" s="102" t="n">
        <x:v>-5.73506</x:v>
      </x:c>
      <x:c r="E65" s="102" t="n">
        <x:v>-1.474386</x:v>
      </x:c>
      <x:c r="F65" s="102" t="n">
        <x:v>0.29874</x:v>
      </x:c>
      <x:c r="G65" s="102" t="n">
        <x:v>5.83365</x:v>
      </x:c>
      <x:c r="H65" s="99" t="n">
        <x:v>0.39402174</x:v>
      </x:c>
      <x:c r="I65" s="99" t="n">
        <x:v>0.56432749</x:v>
      </x:c>
      <x:c r="J65" s="99" t="n">
        <x:v>0.24619289</x:v>
      </x:c>
      <x:c r="K65" s="99" t="n">
        <x:v>0.3181346</x:v>
      </x:c>
      <x:c r="L65" s="99" t="n">
        <x:v>0.63934426</x:v>
      </x:c>
      <x:c r="M65" s="99" t="n">
        <x:v>0.671875</x:v>
      </x:c>
      <x:c r="N65" s="99" t="n">
        <x:v>0.44557822999999996</x:v>
      </x:c>
      <x:c r="O65" s="99" t="n">
        <x:v>0.19209040000000002</x:v>
      </x:c>
      <x:c r="P65" s="99" t="n">
        <x:v>0.09756097999999999</x:v>
      </x:c>
      <x:c r="Q65" s="102" t="n">
        <x:v>-6.238699</x:v>
      </x:c>
      <x:c r="R65" s="102" t="n">
        <x:v>-5.343291</x:v>
      </x:c>
      <x:c r="S65" s="102" t="n">
        <x:v>-3.335549</x:v>
      </x:c>
      <x:c r="T65" s="102" t="n">
        <x:v>-3.384553</x:v>
      </x:c>
      <x:c r="U65" s="102" t="n">
        <x:v>0.220642</x:v>
      </x:c>
      <x:c r="V65" s="102" t="n">
        <x:v>-7.385802</x:v>
      </x:c>
      <x:c r="W65" s="102" t="n">
        <x:v>2</x:v>
      </x:c>
      <x:c r="X65" s="102" t="n">
        <x:v>0.827307</x:v>
      </x:c>
      <x:c r="Y65" s="108" t="b">
        <x:v>0</x:v>
      </x:c>
    </x:row>
    <x:row r="66">
      <x:c r="A66" s="54" t="str">
        <x:v>박준순</x:v>
      </x:c>
      <x:c r="B66" s="54" t="str">
        <x:v>DOO</x:v>
      </x:c>
      <x:c r="C66" s="54" t="n">
        <x:v>1301</x:v>
      </x:c>
      <x:c r="D66" s="102" t="n">
        <x:v>11.475193</x:v>
      </x:c>
      <x:c r="E66" s="102" t="n">
        <x:v>-1.867856</x:v>
      </x:c>
      <x:c r="F66" s="102" t="n">
        <x:v>0.24214</x:v>
      </x:c>
      <x:c r="G66" s="102" t="n">
        <x:v>4.863814</x:v>
      </x:c>
      <x:c r="H66" s="99" t="n">
        <x:v>0.55111453</x:v>
      </x:c>
      <x:c r="I66" s="99" t="n">
        <x:v>0.74199288</x:v>
      </x:c>
      <x:c r="J66" s="99" t="n">
        <x:v>0.40595399</x:v>
      </x:c>
      <x:c r="K66" s="99" t="n">
        <x:v>0.33603889000000003</x:v>
      </x:c>
      <x:c r="L66" s="99" t="n">
        <x:v>0.78</x:v>
      </x:c>
      <x:c r="M66" s="99" t="n">
        <x:v>0.77777778</x:v>
      </x:c>
      <x:c r="N66" s="99" t="n">
        <x:v>0.64826176</x:v>
      </x:c>
      <x:c r="O66" s="99" t="n">
        <x:v>0.45741325000000005</x:v>
      </x:c>
      <x:c r="P66" s="99" t="n">
        <x:v>0.10769231</x:v>
      </x:c>
      <x:c r="Q66" s="102" t="n">
        <x:v>12.010993</x:v>
      </x:c>
      <x:c r="R66" s="102" t="n">
        <x:v>10.355654</x:v>
      </x:c>
      <x:c r="S66" s="102" t="n">
        <x:v>11.345431</x:v>
      </x:c>
      <x:c r="T66" s="102" t="n">
        <x:v>7.791242</x:v>
      </x:c>
      <x:c r="U66" s="102" t="n">
        <x:v>0.942008</x:v>
      </x:c>
      <x:c r="V66" s="102" t="n">
        <x:v>13.027071</x:v>
      </x:c>
      <x:c r="W66" s="102" t="n">
        <x:v>1</x:v>
      </x:c>
      <x:c r="X66" s="102" t="n">
        <x:v>2.801019</x:v>
      </x:c>
      <x:c r="Y66" s="108" t="b">
        <x:v>0</x:v>
      </x:c>
    </x:row>
    <x:row r="67">
      <x:c r="A67" s="54" t="str">
        <x:v>박지훈</x:v>
      </x:c>
      <x:c r="B67" s="54" t="str">
        <x:v>DOO</x:v>
      </x:c>
      <x:c r="C67" s="54" t="n">
        <x:v>1129</x:v>
      </x:c>
      <x:c r="D67" s="102" t="n">
        <x:v>-3.717698</x:v>
      </x:c>
      <x:c r="E67" s="102" t="n">
        <x:v>0.460243</x:v>
      </x:c>
      <x:c r="F67" s="102" t="n">
        <x:v>0.5</x:v>
      </x:c>
      <x:c r="G67" s="102" t="n">
        <x:v>6.927353</x:v>
      </x:c>
      <x:c r="H67" s="99" t="n">
        <x:v>0.44464128</x:v>
      </x:c>
      <x:c r="I67" s="99" t="n">
        <x:v>0.65028355</x:v>
      </x:c>
      <x:c r="J67" s="99" t="n">
        <x:v>0.26333333</x:v>
      </x:c>
      <x:c r="K67" s="99" t="n">
        <x:v>0.38695022</x:v>
      </x:c>
      <x:c r="L67" s="99" t="n">
        <x:v>0.66909091</x:v>
      </x:c>
      <x:c r="M67" s="99" t="n">
        <x:v>0.76712329</x:v>
      </x:c>
      <x:c r="N67" s="99" t="n">
        <x:v>0.54545455</x:v>
      </x:c>
      <x:c r="O67" s="99" t="n">
        <x:v>0.20816327</x:v>
      </x:c>
      <x:c r="P67" s="99" t="n">
        <x:v>0.06617647</x:v>
      </x:c>
      <x:c r="Q67" s="102" t="n">
        <x:v>-0.018677</x:v>
      </x:c>
      <x:c r="R67" s="102" t="n">
        <x:v>-2.266467</x:v>
      </x:c>
      <x:c r="S67" s="102" t="n">
        <x:v>-3.386737</x:v>
      </x:c>
      <x:c r="T67" s="102" t="n">
        <x:v>3.261383</x:v>
      </x:c>
      <x:c r="U67" s="102" t="n">
        <x:v>-1.483239</x:v>
      </x:c>
      <x:c r="V67" s="102" t="n">
        <x:v>1.891245</x:v>
      </x:c>
      <x:c r="W67" s="102" t="n">
        <x:v>2</x:v>
      </x:c>
      <x:c r="X67" s="102" t="n">
        <x:v>1.674753</x:v>
      </x:c>
      <x:c r="Y67" s="108" t="b">
        <x:v>0</x:v>
      </x:c>
    </x:row>
    <x:row r="68">
      <x:c r="A68" s="54" t="str">
        <x:v>박찬혁</x:v>
      </x:c>
      <x:c r="B68" s="54" t="str">
        <x:v>KIW</x:v>
      </x:c>
      <x:c r="C68" s="54" t="n">
        <x:v>1054</x:v>
      </x:c>
      <x:c r="D68" s="102" t="n">
        <x:v>-0.134081</x:v>
      </x:c>
      <x:c r="E68" s="102" t="n">
        <x:v>0.931555</x:v>
      </x:c>
      <x:c r="F68" s="102" t="n">
        <x:v>0.58176</x:v>
      </x:c>
      <x:c r="G68" s="102" t="n">
        <x:v>6.062001</x:v>
      </x:c>
      <x:c r="H68" s="99" t="n">
        <x:v>0.45351044</x:v>
      </x:c>
      <x:c r="I68" s="99" t="n">
        <x:v>0.6474359</x:v>
      </x:c>
      <x:c r="J68" s="99" t="n">
        <x:v>0.29863481000000003</x:v>
      </x:c>
      <x:c r="K68" s="99" t="n">
        <x:v>0.34880109</x:v>
      </x:c>
      <x:c r="L68" s="99" t="n">
        <x:v>0.7306122399999999</x:v>
      </x:c>
      <x:c r="M68" s="99" t="n">
        <x:v>0.84210526</x:v>
      </x:c>
      <x:c r="N68" s="99" t="n">
        <x:v>0.48291572000000005</x:v>
      </x:c>
      <x:c r="O68" s="99" t="n">
        <x:v>0.29795918</x:v>
      </x:c>
      <x:c r="P68" s="99" t="n">
        <x:v>0.11199999999999999</x:v>
      </x:c>
      <x:c r="Q68" s="102" t="n">
        <x:v>-0.882179</x:v>
      </x:c>
      <x:c r="R68" s="102" t="n">
        <x:v>1.59568</x:v>
      </x:c>
      <x:c r="S68" s="102" t="n">
        <x:v>2.028241</x:v>
      </x:c>
      <x:c r="T68" s="102" t="n">
        <x:v>10.058227</x:v>
      </x:c>
      <x:c r="U68" s="102" t="n">
        <x:v>3.448602</x:v>
      </x:c>
      <x:c r="V68" s="102" t="n">
        <x:v>-4.53575</x:v>
      </x:c>
      <x:c r="W68" s="102" t="n">
        <x:v>1</x:v>
      </x:c>
      <x:c r="X68" s="102" t="n">
        <x:v>1.910262</x:v>
      </x:c>
      <x:c r="Y68" s="108" t="b">
        <x:v>0</x:v>
      </x:c>
    </x:row>
    <x:row r="69">
      <x:c r="A69" s="54" t="str">
        <x:v>박찬호</x:v>
      </x:c>
      <x:c r="B69" s="54" t="str">
        <x:v>DOO</x:v>
      </x:c>
      <x:c r="C69" s="54" t="n">
        <x:v>1988</x:v>
      </x:c>
      <x:c r="D69" s="102" t="n">
        <x:v>-3.235687</x:v>
      </x:c>
      <x:c r="E69" s="102" t="n">
        <x:v>-0.869831</x:v>
      </x:c>
      <x:c r="F69" s="102" t="n">
        <x:v>0.34277</x:v>
      </x:c>
      <x:c r="G69" s="102" t="n">
        <x:v>6.395185</x:v>
      </x:c>
      <x:c r="H69" s="99" t="n">
        <x:v>0.4250503</x:v>
      </x:c>
      <x:c r="I69" s="99" t="n">
        <x:v>0.60043431</x:v>
      </x:c>
      <x:c r="J69" s="99" t="n">
        <x:v>0.27366448</x:v>
      </x:c>
      <x:c r="K69" s="99" t="n">
        <x:v>0.32676983</x:v>
      </x:c>
      <x:c r="L69" s="99" t="n">
        <x:v>0.66871166</x:v>
      </x:c>
      <x:c r="M69" s="99" t="n">
        <x:v>0.7207207200000001</x:v>
      </x:c>
      <x:c r="N69" s="99" t="n">
        <x:v>0.49066002</x:v>
      </x:c>
      <x:c r="O69" s="99" t="n">
        <x:v>0.23617021000000002</x:v>
      </x:c>
      <x:c r="P69" s="99" t="n">
        <x:v>0.05752212</x:v>
      </x:c>
      <x:c r="Q69" s="102" t="n">
        <x:v>-3.370367</x:v>
      </x:c>
      <x:c r="R69" s="102" t="n">
        <x:v>-2.170275</x:v>
      </x:c>
      <x:c r="S69" s="102" t="n">
        <x:v>-1.344362</x:v>
      </x:c>
      <x:c r="T69" s="102" t="n">
        <x:v>0.600389</x:v>
      </x:c>
      <x:c r="U69" s="102" t="n">
        <x:v>-3.334953</x:v>
      </x:c>
      <x:c r="V69" s="102" t="n">
        <x:v>-3.099675</x:v>
      </x:c>
      <x:c r="W69" s="102" t="n">
        <x:v>2</x:v>
      </x:c>
      <x:c r="X69" s="102" t="n">
        <x:v>1.002235</x:v>
      </x:c>
      <x:c r="Y69" s="108" t="b">
        <x:v>0</x:v>
      </x:c>
    </x:row>
    <x:row r="70">
      <x:c r="A70" s="54" t="str">
        <x:v>박해민</x:v>
      </x:c>
      <x:c r="B70" s="54" t="str">
        <x:v>LG</x:v>
      </x:c>
      <x:c r="C70" s="54" t="n">
        <x:v>1880</x:v>
      </x:c>
      <x:c r="D70" s="102" t="n">
        <x:v>-3.814309</x:v>
      </x:c>
      <x:c r="E70" s="102" t="n">
        <x:v>-2.728257</x:v>
      </x:c>
      <x:c r="F70" s="102" t="n">
        <x:v>0.11635</x:v>
      </x:c>
      <x:c r="G70" s="102" t="n">
        <x:v>6.842444</x:v>
      </x:c>
      <x:c r="H70" s="99" t="n">
        <x:v>0.4106383</x:v>
      </x:c>
      <x:c r="I70" s="99" t="n">
        <x:v>0.58369565</x:v>
      </x:c>
      <x:c r="J70" s="99" t="n">
        <x:v>0.24479167000000002</x:v>
      </x:c>
      <x:c r="K70" s="99" t="n">
        <x:v>0.33890398</x:v>
      </x:c>
      <x:c r="L70" s="99" t="n">
        <x:v>0.6556700999999999</x:v>
      </x:c>
      <x:c r="M70" s="99" t="n">
        <x:v>0.71875</x:v>
      </x:c>
      <x:c r="N70" s="99" t="n">
        <x:v>0.45597898000000003</x:v>
      </x:c>
      <x:c r="O70" s="99" t="n">
        <x:v>0.20924573999999999</x:v>
      </x:c>
      <x:c r="P70" s="99" t="n">
        <x:v>0.0941704</x:v>
      </x:c>
      <x:c r="Q70" s="102" t="n">
        <x:v>-2.76222</x:v>
      </x:c>
      <x:c r="R70" s="102" t="n">
        <x:v>-6.366657</x:v>
      </x:c>
      <x:c r="S70" s="102" t="n">
        <x:v>0.25815</x:v>
      </x:c>
      <x:c r="T70" s="102" t="n">
        <x:v>3.168814</x:v>
      </x:c>
      <x:c r="U70" s="102" t="n">
        <x:v>-1.048189</x:v>
      </x:c>
      <x:c r="V70" s="102" t="n">
        <x:v>-5.885184</x:v>
      </x:c>
      <x:c r="W70" s="102" t="n">
        <x:v>2</x:v>
      </x:c>
      <x:c r="X70" s="102" t="n">
        <x:v>1.3958</x:v>
      </x:c>
      <x:c r="Y70" s="108" t="b">
        <x:v>0</x:v>
      </x:c>
    </x:row>
    <x:row r="71">
      <x:c r="A71" s="54" t="str">
        <x:v>배정대</x:v>
      </x:c>
      <x:c r="B71" s="54" t="str">
        <x:v>KT</x:v>
      </x:c>
      <x:c r="C71" s="54" t="n">
        <x:v>422</x:v>
      </x:c>
      <x:c r="D71" s="102" t="n">
        <x:v>0.864731</x:v>
      </x:c>
      <x:c r="E71" s="102" t="n">
        <x:v>-2.226148</x:v>
      </x:c>
      <x:c r="F71" s="102" t="n">
        <x:v>0.19811</x:v>
      </x:c>
      <x:c r="G71" s="102" t="n">
        <x:v>5.682962</x:v>
      </x:c>
      <x:c r="H71" s="99" t="n">
        <x:v>0.48341232</x:v>
      </x:c>
      <x:c r="I71" s="99" t="n">
        <x:v>0.6459330099999999</x:v>
      </x:c>
      <x:c r="J71" s="99" t="n">
        <x:v>0.32394365999999997</x:v>
      </x:c>
      <x:c r="K71" s="99" t="n">
        <x:v>0.32198935</x:v>
      </x:c>
      <x:c r="L71" s="99" t="n">
        <x:v>0.6875</x:v>
      </x:c>
      <x:c r="M71" s="99" t="n">
        <x:v>0.77419355</x:v>
      </x:c>
      <x:c r="N71" s="99" t="n">
        <x:v>0.5444444399999999</x:v>
      </x:c>
      <x:c r="O71" s="99" t="n">
        <x:v>0.32857143</x:v>
      </x:c>
      <x:c r="P71" s="99" t="n">
        <x:v>0.1</x:v>
      </x:c>
      <x:c r="Q71" s="102" t="n">
        <x:v>2.844962</x:v>
      </x:c>
      <x:c r="R71" s="102" t="n">
        <x:v>1.902235</x:v>
      </x:c>
      <x:c r="S71" s="102" t="n">
        <x:v>2.655817</x:v>
      </x:c>
      <x:c r="T71" s="102" t="n">
        <x:v>7.965988</x:v>
      </x:c>
      <x:c r="U71" s="102" t="n">
        <x:v>-0.092904</x:v>
      </x:c>
      <x:c r="V71" s="102" t="n">
        <x:v>2.776939</x:v>
      </x:c>
      <x:c r="W71" s="102" t="n">
        <x:v>1</x:v>
      </x:c>
      <x:c r="X71" s="102" t="n">
        <x:v>0.946782</x:v>
      </x:c>
      <x:c r="Y71" s="108" t="b">
        <x:v>0</x:v>
      </x:c>
    </x:row>
    <x:row r="72">
      <x:c r="A72" s="54" t="str">
        <x:v>브룩스</x:v>
      </x:c>
      <x:c r="B72" s="54" t="str">
        <x:v>KIW</x:v>
      </x:c>
      <x:c r="C72" s="54" t="n">
        <x:v>619</x:v>
      </x:c>
      <x:c r="D72" s="102" t="n">
        <x:v>4.214344</x:v>
      </x:c>
      <x:c r="E72" s="102" t="n">
        <x:v>1.365529</x:v>
      </x:c>
      <x:c r="F72" s="102" t="n">
        <x:v>0.6761</x:v>
      </x:c>
      <x:c r="G72" s="102" t="n">
        <x:v>5.703959</x:v>
      </x:c>
      <x:c r="H72" s="99" t="n">
        <x:v>0.46688207</x:v>
      </x:c>
      <x:c r="I72" s="99" t="n">
        <x:v>0.69498069</x:v>
      </x:c>
      <x:c r="J72" s="99" t="n">
        <x:v>0.30277778</x:v>
      </x:c>
      <x:c r="K72" s="99" t="n">
        <x:v>0.39220291</x:v>
      </x:c>
      <x:c r="L72" s="99" t="n">
        <x:v>0.72483221</x:v>
      </x:c>
      <x:c r="M72" s="99" t="n">
        <x:v>0.7027027</x:v>
      </x:c>
      <x:c r="N72" s="99" t="n">
        <x:v>0.55</x:v>
      </x:c>
      <x:c r="O72" s="99" t="n">
        <x:v>0.27380952000000003</x:v>
      </x:c>
      <x:c r="P72" s="99" t="n">
        <x:v>0.048387099999999995</x:v>
      </x:c>
      <x:c r="Q72" s="102" t="n">
        <x:v>3.339411</x:v>
      </x:c>
      <x:c r="R72" s="102" t="n">
        <x:v>2.315674</x:v>
      </x:c>
      <x:c r="S72" s="102" t="n">
        <x:v>0.771482</x:v>
      </x:c>
      <x:c r="T72" s="102" t="n">
        <x:v>-4.527819</x:v>
      </x:c>
      <x:c r="U72" s="102" t="n">
        <x:v>-2.590887</x:v>
      </x:c>
      <x:c r="V72" s="102" t="n">
        <x:v>2.01328</x:v>
      </x:c>
      <x:c r="W72" s="102" t="n">
        <x:v>1</x:v>
      </x:c>
      <x:c r="X72" s="102" t="n">
        <x:v>1.737188</x:v>
      </x:c>
      <x:c r="Y72" s="108" t="b">
        <x:v>0</x:v>
      </x:c>
    </x:row>
    <x:row r="73">
      <x:c r="A73" s="54" t="str">
        <x:v>블레인</x:v>
      </x:c>
      <x:c r="B73" s="54" t="str">
        <x:v>NC</x:v>
      </x:c>
      <x:c r="C73" s="54" t="n">
        <x:v>541</x:v>
      </x:c>
      <x:c r="D73" s="102" t="n">
        <x:v>1.231811</x:v>
      </x:c>
      <x:c r="E73" s="102" t="n">
        <x:v>0.503615</x:v>
      </x:c>
      <x:c r="F73" s="102" t="n">
        <x:v>0.51258</x:v>
      </x:c>
      <x:c r="G73" s="102" t="n">
        <x:v>5.956381</x:v>
      </x:c>
      <x:c r="H73" s="99" t="n">
        <x:v>0.46210721</x:v>
      </x:c>
      <x:c r="I73" s="99" t="n">
        <x:v>0.6510638299999999</x:v>
      </x:c>
      <x:c r="J73" s="99" t="n">
        <x:v>0.31699346</x:v>
      </x:c>
      <x:c r="K73" s="99" t="n">
        <x:v>0.33407037</x:v>
      </x:c>
      <x:c r="L73" s="99" t="n">
        <x:v>0.72307692</x:v>
      </x:c>
      <x:c r="M73" s="99" t="n">
        <x:v>0.84210526</x:v>
      </x:c>
      <x:c r="N73" s="99" t="n">
        <x:v>0.50925926</x:v>
      </x:c>
      <x:c r="O73" s="99" t="n">
        <x:v>0.328125</x:v>
      </x:c>
      <x:c r="P73" s="99" t="n">
        <x:v>0.05970149</x:v>
      </x:c>
      <x:c r="Q73" s="102" t="n">
        <x:v>0.006093</x:v>
      </x:c>
      <x:c r="R73" s="102" t="n">
        <x:v>3.130098</x:v>
      </x:c>
      <x:c r="S73" s="102" t="n">
        <x:v>1.944028</x:v>
      </x:c>
      <x:c r="T73" s="102" t="n">
        <x:v>10.695038</x:v>
      </x:c>
      <x:c r="U73" s="102" t="n">
        <x:v>-2.098576</x:v>
      </x:c>
      <x:c r="V73" s="102" t="n">
        <x:v>-1.744215</x:v>
      </x:c>
      <x:c r="W73" s="102" t="n">
        <x:v>1</x:v>
      </x:c>
      <x:c r="X73" s="102" t="n">
        <x:v>1.858393</x:v>
      </x:c>
      <x:c r="Y73" s="108" t="b">
        <x:v>0</x:v>
      </x:c>
    </x:row>
    <x:row r="74">
      <x:c r="A74" s="54" t="str">
        <x:v>서건창</x:v>
      </x:c>
      <x:c r="B74" s="54" t="str">
        <x:v>KIW</x:v>
      </x:c>
      <x:c r="C74" s="54" t="n">
        <x:v>1514</x:v>
      </x:c>
      <x:c r="D74" s="102" t="n">
        <x:v>-6.406538</x:v>
      </x:c>
      <x:c r="E74" s="102" t="n">
        <x:v>-1.572952</x:v>
      </x:c>
      <x:c r="F74" s="102" t="n">
        <x:v>0.29245</x:v>
      </x:c>
      <x:c r="G74" s="102" t="n">
        <x:v>6.711702</x:v>
      </x:c>
      <x:c r="H74" s="99" t="n">
        <x:v>0.35799207000000005</x:v>
      </x:c>
      <x:c r="I74" s="99" t="n">
        <x:v>0.52461322</x:v>
      </x:c>
      <x:c r="J74" s="99" t="n">
        <x:v>0.21046077</x:v>
      </x:c>
      <x:c r="K74" s="99" t="n">
        <x:v>0.31415244999999997</x:v>
      </x:c>
      <x:c r="L74" s="99" t="n">
        <x:v>0.56786704</x:v>
      </x:c>
      <x:c r="M74" s="99" t="n">
        <x:v>0.68</x:v>
      </x:c>
      <x:c r="N74" s="99" t="n">
        <x:v>0.44533762000000005</x:v>
      </x:c>
      <x:c r="O74" s="99" t="n">
        <x:v>0.14689266</x:v>
      </x:c>
      <x:c r="P74" s="99" t="n">
        <x:v>0.04519774</x:v>
      </x:c>
      <x:c r="Q74" s="102" t="n">
        <x:v>-10.089094</x:v>
      </x:c>
      <x:c r="R74" s="102" t="n">
        <x:v>-8.985934</x:v>
      </x:c>
      <x:c r="S74" s="102" t="n">
        <x:v>-10.329109</x:v>
      </x:c>
      <x:c r="T74" s="102" t="n">
        <x:v>-2.425378</x:v>
      </x:c>
      <x:c r="U74" s="102" t="n">
        <x:v>-5.088771</x:v>
      </x:c>
      <x:c r="V74" s="102" t="n">
        <x:v>-7.37366</x:v>
      </x:c>
      <x:c r="W74" s="102" t="n">
        <x:v>2</x:v>
      </x:c>
      <x:c r="X74" s="102" t="n">
        <x:v>1.973698</x:v>
      </x:c>
      <x:c r="Y74" s="108" t="b">
        <x:v>0</x:v>
      </x:c>
    </x:row>
    <x:row r="75">
      <x:c r="A75" s="54" t="str">
        <x:v>서호철</x:v>
      </x:c>
      <x:c r="B75" s="54" t="str">
        <x:v>NC</x:v>
      </x:c>
      <x:c r="C75" s="54" t="n">
        <x:v>582</x:v>
      </x:c>
      <x:c r="D75" s="102" t="n">
        <x:v>5.983788</x:v>
      </x:c>
      <x:c r="E75" s="102" t="n">
        <x:v>-2.139365</x:v>
      </x:c>
      <x:c r="F75" s="102" t="n">
        <x:v>0.21069</x:v>
      </x:c>
      <x:c r="G75" s="102" t="n">
        <x:v>5.361192</x:v>
      </x:c>
      <x:c r="H75" s="99" t="n">
        <x:v>0.52233677</x:v>
      </x:c>
      <x:c r="I75" s="99" t="n">
        <x:v>0.69465649</x:v>
      </x:c>
      <x:c r="J75" s="99" t="n">
        <x:v>0.38125</x:v>
      </x:c>
      <x:c r="K75" s="99" t="n">
        <x:v>0.31340649</x:v>
      </x:c>
      <x:c r="L75" s="99" t="n">
        <x:v>0.72058824</x:v>
      </x:c>
      <x:c r="M75" s="99" t="n">
        <x:v>0.77777778</x:v>
      </x:c>
      <x:c r="N75" s="99" t="n">
        <x:v>0.63555556</x:v>
      </x:c>
      <x:c r="O75" s="99" t="n">
        <x:v>0.34193548</x:v>
      </x:c>
      <x:c r="P75" s="99" t="n">
        <x:v>0.15151515</x:v>
      </x:c>
      <x:c r="Q75" s="102" t="n">
        <x:v>7.610747</x:v>
      </x:c>
      <x:c r="R75" s="102" t="n">
        <x:v>7.694</x:v>
      </x:c>
      <x:c r="S75" s="102" t="n">
        <x:v>5.828908</x:v>
      </x:c>
      <x:c r="T75" s="102" t="n">
        <x:v>8.19527</x:v>
      </x:c>
      <x:c r="U75" s="102" t="n">
        <x:v>5.122962</x:v>
      </x:c>
      <x:c r="V75" s="102" t="n">
        <x:v>11.856176</x:v>
      </x:c>
      <x:c r="W75" s="102" t="n">
        <x:v>1</x:v>
      </x:c>
      <x:c r="X75" s="102" t="n">
        <x:v>1.880409</x:v>
      </x:c>
      <x:c r="Y75" s="108" t="b">
        <x:v>0</x:v>
      </x:c>
    </x:row>
    <x:row r="76">
      <x:c r="A76" s="54" t="str">
        <x:v>세베리노</x:v>
      </x:c>
      <x:c r="B76" s="54" t="str">
        <x:v>DOO</x:v>
      </x:c>
      <x:c r="C76" s="54" t="n">
        <x:v>358</x:v>
      </x:c>
      <x:c r="D76" s="102" t="n">
        <x:v>3.649533</x:v>
      </x:c>
      <x:c r="E76" s="102" t="n">
        <x:v>3.62422</x:v>
      </x:c>
      <x:c r="F76" s="102" t="n">
        <x:v>0.86478</x:v>
      </x:c>
      <x:c r="G76" s="102" t="n">
        <x:v>6.636969</x:v>
      </x:c>
      <x:c r="H76" s="99" t="n">
        <x:v>0.45251397</x:v>
      </x:c>
      <x:c r="I76" s="99" t="n">
        <x:v>0.72142857</x:v>
      </x:c>
      <x:c r="J76" s="99" t="n">
        <x:v>0.27981651</x:v>
      </x:c>
      <x:c r="K76" s="99" t="n">
        <x:v>0.44161206</x:v>
      </x:c>
      <x:c r="L76" s="99" t="n">
        <x:v>0.7681159399999999</x:v>
      </x:c>
      <x:c r="M76" s="99" t="n">
        <x:v>0.70833333</x:v>
      </x:c>
      <x:c r="N76" s="99" t="n">
        <x:v>0.54482759</x:v>
      </x:c>
      <x:c r="O76" s="99" t="n">
        <x:v>0.27586207</x:v>
      </x:c>
      <x:c r="P76" s="99" t="n">
        <x:v>0.10526316</x:v>
      </x:c>
      <x:c r="Q76" s="102" t="n">
        <x:v>3.21069</x:v>
      </x:c>
      <x:c r="R76" s="102" t="n">
        <x:v>1.6106</x:v>
      </x:c>
      <x:c r="S76" s="102" t="n">
        <x:v>1.567153</x:v>
      </x:c>
      <x:c r="T76" s="102" t="n">
        <x:v>-7.325881</x:v>
      </x:c>
      <x:c r="U76" s="102" t="n">
        <x:v>4.771588</x:v>
      </x:c>
      <x:c r="V76" s="102" t="n">
        <x:v>0.666428</x:v>
      </x:c>
      <x:c r="W76" s="102" t="n">
        <x:v>1</x:v>
      </x:c>
      <x:c r="X76" s="102" t="n">
        <x:v>1.840222</x:v>
      </x:c>
      <x:c r="Y76" s="108" t="b">
        <x:v>0</x:v>
      </x:c>
    </x:row>
    <x:row r="77">
      <x:c r="A77" s="54" t="str">
        <x:v>손성빈</x:v>
      </x:c>
      <x:c r="B77" s="54" t="str">
        <x:v>LOT</x:v>
      </x:c>
      <x:c r="C77" s="54" t="n">
        <x:v>1194</x:v>
      </x:c>
      <x:c r="D77" s="102" t="n">
        <x:v>2.4669</x:v>
      </x:c>
      <x:c r="E77" s="102" t="n">
        <x:v>2.63947</x:v>
      </x:c>
      <x:c r="F77" s="102" t="n">
        <x:v>0.7641500000000001</x:v>
      </x:c>
      <x:c r="G77" s="102" t="n">
        <x:v>6.916731</x:v>
      </x:c>
      <x:c r="H77" s="99" t="n">
        <x:v>0.49748744</x:v>
      </x:c>
      <x:c r="I77" s="99" t="n">
        <x:v>0.72212389</x:v>
      </x:c>
      <x:c r="J77" s="99" t="n">
        <x:v>0.29570747000000003</x:v>
      </x:c>
      <x:c r="K77" s="99" t="n">
        <x:v>0.42641641999999996</x:v>
      </x:c>
      <x:c r="L77" s="99" t="n">
        <x:v>0.79354839</x:v>
      </x:c>
      <x:c r="M77" s="99" t="n">
        <x:v>0.78651685</x:v>
      </x:c>
      <x:c r="N77" s="99" t="n">
        <x:v>0.5440860200000001</x:v>
      </x:c>
      <x:c r="O77" s="99" t="n">
        <x:v>0.29861111</x:v>
      </x:c>
      <x:c r="P77" s="99" t="n">
        <x:v>0.06870229</x:v>
      </x:c>
      <x:c r="Q77" s="102" t="n">
        <x:v>4.489424</x:v>
      </x:c>
      <x:c r="R77" s="102" t="n">
        <x:v>2.506024</x:v>
      </x:c>
      <x:c r="S77" s="102" t="n">
        <x:v>5.650594</x:v>
      </x:c>
      <x:c r="T77" s="102" t="n">
        <x:v>1.957863</x:v>
      </x:c>
      <x:c r="U77" s="102" t="n">
        <x:v>0.385287</x:v>
      </x:c>
      <x:c r="V77" s="102" t="n">
        <x:v>0.953967</x:v>
      </x:c>
      <x:c r="W77" s="102" t="n">
        <x:v>1</x:v>
      </x:c>
      <x:c r="X77" s="102" t="n">
        <x:v>0.806193</x:v>
      </x:c>
      <x:c r="Y77" s="108" t="b">
        <x:v>0</x:v>
      </x:c>
    </x:row>
    <x:row r="78">
      <x:c r="A78" s="54" t="str">
        <x:v>손아섭</x:v>
      </x:c>
      <x:c r="B78" s="54" t="str">
        <x:v>HAN · DOO</x:v>
      </x:c>
      <x:c r="C78" s="54" t="n">
        <x:v>650</x:v>
      </x:c>
      <x:c r="D78" s="102" t="n">
        <x:v>-2.202465</x:v>
      </x:c>
      <x:c r="E78" s="102" t="n">
        <x:v>-2.511404</x:v>
      </x:c>
      <x:c r="F78" s="102" t="n">
        <x:v>0.16038</x:v>
      </x:c>
      <x:c r="G78" s="102" t="n">
        <x:v>6.468782</x:v>
      </x:c>
      <x:c r="H78" s="99" t="n">
        <x:v>0.41846153999999997</x:v>
      </x:c>
      <x:c r="I78" s="99" t="n">
        <x:v>0.5986622100000001</x:v>
      </x:c>
      <x:c r="J78" s="99" t="n">
        <x:v>0.26495726</x:v>
      </x:c>
      <x:c r="K78" s="99" t="n">
        <x:v>0.33370495</x:v>
      </x:c>
      <x:c r="L78" s="99" t="n">
        <x:v>0.6867469900000001</x:v>
      </x:c>
      <x:c r="M78" s="99" t="n">
        <x:v>0.66666667</x:v>
      </x:c>
      <x:c r="N78" s="99" t="n">
        <x:v>0.48</x:v>
      </x:c>
      <x:c r="O78" s="99" t="n">
        <x:v>0.2</x:v>
      </x:c>
      <x:c r="P78" s="99" t="n">
        <x:v>0.07246377</x:v>
      </x:c>
      <x:c r="Q78" s="102" t="n">
        <x:v>-1.531844</x:v>
      </x:c>
      <x:c r="R78" s="102" t="n">
        <x:v>-4.197343</x:v>
      </x:c>
      <x:c r="S78" s="102" t="n">
        <x:v>3.02667</x:v>
      </x:c>
      <x:c r="T78" s="102" t="n">
        <x:v>-2.362215</x:v>
      </x:c>
      <x:c r="U78" s="102" t="n">
        <x:v>-3.058051</x:v>
      </x:c>
      <x:c r="V78" s="102" t="n">
        <x:v>-3.562731</x:v>
      </x:c>
      <x:c r="W78" s="102" t="n">
        <x:v>2</x:v>
      </x:c>
      <x:c r="X78" s="102" t="n">
        <x:v>1.464039</x:v>
      </x:c>
      <x:c r="Y78" s="108" t="b">
        <x:v>0</x:v>
      </x:c>
    </x:row>
    <x:row r="79">
      <x:c r="A79" s="54" t="str">
        <x:v>손호영</x:v>
      </x:c>
      <x:c r="B79" s="54" t="str">
        <x:v>LOT</x:v>
      </x:c>
      <x:c r="C79" s="54" t="n">
        <x:v>648</x:v>
      </x:c>
      <x:c r="D79" s="102" t="n">
        <x:v>6.744128</x:v>
      </x:c>
      <x:c r="E79" s="102" t="n">
        <x:v>-2.530945</x:v>
      </x:c>
      <x:c r="F79" s="102" t="n">
        <x:v>0.15409</x:v>
      </x:c>
      <x:c r="G79" s="102" t="n">
        <x:v>4.955552</x:v>
      </x:c>
      <x:c r="H79" s="99" t="n">
        <x:v>0.50308642</x:v>
      </x:c>
      <x:c r="I79" s="99" t="n">
        <x:v>0.68014706</x:v>
      </x:c>
      <x:c r="J79" s="99" t="n">
        <x:v>0.375</x:v>
      </x:c>
      <x:c r="K79" s="99" t="n">
        <x:v>0.30514706</x:v>
      </x:c>
      <x:c r="L79" s="99" t="n">
        <x:v>0.67669173</x:v>
      </x:c>
      <x:c r="M79" s="99" t="n">
        <x:v>0.67647059</x:v>
      </x:c>
      <x:c r="N79" s="99" t="n">
        <x:v>0.59926471</x:v>
      </x:c>
      <x:c r="O79" s="99" t="n">
        <x:v>0.37037037</x:v>
      </x:c>
      <x:c r="P79" s="99" t="n">
        <x:v>0.16049382999999998</x:v>
      </x:c>
      <x:c r="Q79" s="102" t="n">
        <x:v>6.640636</x:v>
      </x:c>
      <x:c r="R79" s="102" t="n">
        <x:v>6.793166</x:v>
      </x:c>
      <x:c r="S79" s="102" t="n">
        <x:v>2.051707</x:v>
      </x:c>
      <x:c r="T79" s="102" t="n">
        <x:v>-1.352744</x:v>
      </x:c>
      <x:c r="U79" s="102" t="n">
        <x:v>5.730465</x:v>
      </x:c>
      <x:c r="V79" s="102" t="n">
        <x:v>8.370917</x:v>
      </x:c>
      <x:c r="W79" s="102" t="n">
        <x:v>1</x:v>
      </x:c>
      <x:c r="X79" s="102" t="n">
        <x:v>1.556451</x:v>
      </x:c>
      <x:c r="Y79" s="108" t="b">
        <x:v>0</x:v>
      </x:c>
    </x:row>
    <x:row r="80">
      <x:c r="A80" s="54" t="str">
        <x:v>송찬의</x:v>
      </x:c>
      <x:c r="B80" s="54" t="str">
        <x:v>LG</x:v>
      </x:c>
      <x:c r="C80" s="54" t="n">
        <x:v>1248</x:v>
      </x:c>
      <x:c r="D80" s="102" t="n">
        <x:v>0.686807</x:v>
      </x:c>
      <x:c r="E80" s="102" t="n">
        <x:v>4.71596</x:v>
      </x:c>
      <x:c r="F80" s="102" t="n">
        <x:v>0.9465399999999999</x:v>
      </x:c>
      <x:c r="G80" s="102" t="n">
        <x:v>6.920849</x:v>
      </x:c>
      <x:c r="H80" s="99" t="n">
        <x:v>0.46794872</x:v>
      </x:c>
      <x:c r="I80" s="99" t="n">
        <x:v>0.71771218</x:v>
      </x:c>
      <x:c r="J80" s="99" t="n">
        <x:v>0.27620397</x:v>
      </x:c>
      <x:c r="K80" s="99" t="n">
        <x:v>0.44150821</x:v>
      </x:c>
      <x:c r="L80" s="99" t="n">
        <x:v>0.7980455999999999</x:v>
      </x:c>
      <x:c r="M80" s="99" t="n">
        <x:v>0.84210526</x:v>
      </x:c>
      <x:c r="N80" s="99" t="n">
        <x:v>0.5334728</x:v>
      </x:c>
      <x:c r="O80" s="99" t="n">
        <x:v>0.25081433000000003</x:v>
      </x:c>
      <x:c r="P80" s="99" t="n">
        <x:v>0.04487179</x:v>
      </x:c>
      <x:c r="Q80" s="102" t="n">
        <x:v>1.498473</x:v>
      </x:c>
      <x:c r="R80" s="102" t="n">
        <x:v>2.018383</x:v>
      </x:c>
      <x:c r="S80" s="102" t="n">
        <x:v>2.852585</x:v>
      </x:c>
      <x:c r="T80" s="102" t="n">
        <x:v>4.426709</x:v>
      </x:c>
      <x:c r="U80" s="102" t="n">
        <x:v>-0.457999</x:v>
      </x:c>
      <x:c r="V80" s="102" t="n">
        <x:v>-0.870045</x:v>
      </x:c>
      <x:c r="W80" s="102" t="n">
        <x:v>1</x:v>
      </x:c>
      <x:c r="X80" s="102" t="n">
        <x:v>1.116191</x:v>
      </x:c>
      <x:c r="Y80" s="108" t="b">
        <x:v>0</x:v>
      </x:c>
    </x:row>
    <x:row r="81">
      <x:c r="A81" s="54" t="str">
        <x:v>신민재</x:v>
      </x:c>
      <x:c r="B81" s="54" t="str">
        <x:v>LG</x:v>
      </x:c>
      <x:c r="C81" s="54" t="n">
        <x:v>1464</x:v>
      </x:c>
      <x:c r="D81" s="102" t="n">
        <x:v>-4.402289</x:v>
      </x:c>
      <x:c r="E81" s="102" t="n">
        <x:v>1.634516</x:v>
      </x:c>
      <x:c r="F81" s="102" t="n">
        <x:v>0.71384</x:v>
      </x:c>
      <x:c r="G81" s="102" t="n">
        <x:v>6.891032</x:v>
      </x:c>
      <x:c r="H81" s="99" t="n">
        <x:v>0.38934426</x:v>
      </x:c>
      <x:c r="I81" s="99" t="n">
        <x:v>0.60298507</x:v>
      </x:c>
      <x:c r="J81" s="99" t="n">
        <x:v>0.20906801000000003</x:v>
      </x:c>
      <x:c r="K81" s="99" t="n">
        <x:v>0.39391706</x:v>
      </x:c>
      <x:c r="L81" s="99" t="n">
        <x:v>0.6456044</x:v>
      </x:c>
      <x:c r="M81" s="99" t="n">
        <x:v>0.78021978</x:v>
      </x:c>
      <x:c r="N81" s="99" t="n">
        <x:v>0.47931033999999995</x:v>
      </x:c>
      <x:c r="O81" s="99" t="n">
        <x:v>0.16413374</x:v>
      </x:c>
      <x:c r="P81" s="99" t="n">
        <x:v>0.01570681</x:v>
      </x:c>
      <x:c r="Q81" s="102" t="n">
        <x:v>-6.190448</x:v>
      </x:c>
      <x:c r="R81" s="102" t="n">
        <x:v>-6.865825</x:v>
      </x:c>
      <x:c r="S81" s="102" t="n">
        <x:v>-7.572008</x:v>
      </x:c>
      <x:c r="T81" s="102" t="n">
        <x:v>2.823613</x:v>
      </x:c>
      <x:c r="U81" s="102" t="n">
        <x:v>-5.659456</x:v>
      </x:c>
      <x:c r="V81" s="102" t="n">
        <x:v>-5.154484</x:v>
      </x:c>
      <x:c r="W81" s="102" t="n">
        <x:v>2</x:v>
      </x:c>
      <x:c r="X81" s="102" t="n">
        <x:v>1.561496</x:v>
      </x:c>
      <x:c r="Y81" s="108" t="b">
        <x:v>0</x:v>
      </x:c>
    </x:row>
    <x:row r="82">
      <x:c r="A82" s="54" t="str">
        <x:v>신재인</x:v>
      </x:c>
      <x:c r="B82" s="54" t="str">
        <x:v>NC</x:v>
      </x:c>
      <x:c r="C82" s="54" t="n">
        <x:v>469</x:v>
      </x:c>
      <x:c r="D82" s="102" t="n">
        <x:v>-7.584355</x:v>
      </x:c>
      <x:c r="E82" s="102" t="n">
        <x:v>-0.451745</x:v>
      </x:c>
      <x:c r="F82" s="102" t="n">
        <x:v>0.38049999999999995</x:v>
      </x:c>
      <x:c r="G82" s="102" t="n">
        <x:v>6.174216</x:v>
      </x:c>
      <x:c r="H82" s="99" t="n">
        <x:v>0.35181237000000004</x:v>
      </x:c>
      <x:c r="I82" s="99" t="n">
        <x:v>0.52261307</x:v>
      </x:c>
      <x:c r="J82" s="99" t="n">
        <x:v>0.22592593</x:v>
      </x:c>
      <x:c r="K82" s="99" t="n">
        <x:v>0.29668714</x:v>
      </x:c>
      <x:c r="L82" s="99" t="n">
        <x:v>0.58823529</x:v>
      </x:c>
      <x:c r="M82" s="99" t="n">
        <x:v>0.6875</x:v>
      </x:c>
      <x:c r="N82" s="99" t="n">
        <x:v>0.42541436</x:v>
      </x:c>
      <x:c r="O82" s="99" t="n">
        <x:v>0.19008264</x:v>
      </x:c>
      <x:c r="P82" s="99" t="n">
        <x:v>0.07692307999999999</x:v>
      </x:c>
      <x:c r="Q82" s="102" t="n">
        <x:v>-11.66587</x:v>
      </x:c>
      <x:c r="R82" s="102" t="n">
        <x:v>-6.649624</x:v>
      </x:c>
      <x:c r="S82" s="102" t="n">
        <x:v>-10.045906</x:v>
      </x:c>
      <x:c r="T82" s="102" t="n">
        <x:v>-3.34383</x:v>
      </x:c>
      <x:c r="U82" s="102" t="n">
        <x:v>-1.084838</x:v>
      </x:c>
      <x:c r="V82" s="102" t="n">
        <x:v>-9.777803</x:v>
      </x:c>
      <x:c r="W82" s="102" t="n">
        <x:v>2</x:v>
      </x:c>
      <x:c r="X82" s="102" t="n">
        <x:v>1.942739</x:v>
      </x:c>
      <x:c r="Y82" s="108" t="b">
        <x:v>0</x:v>
      </x:c>
    </x:row>
    <x:row r="83">
      <x:c r="A83" s="54" t="str">
        <x:v>심우준</x:v>
      </x:c>
      <x:c r="B83" s="54" t="str">
        <x:v>HAN</x:v>
      </x:c>
      <x:c r="C83" s="54" t="n">
        <x:v>1461</x:v>
      </x:c>
      <x:c r="D83" s="102" t="n">
        <x:v>-0.007549</x:v>
      </x:c>
      <x:c r="E83" s="102" t="n">
        <x:v>-7.493774</x:v>
      </x:c>
      <x:c r="F83" s="102" t="n">
        <x:v>0.00943</x:v>
      </x:c>
      <x:c r="G83" s="102" t="n">
        <x:v>5.495075</x:v>
      </x:c>
      <x:c r="H83" s="99" t="n">
        <x:v>0.46269678</x:v>
      </x:c>
      <x:c r="I83" s="99" t="n">
        <x:v>0.58040936</x:v>
      </x:c>
      <x:c r="J83" s="99" t="n">
        <x:v>0.35907336</x:v>
      </x:c>
      <x:c r="K83" s="99" t="n">
        <x:v>0.221336</x:v>
      </x:c>
      <x:c r="L83" s="99" t="n">
        <x:v>0.5573770499999999</x:v>
      </x:c>
      <x:c r="M83" s="99" t="n">
        <x:v>0.57272727</x:v>
      </x:c>
      <x:c r="N83" s="99" t="n">
        <x:v>0.5378151299999999</x:v>
      </x:c>
      <x:c r="O83" s="99" t="n">
        <x:v>0.38819876000000003</x:v>
      </x:c>
      <x:c r="P83" s="99" t="n">
        <x:v>0.15168539</x:v>
      </x:c>
      <x:c r="Q83" s="102" t="n">
        <x:v>2.760861</x:v>
      </x:c>
      <x:c r="R83" s="102" t="n">
        <x:v>1.704616</x:v>
      </x:c>
      <x:c r="S83" s="102" t="n">
        <x:v>-2.117656</x:v>
      </x:c>
      <x:c r="T83" s="102" t="n">
        <x:v>-4.341963</x:v>
      </x:c>
      <x:c r="U83" s="102" t="n">
        <x:v>1.169574</x:v>
      </x:c>
      <x:c r="V83" s="102" t="n">
        <x:v>4.048795</x:v>
      </x:c>
      <x:c r="W83" s="102" t="n">
        <x:v>1</x:v>
      </x:c>
      <x:c r="X83" s="102" t="n">
        <x:v>1.580099</x:v>
      </x:c>
      <x:c r="Y83" s="108" t="b">
        <x:v>0</x:v>
      </x:c>
    </x:row>
    <x:row r="84">
      <x:c r="A84" s="54" t="str">
        <x:v>아데를린</x:v>
      </x:c>
      <x:c r="B84" s="54" t="str">
        <x:v>KIA</x:v>
      </x:c>
      <x:c r="C84" s="54" t="n">
        <x:v>464</x:v>
      </x:c>
      <x:c r="D84" s="102" t="n">
        <x:v>15.769236</x:v>
      </x:c>
      <x:c r="E84" s="102" t="n">
        <x:v>-6.631497</x:v>
      </x:c>
      <x:c r="F84" s="102" t="n">
        <x:v>0.022010000000000002</x:v>
      </x:c>
      <x:c r="G84" s="102" t="n">
        <x:v>3.993927</x:v>
      </x:c>
      <x:c r="H84" s="99" t="n">
        <x:v>0.57758621</x:v>
      </x:c>
      <x:c r="I84" s="99" t="n">
        <x:v>0.74585635</x:v>
      </x:c>
      <x:c r="J84" s="99" t="n">
        <x:v>0.46996466</x:v>
      </x:c>
      <x:c r="K84" s="99" t="n">
        <x:v>0.27589168999999997</x:v>
      </x:c>
      <x:c r="L84" s="99" t="n">
        <x:v>0.7380952399999999</x:v>
      </x:c>
      <x:c r="M84" s="99" t="n">
        <x:v>0.74074074</x:v>
      </x:c>
      <x:c r="N84" s="99" t="n">
        <x:v>0.66666667</x:v>
      </x:c>
      <x:c r="O84" s="99" t="n">
        <x:v>0.52941176</x:v>
      </x:c>
      <x:c r="P84" s="99" t="n">
        <x:v>0.23880597</x:v>
      </x:c>
      <x:c r="Q84" s="102" t="n">
        <x:v>18.246746</x:v>
      </x:c>
      <x:c r="R84" s="102" t="n">
        <x:v>13.401146</x:v>
      </x:c>
      <x:c r="S84" s="102" t="n">
        <x:v>14.60552</x:v>
      </x:c>
      <x:c r="T84" s="102" t="n">
        <x:v>11.176242</x:v>
      </x:c>
      <x:c r="U84" s="102" t="n">
        <x:v>10.521029</x:v>
      </x:c>
      <x:c r="V84" s="102" t="n">
        <x:v>16.617236</x:v>
      </x:c>
      <x:c r="W84" s="102" t="n">
        <x:v>1</x:v>
      </x:c>
      <x:c r="X84" s="102" t="n">
        <x:v>4.859641</x:v>
      </x:c>
      <x:c r="Y84" s="108" t="b">
        <x:v>1</x:v>
      </x:c>
    </x:row>
    <x:row r="85">
      <x:c r="A85" s="54" t="str">
        <x:v>안상현</x:v>
      </x:c>
      <x:c r="B85" s="54" t="str">
        <x:v>SSG</x:v>
      </x:c>
      <x:c r="C85" s="54" t="n">
        <x:v>803</x:v>
      </x:c>
      <x:c r="D85" s="102" t="n">
        <x:v>0.825429</x:v>
      </x:c>
      <x:c r="E85" s="102" t="n">
        <x:v>0.914549</x:v>
      </x:c>
      <x:c r="F85" s="102" t="n">
        <x:v>0.5754699999999999</x:v>
      </x:c>
      <x:c r="G85" s="102" t="n">
        <x:v>6.181593</x:v>
      </x:c>
      <x:c r="H85" s="99" t="n">
        <x:v>0.45828144000000004</x:v>
      </x:c>
      <x:c r="I85" s="99" t="n">
        <x:v>0.6703601100000001</x:v>
      </x:c>
      <x:c r="J85" s="99" t="n">
        <x:v>0.28506787</x:v>
      </x:c>
      <x:c r="K85" s="99" t="n">
        <x:v>0.38529224</x:v>
      </x:c>
      <x:c r="L85" s="99" t="n">
        <x:v>0.75634518</x:v>
      </x:c>
      <x:c r="M85" s="99" t="n">
        <x:v>0.80357143</x:v>
      </x:c>
      <x:c r="N85" s="99" t="n">
        <x:v>0.51111111</x:v>
      </x:c>
      <x:c r="O85" s="99" t="n">
        <x:v>0.24338624</x:v>
      </x:c>
      <x:c r="P85" s="99" t="n">
        <x:v>0.11764706</x:v>
      </x:c>
      <x:c r="Q85" s="102" t="n">
        <x:v>1.431124</x:v>
      </x:c>
      <x:c r="R85" s="102" t="n">
        <x:v>0.227006</x:v>
      </x:c>
      <x:c r="S85" s="102" t="n">
        <x:v>4.628133</x:v>
      </x:c>
      <x:c r="T85" s="102" t="n">
        <x:v>6.230151</x:v>
      </x:c>
      <x:c r="U85" s="102" t="n">
        <x:v>4.000698</x:v>
      </x:c>
      <x:c r="V85" s="102" t="n">
        <x:v>-1.709965</x:v>
      </x:c>
      <x:c r="W85" s="102" t="n">
        <x:v>1</x:v>
      </x:c>
      <x:c r="X85" s="102" t="n">
        <x:v>1.364936</x:v>
      </x:c>
      <x:c r="Y85" s="108" t="b">
        <x:v>0</x:v>
      </x:c>
    </x:row>
    <x:row r="86">
      <x:c r="A86" s="54" t="str">
        <x:v>안재석</x:v>
      </x:c>
      <x:c r="B86" s="54" t="str">
        <x:v>DOO</x:v>
      </x:c>
      <x:c r="C86" s="54" t="n">
        <x:v>1289</x:v>
      </x:c>
      <x:c r="D86" s="102" t="n">
        <x:v>6.33161</x:v>
      </x:c>
      <x:c r="E86" s="102" t="n">
        <x:v>0.90272</x:v>
      </x:c>
      <x:c r="F86" s="102" t="n">
        <x:v>0.56289</x:v>
      </x:c>
      <x:c r="G86" s="102" t="n">
        <x:v>5.442752</x:v>
      </x:c>
      <x:c r="H86" s="99" t="n">
        <x:v>0.49418154000000003</x:v>
      </x:c>
      <x:c r="I86" s="99" t="n">
        <x:v>0.69639794</x:v>
      </x:c>
      <x:c r="J86" s="99" t="n">
        <x:v>0.32719547</x:v>
      </x:c>
      <x:c r="K86" s="99" t="n">
        <x:v>0.36920247000000006</x:v>
      </x:c>
      <x:c r="L86" s="99" t="n">
        <x:v>0.75384615</x:v>
      </x:c>
      <x:c r="M86" s="99" t="n">
        <x:v>0.8349514600000001</x:v>
      </x:c>
      <x:c r="N86" s="99" t="n">
        <x:v>0.56686627</x:v>
      </x:c>
      <x:c r="O86" s="99" t="n">
        <x:v>0.30546624</x:v>
      </x:c>
      <x:c r="P86" s="99" t="n">
        <x:v>0.08552631999999999</x:v>
      </x:c>
      <x:c r="Q86" s="102" t="n">
        <x:v>4.049432</x:v>
      </x:c>
      <x:c r="R86" s="102" t="n">
        <x:v>4.431434</x:v>
      </x:c>
      <x:c r="S86" s="102" t="n">
        <x:v>4.396731</x:v>
      </x:c>
      <x:c r="T86" s="102" t="n">
        <x:v>9.385756</x:v>
      </x:c>
      <x:c r="U86" s="102" t="n">
        <x:v>0.779852</x:v>
      </x:c>
      <x:c r="V86" s="102" t="n">
        <x:v>3.869896</x:v>
      </x:c>
      <x:c r="W86" s="102" t="n">
        <x:v>1</x:v>
      </x:c>
      <x:c r="X86" s="102" t="n">
        <x:v>0.912395</x:v>
      </x:c>
      <x:c r="Y86" s="108" t="b">
        <x:v>0</x:v>
      </x:c>
    </x:row>
    <x:row r="87">
      <x:c r="A87" s="54" t="str">
        <x:v>안중열</x:v>
      </x:c>
      <x:c r="B87" s="54" t="str">
        <x:v>NC</x:v>
      </x:c>
      <x:c r="C87" s="54" t="n">
        <x:v>477</x:v>
      </x:c>
      <x:c r="D87" s="102" t="n">
        <x:v>0.25011</x:v>
      </x:c>
      <x:c r="E87" s="102" t="n">
        <x:v>3.730276</x:v>
      </x:c>
      <x:c r="F87" s="102" t="n">
        <x:v>0.87736</x:v>
      </x:c>
      <x:c r="G87" s="102" t="n">
        <x:v>6.262603</x:v>
      </x:c>
      <x:c r="H87" s="99" t="n">
        <x:v>0.44025157</x:v>
      </x:c>
      <x:c r="I87" s="99" t="n">
        <x:v>0.65384615</x:v>
      </x:c>
      <x:c r="J87" s="99" t="n">
        <x:v>0.27509294</x:v>
      </x:c>
      <x:c r="K87" s="99" t="n">
        <x:v>0.37875321</x:v>
      </x:c>
      <x:c r="L87" s="99" t="n">
        <x:v>0.73148148</x:v>
      </x:c>
      <x:c r="M87" s="99" t="n">
        <x:v>0.87878788</x:v>
      </x:c>
      <x:c r="N87" s="99" t="n">
        <x:v>0.51010101</x:v>
      </x:c>
      <x:c r="O87" s="99" t="n">
        <x:v>0.23684211000000002</x:v>
      </x:c>
      <x:c r="P87" s="99" t="n">
        <x:v>0.05263158</x:v>
      </x:c>
      <x:c r="Q87" s="102" t="n">
        <x:v>-3.677781</x:v>
      </x:c>
      <x:c r="R87" s="102" t="n">
        <x:v>1.21295</x:v>
      </x:c>
      <x:c r="S87" s="102" t="n">
        <x:v>-2.26217</x:v>
      </x:c>
      <x:c r="T87" s="102" t="n">
        <x:v>9.561753</x:v>
      </x:c>
      <x:c r="U87" s="102" t="n">
        <x:v>-0.412927</x:v>
      </x:c>
      <x:c r="V87" s="102" t="n">
        <x:v>-2.845185</x:v>
      </x:c>
      <x:c r="W87" s="102" t="n">
        <x:v>2</x:v>
      </x:c>
      <x:c r="X87" s="102" t="n">
        <x:v>2.238041</x:v>
      </x:c>
      <x:c r="Y87" s="108" t="b">
        <x:v>0</x:v>
      </x:c>
    </x:row>
    <x:row r="88">
      <x:c r="A88" s="54" t="str">
        <x:v>안치홍</x:v>
      </x:c>
      <x:c r="B88" s="54" t="str">
        <x:v>KIW</x:v>
      </x:c>
      <x:c r="C88" s="54" t="n">
        <x:v>1625</x:v>
      </x:c>
      <x:c r="D88" s="102" t="n">
        <x:v>0.301735</x:v>
      </x:c>
      <x:c r="E88" s="102" t="n">
        <x:v>-2.912828</x:v>
      </x:c>
      <x:c r="F88" s="102" t="n">
        <x:v>0.11006</x:v>
      </x:c>
      <x:c r="G88" s="102" t="n">
        <x:v>6.044795</x:v>
      </x:c>
      <x:c r="H88" s="99" t="n">
        <x:v>0.44430769</x:v>
      </x:c>
      <x:c r="I88" s="99" t="n">
        <x:v>0.60169492</x:v>
      </x:c>
      <x:c r="J88" s="99" t="n">
        <x:v>0.32279170999999995</x:v>
      </x:c>
      <x:c r="K88" s="99" t="n">
        <x:v>0.27890321</x:v>
      </x:c>
      <x:c r="L88" s="99" t="n">
        <x:v>0.6092545</x:v>
      </x:c>
      <x:c r="M88" s="99" t="n">
        <x:v>0.62727273</x:v>
      </x:c>
      <x:c r="N88" s="99" t="n">
        <x:v>0.53172205</x:v>
      </x:c>
      <x:c r="O88" s="99" t="n">
        <x:v>0.29210526000000003</x:v>
      </x:c>
      <x:c r="P88" s="99" t="n">
        <x:v>0.11340206</x:v>
      </x:c>
      <x:c r="Q88" s="102" t="n">
        <x:v>-0.735653</x:v>
      </x:c>
      <x:c r="R88" s="102" t="n">
        <x:v>1.303333</x:v>
      </x:c>
      <x:c r="S88" s="102" t="n">
        <x:v>-4.094732</x:v>
      </x:c>
      <x:c r="T88" s="102" t="n">
        <x:v>-5.704256</x:v>
      </x:c>
      <x:c r="U88" s="102" t="n">
        <x:v>0.738113</x:v>
      </x:c>
      <x:c r="V88" s="102" t="n">
        <x:v>1.756916</x:v>
      </x:c>
      <x:c r="W88" s="102" t="n">
        <x:v>2</x:v>
      </x:c>
      <x:c r="X88" s="102" t="n">
        <x:v>1.752378</x:v>
      </x:c>
      <x:c r="Y88" s="108" t="b">
        <x:v>0</x:v>
      </x:c>
    </x:row>
    <x:row r="89">
      <x:c r="A89" s="54" t="str">
        <x:v>안현민</x:v>
      </x:c>
      <x:c r="B89" s="54" t="str">
        <x:v>KT</x:v>
      </x:c>
      <x:c r="C89" s="54" t="n">
        <x:v>1233</x:v>
      </x:c>
      <x:c r="D89" s="102" t="n">
        <x:v>-10.573461</x:v>
      </x:c>
      <x:c r="E89" s="102" t="n">
        <x:v>0.949073</x:v>
      </x:c>
      <x:c r="F89" s="102" t="n">
        <x:v>0.58805</x:v>
      </x:c>
      <x:c r="G89" s="102" t="n">
        <x:v>7.884489</x:v>
      </x:c>
      <x:c r="H89" s="99" t="n">
        <x:v>0.34630981</x:v>
      </x:c>
      <x:c r="I89" s="99" t="n">
        <x:v>0.54442344</x:v>
      </x:c>
      <x:c r="J89" s="99" t="n">
        <x:v>0.19744318</x:v>
      </x:c>
      <x:c r="K89" s="99" t="n">
        <x:v>0.34698026</x:v>
      </x:c>
      <x:c r="L89" s="99" t="n">
        <x:v>0.58203125</x:v>
      </x:c>
      <x:c r="M89" s="99" t="n">
        <x:v>0.63888889</x:v>
      </x:c>
      <x:c r="N89" s="99" t="n">
        <x:v>0.44071146</x:v>
      </x:c>
      <x:c r="O89" s="99" t="n">
        <x:v>0.16666667000000002</x:v>
      </x:c>
      <x:c r="P89" s="99" t="n">
        <x:v>0.01886792</x:v>
      </x:c>
      <x:c r="Q89" s="102" t="n">
        <x:v>-11.204936</x:v>
      </x:c>
      <x:c r="R89" s="102" t="n">
        <x:v>-8.511144</x:v>
      </x:c>
      <x:c r="S89" s="102" t="n">
        <x:v>-12.857257</x:v>
      </x:c>
      <x:c r="T89" s="102" t="n">
        <x:v>-10.289478</x:v>
      </x:c>
      <x:c r="U89" s="102" t="n">
        <x:v>-5.851616</x:v>
      </x:c>
      <x:c r="V89" s="102" t="n">
        <x:v>-8.76261</x:v>
      </x:c>
      <x:c r="W89" s="102" t="n">
        <x:v>2</x:v>
      </x:c>
      <x:c r="X89" s="102" t="n">
        <x:v>2.611118</x:v>
      </x:c>
      <x:c r="Y89" s="108" t="b">
        <x:v>0</x:v>
      </x:c>
    </x:row>
    <x:row r="90">
      <x:c r="A90" s="54" t="str">
        <x:v>양석환</x:v>
      </x:c>
      <x:c r="B90" s="54" t="str">
        <x:v>DOO</x:v>
      </x:c>
      <x:c r="C90" s="54" t="n">
        <x:v>437</x:v>
      </x:c>
      <x:c r="D90" s="102" t="n">
        <x:v>9.429506</x:v>
      </x:c>
      <x:c r="E90" s="102" t="n">
        <x:v>-3.348993</x:v>
      </x:c>
      <x:c r="F90" s="102" t="n">
        <x:v>0.07862</x:v>
      </x:c>
      <x:c r="G90" s="102" t="n">
        <x:v>4.744012</x:v>
      </x:c>
      <x:c r="H90" s="99" t="n">
        <x:v>0.5583524</x:v>
      </x:c>
      <x:c r="I90" s="99" t="n">
        <x:v>0.70754717</x:v>
      </x:c>
      <x:c r="J90" s="99" t="n">
        <x:v>0.41777778</x:v>
      </x:c>
      <x:c r="K90" s="99" t="n">
        <x:v>0.28976939</x:v>
      </x:c>
      <x:c r="L90" s="99" t="n">
        <x:v>0.71818182</x:v>
      </x:c>
      <x:c r="M90" s="99" t="n">
        <x:v>0.75</x:v>
      </x:c>
      <x:c r="N90" s="99" t="n">
        <x:v>0.67455621</x:v>
      </x:c>
      <x:c r="O90" s="99" t="n">
        <x:v>0.43617021</x:v>
      </x:c>
      <x:c r="P90" s="99" t="n">
        <x:v>0.15625</x:v>
      </x:c>
      <x:c r="Q90" s="102" t="n">
        <x:v>10.385151</x:v>
      </x:c>
      <x:c r="R90" s="102" t="n">
        <x:v>10.494699</x:v>
      </x:c>
      <x:c r="S90" s="102" t="n">
        <x:v>7.480183</x:v>
      </x:c>
      <x:c r="T90" s="102" t="n">
        <x:v>7.217522</x:v>
      </x:c>
      <x:c r="U90" s="102" t="n">
        <x:v>4.699481</x:v>
      </x:c>
      <x:c r="V90" s="102" t="n">
        <x:v>16.200534</x:v>
      </x:c>
      <x:c r="W90" s="102" t="n">
        <x:v>1</x:v>
      </x:c>
      <x:c r="X90" s="102" t="n">
        <x:v>2.701886</x:v>
      </x:c>
      <x:c r="Y90" s="108" t="b">
        <x:v>0</x:v>
      </x:c>
    </x:row>
    <x:row r="91">
      <x:c r="A91" s="54" t="str">
        <x:v>양우현</x:v>
      </x:c>
      <x:c r="B91" s="54" t="str">
        <x:v>SAM</x:v>
      </x:c>
      <x:c r="C91" s="54" t="n">
        <x:v>412</x:v>
      </x:c>
      <x:c r="D91" s="102" t="n">
        <x:v>5.499594</x:v>
      </x:c>
      <x:c r="E91" s="102" t="n">
        <x:v>-3.612892</x:v>
      </x:c>
      <x:c r="F91" s="102" t="n">
        <x:v>0.05975</x:v>
      </x:c>
      <x:c r="G91" s="102" t="n">
        <x:v>4.630097</x:v>
      </x:c>
      <x:c r="H91" s="99" t="n">
        <x:v>0.46359223</x:v>
      </x:c>
      <x:c r="I91" s="99" t="n">
        <x:v>0.62195122</x:v>
      </x:c>
      <x:c r="J91" s="99" t="n">
        <x:v>0.35887096999999996</x:v>
      </x:c>
      <x:c r="K91" s="99" t="n">
        <x:v>0.26308025</x:v>
      </x:c>
      <x:c r="L91" s="99" t="n">
        <x:v>0.725</x:v>
      </x:c>
      <x:c r="M91" s="99" t="n">
        <x:v>0.7307692299999999</x:v>
      </x:c>
      <x:c r="N91" s="99" t="n">
        <x:v>0.47647058999999997</x:v>
      </x:c>
      <x:c r="O91" s="99" t="n">
        <x:v>0.38834950999999995</x:v>
      </x:c>
      <x:c r="P91" s="99" t="n">
        <x:v>0.20338983</x:v>
      </x:c>
      <x:c r="Q91" s="102" t="n">
        <x:v>2.149605</x:v>
      </x:c>
      <x:c r="R91" s="102" t="n">
        <x:v>4.418124</x:v>
      </x:c>
      <x:c r="S91" s="102" t="n">
        <x:v>8.574752</x:v>
      </x:c>
      <x:c r="T91" s="102" t="n">
        <x:v>5.687149</x:v>
      </x:c>
      <x:c r="U91" s="102" t="n">
        <x:v>9.217777</x:v>
      </x:c>
      <x:c r="V91" s="102" t="n">
        <x:v>-3.511098</x:v>
      </x:c>
      <x:c r="W91" s="102" t="n">
        <x:v>1</x:v>
      </x:c>
      <x:c r="X91" s="102" t="n">
        <x:v>2.435114</x:v>
      </x:c>
      <x:c r="Y91" s="108" t="b">
        <x:v>0</x:v>
      </x:c>
    </x:row>
    <x:row r="92">
      <x:c r="A92" s="54" t="str">
        <x:v>양의지</x:v>
      </x:c>
      <x:c r="B92" s="54" t="str">
        <x:v>DOO</x:v>
      </x:c>
      <x:c r="C92" s="54" t="n">
        <x:v>1770</x:v>
      </x:c>
      <x:c r="D92" s="102" t="n">
        <x:v>-0.945259</x:v>
      </x:c>
      <x:c r="E92" s="102" t="n">
        <x:v>3.38989</x:v>
      </x:c>
      <x:c r="F92" s="102" t="n">
        <x:v>0.8459099999999999</x:v>
      </x:c>
      <x:c r="G92" s="102" t="n">
        <x:v>7.428148</x:v>
      </x:c>
      <x:c r="H92" s="99" t="n">
        <x:v>0.42768362000000004</x:v>
      </x:c>
      <x:c r="I92" s="99" t="n">
        <x:v>0.68175938</x:v>
      </x:c>
      <x:c r="J92" s="99" t="n">
        <x:v>0.23069208</x:v>
      </x:c>
      <x:c r="K92" s="99" t="n">
        <x:v>0.4510673</x:v>
      </x:c>
      <x:c r="L92" s="99" t="n">
        <x:v>0.7386091100000001</x:v>
      </x:c>
      <x:c r="M92" s="99" t="n">
        <x:v>0.79259259</x:v>
      </x:c>
      <x:c r="N92" s="99" t="n">
        <x:v>0.51424501</x:v>
      </x:c>
      <x:c r="O92" s="99" t="n">
        <x:v>0.19626168</x:v>
      </x:c>
      <x:c r="P92" s="99" t="n">
        <x:v>0.01793722</x:v>
      </x:c>
      <x:c r="Q92" s="102" t="n">
        <x:v>-0.468489</x:v>
      </x:c>
      <x:c r="R92" s="102" t="n">
        <x:v>-3.466908</x:v>
      </x:c>
      <x:c r="S92" s="102" t="n">
        <x:v>-1.017027</x:v>
      </x:c>
      <x:c r="T92" s="102" t="n">
        <x:v>1.448748</x:v>
      </x:c>
      <x:c r="U92" s="102" t="n">
        <x:v>-4.134767</x:v>
      </x:c>
      <x:c r="V92" s="102" t="n">
        <x:v>-2.305762</x:v>
      </x:c>
      <x:c r="W92" s="102" t="n">
        <x:v>2</x:v>
      </x:c>
      <x:c r="X92" s="102" t="n">
        <x:v>1.345566</x:v>
      </x:c>
      <x:c r="Y92" s="108" t="b">
        <x:v>0</x:v>
      </x:c>
    </x:row>
    <x:row r="93">
      <x:c r="A93" s="54" t="str">
        <x:v>어준서</x:v>
      </x:c>
      <x:c r="B93" s="54" t="str">
        <x:v>KIW</x:v>
      </x:c>
      <x:c r="C93" s="54" t="n">
        <x:v>346</x:v>
      </x:c>
      <x:c r="D93" s="102" t="n">
        <x:v>-6.111262</x:v>
      </x:c>
      <x:c r="E93" s="102" t="n">
        <x:v>-0.905037</x:v>
      </x:c>
      <x:c r="F93" s="102" t="n">
        <x:v>0.33019</x:v>
      </x:c>
      <x:c r="G93" s="102" t="n">
        <x:v>7.471644</x:v>
      </x:c>
      <x:c r="H93" s="99" t="n">
        <x:v>0.37572254</x:v>
      </x:c>
      <x:c r="I93" s="99" t="n">
        <x:v>0.55483871</x:v>
      </x:c>
      <x:c r="J93" s="99" t="n">
        <x:v>0.23036649</x:v>
      </x:c>
      <x:c r="K93" s="99" t="n">
        <x:v>0.32447222</x:v>
      </x:c>
      <x:c r="L93" s="99" t="n">
        <x:v>0.65</x:v>
      </x:c>
      <x:c r="M93" s="99" t="n">
        <x:v>0.6969696999999999</x:v>
      </x:c>
      <x:c r="N93" s="99" t="n">
        <x:v>0.41843972</x:v>
      </x:c>
      <x:c r="O93" s="99" t="n">
        <x:v>0.19318182</x:v>
      </x:c>
      <x:c r="P93" s="99" t="n">
        <x:v>0.05405405</x:v>
      </x:c>
      <x:c r="Q93" s="102" t="n">
        <x:v>-7.886696</x:v>
      </x:c>
      <x:c r="R93" s="102" t="n">
        <x:v>-6.524873</x:v>
      </x:c>
      <x:c r="S93" s="102" t="n">
        <x:v>-3.160464</x:v>
      </x:c>
      <x:c r="T93" s="102" t="n">
        <x:v>-1.722323</x:v>
      </x:c>
      <x:c r="U93" s="102" t="n">
        <x:v>-3.707867</x:v>
      </x:c>
      <x:c r="V93" s="102" t="n">
        <x:v>-10.308774</x:v>
      </x:c>
      <x:c r="W93" s="102" t="n">
        <x:v>2</x:v>
      </x:c>
      <x:c r="X93" s="102" t="n">
        <x:v>1.211337</x:v>
      </x:c>
      <x:c r="Y93" s="108" t="b">
        <x:v>0</x:v>
      </x:c>
    </x:row>
    <x:row r="94">
      <x:c r="A94" s="54" t="str">
        <x:v>에레디아</x:v>
      </x:c>
      <x:c r="B94" s="54" t="str">
        <x:v>SSG</x:v>
      </x:c>
      <x:c r="C94" s="54" t="n">
        <x:v>1376</x:v>
      </x:c>
      <x:c r="D94" s="102" t="n">
        <x:v>12.151973</x:v>
      </x:c>
      <x:c r="E94" s="102" t="n">
        <x:v>5.959846</x:v>
      </x:c>
      <x:c r="F94" s="102" t="n">
        <x:v>0.9842799999999999</x:v>
      </x:c>
      <x:c r="G94" s="102" t="n">
        <x:v>5.845645</x:v>
      </x:c>
      <x:c r="H94" s="99" t="n">
        <x:v>0.54796512</x:v>
      </x:c>
      <x:c r="I94" s="99" t="n">
        <x:v>0.81755594</x:v>
      </x:c>
      <x:c r="J94" s="99" t="n">
        <x:v>0.3509434</x:v>
      </x:c>
      <x:c r="K94" s="99" t="n">
        <x:v>0.46661254</x:v>
      </x:c>
      <x:c r="L94" s="99" t="n">
        <x:v>0.88552189</x:v>
      </x:c>
      <x:c r="M94" s="99" t="n">
        <x:v>0.86315789</x:v>
      </x:c>
      <x:c r="N94" s="99" t="n">
        <x:v>0.66541353</x:v>
      </x:c>
      <x:c r="O94" s="99" t="n">
        <x:v>0.33048433000000005</x:v>
      </x:c>
      <x:c r="P94" s="99" t="n">
        <x:v>0.10714285999999999</x:v>
      </x:c>
      <x:c r="Q94" s="102" t="n">
        <x:v>9.955447</x:v>
      </x:c>
      <x:c r="R94" s="102" t="n">
        <x:v>10.368536</x:v>
      </x:c>
      <x:c r="S94" s="102" t="n">
        <x:v>9.654716</x:v>
      </x:c>
      <x:c r="T94" s="102" t="n">
        <x:v>4.680964</x:v>
      </x:c>
      <x:c r="U94" s="102" t="n">
        <x:v>6.691476</x:v>
      </x:c>
      <x:c r="V94" s="102" t="n">
        <x:v>11.867152</x:v>
      </x:c>
      <x:c r="W94" s="102" t="n">
        <x:v>1</x:v>
      </x:c>
      <x:c r="X94" s="102" t="n">
        <x:v>2.602873</x:v>
      </x:c>
      <x:c r="Y94" s="108" t="b">
        <x:v>0</x:v>
      </x:c>
    </x:row>
    <x:row r="95">
      <x:c r="A95" s="54" t="str">
        <x:v>여동욱</x:v>
      </x:c>
      <x:c r="B95" s="54" t="str">
        <x:v>KIW</x:v>
      </x:c>
      <x:c r="C95" s="54" t="n">
        <x:v>616</x:v>
      </x:c>
      <x:c r="D95" s="102" t="n">
        <x:v>-7.738317</x:v>
      </x:c>
      <x:c r="E95" s="102" t="n">
        <x:v>0.437783</x:v>
      </x:c>
      <x:c r="F95" s="102" t="n">
        <x:v>0.48741999999999996</x:v>
      </x:c>
      <x:c r="G95" s="102" t="n">
        <x:v>6.209473</x:v>
      </x:c>
      <x:c r="H95" s="99" t="n">
        <x:v>0.37662338</x:v>
      </x:c>
      <x:c r="I95" s="99" t="n">
        <x:v>0.55109489</x:v>
      </x:c>
      <x:c r="J95" s="99" t="n">
        <x:v>0.23684211000000002</x:v>
      </x:c>
      <x:c r="K95" s="99" t="n">
        <x:v>0.31425278</x:v>
      </x:c>
      <x:c r="L95" s="99" t="n">
        <x:v>0.61267606</x:v>
      </x:c>
      <x:c r="M95" s="99" t="n">
        <x:v>0.68292683</x:v>
      </x:c>
      <x:c r="N95" s="99" t="n">
        <x:v>0.45606695</x:v>
      </x:c>
      <x:c r="O95" s="99" t="n">
        <x:v>0.20382166000000002</x:v>
      </x:c>
      <x:c r="P95" s="99" t="n">
        <x:v>0.05128205</x:v>
      </x:c>
      <x:c r="Q95" s="102" t="n">
        <x:v>-9.909964</x:v>
      </x:c>
      <x:c r="R95" s="102" t="n">
        <x:v>-4.93141</x:v>
      </x:c>
      <x:c r="S95" s="102" t="n">
        <x:v>-8.993094</x:v>
      </x:c>
      <x:c r="T95" s="102" t="n">
        <x:v>-5.124841</x:v>
      </x:c>
      <x:c r="U95" s="102" t="n">
        <x:v>-2.989336</x:v>
      </x:c>
      <x:c r="V95" s="102" t="n">
        <x:v>-7.039266</x:v>
      </x:c>
      <x:c r="W95" s="102" t="n">
        <x:v>2</x:v>
      </x:c>
      <x:c r="X95" s="102" t="n">
        <x:v>1.430485</x:v>
      </x:c>
      <x:c r="Y95" s="108" t="b">
        <x:v>0</x:v>
      </x:c>
    </x:row>
    <x:row r="96">
      <x:c r="A96" s="54" t="str">
        <x:v>오명진</x:v>
      </x:c>
      <x:c r="B96" s="54" t="str">
        <x:v>DOO</x:v>
      </x:c>
      <x:c r="C96" s="54" t="n">
        <x:v>564</x:v>
      </x:c>
      <x:c r="D96" s="102" t="n">
        <x:v>0.325134</x:v>
      </x:c>
      <x:c r="E96" s="102" t="n">
        <x:v>5.607505</x:v>
      </x:c>
      <x:c r="F96" s="102" t="n">
        <x:v>0.97799</x:v>
      </x:c>
      <x:c r="G96" s="102" t="n">
        <x:v>7.959456</x:v>
      </x:c>
      <x:c r="H96" s="99" t="n">
        <x:v>0.47163120999999997</x:v>
      </x:c>
      <x:c r="I96" s="99" t="n">
        <x:v>0.7312253</x:v>
      </x:c>
      <x:c r="J96" s="99" t="n">
        <x:v>0.26045016</x:v>
      </x:c>
      <x:c r="K96" s="99" t="n">
        <x:v>0.47077514</x:v>
      </x:c>
      <x:c r="L96" s="99" t="n">
        <x:v>0.79699248</x:v>
      </x:c>
      <x:c r="M96" s="99" t="n">
        <x:v>0.88235294</x:v>
      </x:c>
      <x:c r="N96" s="99" t="n">
        <x:v>0.57264957</x:v>
      </x:c>
      <x:c r="O96" s="99" t="n">
        <x:v>0.16058394</x:v>
      </x:c>
      <x:c r="P96" s="99" t="n">
        <x:v>0.06666667</x:v>
      </x:c>
      <x:c r="Q96" s="102" t="n">
        <x:v>1.755032</x:v>
      </x:c>
      <x:c r="R96" s="102" t="n">
        <x:v>1.071018</x:v>
      </x:c>
      <x:c r="S96" s="102" t="n">
        <x:v>1.352853</x:v>
      </x:c>
      <x:c r="T96" s="102" t="n">
        <x:v>7.124782</x:v>
      </x:c>
      <x:c r="U96" s="102" t="n">
        <x:v>2.382589</x:v>
      </x:c>
      <x:c r="V96" s="102" t="n">
        <x:v>2.72017</x:v>
      </x:c>
      <x:c r="W96" s="102" t="n">
        <x:v>1</x:v>
      </x:c>
      <x:c r="X96" s="102" t="n">
        <x:v>0.94431</x:v>
      </x:c>
      <x:c r="Y96" s="108" t="b">
        <x:v>0</x:v>
      </x:c>
    </x:row>
    <x:row r="97">
      <x:c r="A97" s="54" t="str">
        <x:v>오선우</x:v>
      </x:c>
      <x:c r="B97" s="54" t="str">
        <x:v>KIA</x:v>
      </x:c>
      <x:c r="C97" s="54" t="n">
        <x:v>354</x:v>
      </x:c>
      <x:c r="D97" s="102" t="n">
        <x:v>2.225659</x:v>
      </x:c>
      <x:c r="E97" s="102" t="n">
        <x:v>1.601172</x:v>
      </x:c>
      <x:c r="F97" s="102" t="n">
        <x:v>0.7075499999999999</x:v>
      </x:c>
      <x:c r="G97" s="102" t="n">
        <x:v>7.040127</x:v>
      </x:c>
      <x:c r="H97" s="99" t="n">
        <x:v>0.45480226</x:v>
      </x:c>
      <x:c r="I97" s="99" t="n">
        <x:v>0.6993007</x:v>
      </x:c>
      <x:c r="J97" s="99" t="n">
        <x:v>0.28909953</x:v>
      </x:c>
      <x:c r="K97" s="99" t="n">
        <x:v>0.41020117</x:v>
      </x:c>
      <x:c r="L97" s="99" t="n">
        <x:v>0.7761194</x:v>
      </x:c>
      <x:c r="M97" s="99" t="n">
        <x:v>0.68421053</x:v>
      </x:c>
      <x:c r="N97" s="99" t="n">
        <x:v>0.59459459</x:v>
      </x:c>
      <x:c r="O97" s="99" t="n">
        <x:v>0.25925926</x:v>
      </x:c>
      <x:c r="P97" s="99" t="n">
        <x:v>0</x:v>
      </x:c>
      <x:c r="Q97" s="102" t="n">
        <x:v>3.482059</x:v>
      </x:c>
      <x:c r="R97" s="102" t="n">
        <x:v>1.113839</x:v>
      </x:c>
      <x:c r="S97" s="102" t="n">
        <x:v>5.531644</x:v>
      </x:c>
      <x:c r="T97" s="102" t="n">
        <x:v>-6.727693</x:v>
      </x:c>
      <x:c r="U97" s="102" t="n">
        <x:v>-7.254862</x:v>
      </x:c>
      <x:c r="V97" s="102" t="n">
        <x:v>6.386188</x:v>
      </x:c>
      <x:c r="W97" s="102" t="n">
        <x:v>1</x:v>
      </x:c>
      <x:c r="X97" s="102" t="n">
        <x:v>2.833911</x:v>
      </x:c>
      <x:c r="Y97" s="108" t="b">
        <x:v>0</x:v>
      </x:c>
    </x:row>
    <x:row r="98">
      <x:c r="A98" s="54" t="str">
        <x:v>오스틴</x:v>
      </x:c>
      <x:c r="B98" s="54" t="str">
        <x:v>LG</x:v>
      </x:c>
      <x:c r="C98" s="54" t="n">
        <x:v>2008</x:v>
      </x:c>
      <x:c r="D98" s="102" t="n">
        <x:v>-1.582284</x:v>
      </x:c>
      <x:c r="E98" s="102" t="n">
        <x:v>0.113112</x:v>
      </x:c>
      <x:c r="F98" s="102" t="n">
        <x:v>0.4434</x:v>
      </x:c>
      <x:c r="G98" s="102" t="n">
        <x:v>6.639294</x:v>
      </x:c>
      <x:c r="H98" s="99" t="n">
        <x:v>0.41782869</x:v>
      </x:c>
      <x:c r="I98" s="99" t="n">
        <x:v>0.62142857</x:v>
      </x:c>
      <x:c r="J98" s="99" t="n">
        <x:v>0.27140411</x:v>
      </x:c>
      <x:c r="K98" s="99" t="n">
        <x:v>0.35002446</x:v>
      </x:c>
      <x:c r="L98" s="99" t="n">
        <x:v>0.69976905</x:v>
      </x:c>
      <x:c r="M98" s="99" t="n">
        <x:v>0.6614173200000001</x:v>
      </x:c>
      <x:c r="N98" s="99" t="n">
        <x:v>0.49801324999999996</x:v>
      </x:c>
      <x:c r="O98" s="99" t="n">
        <x:v>0.27619048</x:v>
      </x:c>
      <x:c r="P98" s="99" t="n">
        <x:v>0.05084746</x:v>
      </x:c>
      <x:c r="Q98" s="102" t="n">
        <x:v>-2.477924</x:v>
      </x:c>
      <x:c r="R98" s="102" t="n">
        <x:v>-1.703913</x:v>
      </x:c>
      <x:c r="S98" s="102" t="n">
        <x:v>0.224006</x:v>
      </x:c>
      <x:c r="T98" s="102" t="n">
        <x:v>-6.792654</x:v>
      </x:c>
      <x:c r="U98" s="102" t="n">
        <x:v>-3.273546</x:v>
      </x:c>
      <x:c r="V98" s="102" t="n">
        <x:v>-2.725385</x:v>
      </x:c>
      <x:c r="W98" s="102" t="n">
        <x:v>2</x:v>
      </x:c>
      <x:c r="X98" s="102" t="n">
        <x:v>1.156094</x:v>
      </x:c>
      <x:c r="Y98" s="108" t="b">
        <x:v>0</x:v>
      </x:c>
    </x:row>
    <x:row r="99">
      <x:c r="A99" s="54" t="str">
        <x:v>오윤석</x:v>
      </x:c>
      <x:c r="B99" s="54" t="str">
        <x:v>KT</x:v>
      </x:c>
      <x:c r="C99" s="54" t="n">
        <x:v>691</x:v>
      </x:c>
      <x:c r="D99" s="102" t="n">
        <x:v>-1.097565</x:v>
      </x:c>
      <x:c r="E99" s="102" t="n">
        <x:v>1.267367</x:v>
      </x:c>
      <x:c r="F99" s="102" t="n">
        <x:v>0.65094</x:v>
      </x:c>
      <x:c r="G99" s="102" t="n">
        <x:v>6.754086</x:v>
      </x:c>
      <x:c r="H99" s="99" t="n">
        <x:v>0.43560057999999996</x:v>
      </x:c>
      <x:c r="I99" s="99" t="n">
        <x:v>0.6433333299999999</x:v>
      </x:c>
      <x:c r="J99" s="99" t="n">
        <x:v>0.27621483</x:v>
      </x:c>
      <x:c r="K99" s="99" t="n">
        <x:v>0.36711849999999996</x:v>
      </x:c>
      <x:c r="L99" s="99" t="n">
        <x:v>0.65517241</x:v>
      </x:c>
      <x:c r="M99" s="99" t="n">
        <x:v>0.62162162</x:v>
      </x:c>
      <x:c r="N99" s="99" t="n">
        <x:v>0.51803279</x:v>
      </x:c>
      <x:c r="O99" s="99" t="n">
        <x:v>0.23563218</x:v>
      </x:c>
      <x:c r="P99" s="99" t="n">
        <x:v>0.10447761</x:v>
      </x:c>
      <x:c r="Q99" s="102" t="n">
        <x:v>-1.704789</x:v>
      </x:c>
      <x:c r="R99" s="102" t="n">
        <x:v>-0.409768</x:v>
      </x:c>
      <x:c r="S99" s="102" t="n">
        <x:v>-6.040968</x:v>
      </x:c>
      <x:c r="T99" s="102" t="n">
        <x:v>-12.489854</x:v>
      </x:c>
      <x:c r="U99" s="102" t="n">
        <x:v>2.945375</x:v>
      </x:c>
      <x:c r="V99" s="102" t="n">
        <x:v>-1.147386</x:v>
      </x:c>
      <x:c r="W99" s="102" t="n">
        <x:v>2</x:v>
      </x:c>
      <x:c r="X99" s="102" t="n">
        <x:v>2.091497</x:v>
      </x:c>
      <x:c r="Y99" s="108" t="b">
        <x:v>0</x:v>
      </x:c>
    </x:row>
    <x:row r="100">
      <x:c r="A100" s="54" t="str">
        <x:v>오재원</x:v>
      </x:c>
      <x:c r="B100" s="54" t="str">
        <x:v>HAN</x:v>
      </x:c>
      <x:c r="C100" s="54" t="n">
        <x:v>623</x:v>
      </x:c>
      <x:c r="D100" s="102" t="n">
        <x:v>-0.084911</x:v>
      </x:c>
      <x:c r="E100" s="102" t="n">
        <x:v>0.66108</x:v>
      </x:c>
      <x:c r="F100" s="102" t="n">
        <x:v>0.52516</x:v>
      </x:c>
      <x:c r="G100" s="102" t="n">
        <x:v>5.93482</x:v>
      </x:c>
      <x:c r="H100" s="99" t="n">
        <x:v>0.42857143000000003</x:v>
      </x:c>
      <x:c r="I100" s="99" t="n">
        <x:v>0.62765957</x:v>
      </x:c>
      <x:c r="J100" s="99" t="n">
        <x:v>0.26392962000000003</x:v>
      </x:c>
      <x:c r="K100" s="99" t="n">
        <x:v>0.36372995</x:v>
      </x:c>
      <x:c r="L100" s="99" t="n">
        <x:v>0.6754966899999999</x:v>
      </x:c>
      <x:c r="M100" s="99" t="n">
        <x:v>0.61290323</x:v>
      </x:c>
      <x:c r="N100" s="99" t="n">
        <x:v>0.47908745</x:v>
      </x:c>
      <x:c r="O100" s="99" t="n">
        <x:v>0.2027972</x:v>
      </x:c>
      <x:c r="P100" s="99" t="n">
        <x:v>0.15151515</x:v>
      </x:c>
      <x:c r="Q100" s="102" t="n">
        <x:v>-2.527689</x:v>
      </x:c>
      <x:c r="R100" s="102" t="n">
        <x:v>-2.065366</x:v>
      </x:c>
      <x:c r="S100" s="102" t="n">
        <x:v>-3.060278</x:v>
      </x:c>
      <x:c r="T100" s="102" t="n">
        <x:v>-12.459486</x:v>
      </x:c>
      <x:c r="U100" s="102" t="n">
        <x:v>7.199554</x:v>
      </x:c>
      <x:c r="V100" s="102" t="n">
        <x:v>-4.819232</x:v>
      </x:c>
      <x:c r="W100" s="102" t="n">
        <x:v>2</x:v>
      </x:c>
      <x:c r="X100" s="102" t="n">
        <x:v>2.755094</x:v>
      </x:c>
      <x:c r="Y100" s="108" t="b">
        <x:v>0</x:v>
      </x:c>
    </x:row>
    <x:row r="101">
      <x:c r="A101" s="54" t="str">
        <x:v>오지환</x:v>
      </x:c>
      <x:c r="B101" s="54" t="str">
        <x:v>LG</x:v>
      </x:c>
      <x:c r="C101" s="54" t="n">
        <x:v>1521</x:v>
      </x:c>
      <x:c r="D101" s="102" t="n">
        <x:v>0.213639</x:v>
      </x:c>
      <x:c r="E101" s="102" t="n">
        <x:v>2.272851</x:v>
      </x:c>
      <x:c r="F101" s="102" t="n">
        <x:v>0.7326999999999999</x:v>
      </x:c>
      <x:c r="G101" s="102" t="n">
        <x:v>6.493371</x:v>
      </x:c>
      <x:c r="H101" s="99" t="n">
        <x:v>0.4365549</x:v>
      </x:c>
      <x:c r="I101" s="99" t="n">
        <x:v>0.66812865</x:v>
      </x:c>
      <x:c r="J101" s="99" t="n">
        <x:v>0.24731183</x:v>
      </x:c>
      <x:c r="K101" s="99" t="n">
        <x:v>0.42081682</x:v>
      </x:c>
      <x:c r="L101" s="99" t="n">
        <x:v>0.73988439</x:v>
      </x:c>
      <x:c r="M101" s="99" t="n">
        <x:v>0.79207921</x:v>
      </x:c>
      <x:c r="N101" s="99" t="n">
        <x:v>0.53514377</x:v>
      </x:c>
      <x:c r="O101" s="99" t="n">
        <x:v>0.1810585</x:v>
      </x:c>
      <x:c r="P101" s="99" t="n">
        <x:v>0.04210526</x:v>
      </x:c>
      <x:c r="Q101" s="102" t="n">
        <x:v>-0.459919</x:v>
      </x:c>
      <x:c r="R101" s="102" t="n">
        <x:v>-2.591791</x:v>
      </x:c>
      <x:c r="S101" s="102" t="n">
        <x:v>0.857604</x:v>
      </x:c>
      <x:c r="T101" s="102" t="n">
        <x:v>3.059659</x:v>
      </x:c>
      <x:c r="U101" s="102" t="n">
        <x:v>-2.546272</x:v>
      </x:c>
      <x:c r="V101" s="102" t="n">
        <x:v>0.1944</x:v>
      </x:c>
      <x:c r="W101" s="102" t="n">
        <x:v>2</x:v>
      </x:c>
      <x:c r="X101" s="102" t="n">
        <x:v>1.720277</x:v>
      </x:c>
      <x:c r="Y101" s="108" t="b">
        <x:v>0</x:v>
      </x:c>
    </x:row>
    <x:row r="102">
      <x:c r="A102" s="54" t="str">
        <x:v>오태곤</x:v>
      </x:c>
      <x:c r="B102" s="54" t="str">
        <x:v>SSG</x:v>
      </x:c>
      <x:c r="C102" s="54" t="n">
        <x:v>990</x:v>
      </x:c>
      <x:c r="D102" s="102" t="n">
        <x:v>3.636255</x:v>
      </x:c>
      <x:c r="E102" s="102" t="n">
        <x:v>1.106477</x:v>
      </x:c>
      <x:c r="F102" s="102" t="n">
        <x:v>0.6195</x:v>
      </x:c>
      <x:c r="G102" s="102" t="n">
        <x:v>5.798349</x:v>
      </x:c>
      <x:c r="H102" s="99" t="n">
        <x:v>0.50505051</x:v>
      </x:c>
      <x:c r="I102" s="99" t="n">
        <x:v>0.7082405300000001</x:v>
      </x:c>
      <x:c r="J102" s="99" t="n">
        <x:v>0.33641404999999996</x:v>
      </x:c>
      <x:c r="K102" s="99" t="n">
        <x:v>0.37182648</x:v>
      </x:c>
      <x:c r="L102" s="99" t="n">
        <x:v>0.7460317499999999</x:v>
      </x:c>
      <x:c r="M102" s="99" t="n">
        <x:v>0.75641026</x:v>
      </x:c>
      <x:c r="N102" s="99" t="n">
        <x:v>0.5725</x:v>
      </x:c>
      <x:c r="O102" s="99" t="n">
        <x:v>0.32599119000000004</x:v>
      </x:c>
      <x:c r="P102" s="99" t="n">
        <x:v>0.08108108</x:v>
      </x:c>
      <x:c r="Q102" s="102" t="n">
        <x:v>4.983492</x:v>
      </x:c>
      <x:c r="R102" s="102" t="n">
        <x:v>5.496821</x:v>
      </x:c>
      <x:c r="S102" s="102" t="n">
        <x:v>3.296605</x:v>
      </x:c>
      <x:c r="T102" s="102" t="n">
        <x:v>1.228428</x:v>
      </x:c>
      <x:c r="U102" s="102" t="n">
        <x:v>0.486418</x:v>
      </x:c>
      <x:c r="V102" s="102" t="n">
        <x:v>4.35843</x:v>
      </x:c>
      <x:c r="W102" s="102" t="n">
        <x:v>1</x:v>
      </x:c>
      <x:c r="X102" s="102" t="n">
        <x:v>0.607722</x:v>
      </x:c>
      <x:c r="Y102" s="108" t="b">
        <x:v>0</x:v>
      </x:c>
    </x:row>
    <x:row r="103">
      <x:c r="A103" s="54" t="str">
        <x:v>유강남</x:v>
      </x:c>
      <x:c r="B103" s="54" t="str">
        <x:v>LOT</x:v>
      </x:c>
      <x:c r="C103" s="54" t="n">
        <x:v>447</x:v>
      </x:c>
      <x:c r="D103" s="102" t="n">
        <x:v>1.093605</x:v>
      </x:c>
      <x:c r="E103" s="102" t="n">
        <x:v>-2.913469</x:v>
      </x:c>
      <x:c r="F103" s="102" t="n">
        <x:v>0.10377</x:v>
      </x:c>
      <x:c r="G103" s="102" t="n">
        <x:v>5.03298</x:v>
      </x:c>
      <x:c r="H103" s="99" t="n">
        <x:v>0.46308725</x:v>
      </x:c>
      <x:c r="I103" s="99" t="n">
        <x:v>0.6105769200000001</x:v>
      </x:c>
      <x:c r="J103" s="99" t="n">
        <x:v>0.33472803</x:v>
      </x:c>
      <x:c r="K103" s="99" t="n">
        <x:v>0.27584889</x:v>
      </x:c>
      <x:c r="L103" s="99" t="n">
        <x:v>0.62393162</x:v>
      </x:c>
      <x:c r="M103" s="99" t="n">
        <x:v>0.67647059</x:v>
      </x:c>
      <x:c r="N103" s="99" t="n">
        <x:v>0.5739645</x:v>
      </x:c>
      <x:c r="O103" s="99" t="n">
        <x:v>0.29090909</x:v>
      </x:c>
      <x:c r="P103" s="99" t="n">
        <x:v>0.09803922</x:v>
      </x:c>
      <x:c r="Q103" s="102" t="n">
        <x:v>0.153334</x:v>
      </x:c>
      <x:c r="R103" s="102" t="n">
        <x:v>2.496513</x:v>
      </x:c>
      <x:c r="S103" s="102" t="n">
        <x:v>-2.626018</x:v>
      </x:c>
      <x:c r="T103" s="102" t="n">
        <x:v>-0.783516</x:v>
      </x:c>
      <x:c r="U103" s="102" t="n">
        <x:v>-0.798646</x:v>
      </x:c>
      <x:c r="V103" s="102" t="n">
        <x:v>5.981396</x:v>
      </x:c>
      <x:c r="W103" s="102" t="n">
        <x:v>1</x:v>
      </x:c>
      <x:c r="X103" s="102" t="n">
        <x:v>1.641149</x:v>
      </x:c>
      <x:c r="Y103" s="108" t="b">
        <x:v>0</x:v>
      </x:c>
    </x:row>
    <x:row r="104">
      <x:c r="A104" s="54" t="str">
        <x:v>윤도현</x:v>
      </x:c>
      <x:c r="B104" s="54" t="str">
        <x:v>KIA</x:v>
      </x:c>
      <x:c r="C104" s="54" t="n">
        <x:v>304</x:v>
      </x:c>
      <x:c r="D104" s="102" t="n">
        <x:v>12.632098</x:v>
      </x:c>
      <x:c r="E104" s="102" t="n">
        <x:v>-1.958669</x:v>
      </x:c>
      <x:c r="F104" s="102" t="n">
        <x:v>0.22327000000000002</x:v>
      </x:c>
      <x:c r="G104" s="102" t="n">
        <x:v>4.588863</x:v>
      </x:c>
      <x:c r="H104" s="99" t="n">
        <x:v>0.59210526</x:v>
      </x:c>
      <x:c r="I104" s="99" t="n">
        <x:v>0.75362319</x:v>
      </x:c>
      <x:c r="J104" s="99" t="n">
        <x:v>0.45783133</x:v>
      </x:c>
      <x:c r="K104" s="99" t="n">
        <x:v>0.29579186</x:v>
      </x:c>
      <x:c r="L104" s="99" t="n">
        <x:v>0.76056338</x:v>
      </x:c>
      <x:c r="M104" s="99" t="n">
        <x:v>0.8095238100000001</x:v>
      </x:c>
      <x:c r="N104" s="99" t="n">
        <x:v>0.696</x:v>
      </x:c>
      <x:c r="O104" s="99" t="n">
        <x:v>0.45762712</x:v>
      </x:c>
      <x:c r="P104" s="99" t="n">
        <x:v>0.24489795999999997</x:v>
      </x:c>
      <x:c r="Q104" s="102" t="n">
        <x:v>13.285536</x:v>
      </x:c>
      <x:c r="R104" s="102" t="n">
        <x:v>15.479418</x:v>
      </x:c>
      <x:c r="S104" s="102" t="n">
        <x:v>9.543805</x:v>
      </x:c>
      <x:c r="T104" s="102" t="n">
        <x:v>11.100982</x:v>
      </x:c>
      <x:c r="U104" s="102" t="n">
        <x:v>14.595233</x:v>
      </x:c>
      <x:c r="V104" s="102" t="n">
        <x:v>17.834251</x:v>
      </x:c>
      <x:c r="W104" s="102" t="n">
        <x:v>1</x:v>
      </x:c>
      <x:c r="X104" s="102" t="n">
        <x:v>4.956019</x:v>
      </x:c>
      <x:c r="Y104" s="108" t="b">
        <x:v>1</x:v>
      </x:c>
    </x:row>
    <x:row r="105">
      <x:c r="A105" s="54" t="str">
        <x:v>윤동희</x:v>
      </x:c>
      <x:c r="B105" s="54" t="str">
        <x:v>LOT</x:v>
      </x:c>
      <x:c r="C105" s="54" t="n">
        <x:v>1136</x:v>
      </x:c>
      <x:c r="D105" s="102" t="n">
        <x:v>-5.045695</x:v>
      </x:c>
      <x:c r="E105" s="102" t="n">
        <x:v>3.517914</x:v>
      </x:c>
      <x:c r="F105" s="102" t="n">
        <x:v>0.8584900000000001</x:v>
      </x:c>
      <x:c r="G105" s="102" t="n">
        <x:v>6.370871</x:v>
      </x:c>
      <x:c r="H105" s="99" t="n">
        <x:v>0.4278169</x:v>
      </x:c>
      <x:c r="I105" s="99" t="n">
        <x:v>0.6435272000000001</x:v>
      </x:c>
      <x:c r="J105" s="99" t="n">
        <x:v>0.2371476</x:v>
      </x:c>
      <x:c r="K105" s="99" t="n">
        <x:v>0.4063796</x:v>
      </x:c>
      <x:c r="L105" s="99" t="n">
        <x:v>0.70242215</x:v>
      </x:c>
      <x:c r="M105" s="99" t="n">
        <x:v>0.6962025300000001</x:v>
      </x:c>
      <x:c r="N105" s="99" t="n">
        <x:v>0.5045044999999999</x:v>
      </x:c>
      <x:c r="O105" s="99" t="n">
        <x:v>0.17793594</x:v>
      </x:c>
      <x:c r="P105" s="99" t="n">
        <x:v>0.07377049000000001</x:v>
      </x:c>
      <x:c r="Q105" s="102" t="n">
        <x:v>-4.448911</x:v>
      </x:c>
      <x:c r="R105" s="102" t="n">
        <x:v>-2.731174</x:v>
      </x:c>
      <x:c r="S105" s="102" t="n">
        <x:v>-4.835959</x:v>
      </x:c>
      <x:c r="T105" s="102" t="n">
        <x:v>-8.380769</x:v>
      </x:c>
      <x:c r="U105" s="102" t="n">
        <x:v>1.543493</x:v>
      </x:c>
      <x:c r="V105" s="102" t="n">
        <x:v>-3.326836</x:v>
      </x:c>
      <x:c r="W105" s="102" t="n">
        <x:v>2</x:v>
      </x:c>
      <x:c r="X105" s="102" t="n">
        <x:v>1.214</x:v>
      </x:c>
      <x:c r="Y105" s="108" t="b">
        <x:v>0</x:v>
      </x:c>
    </x:row>
    <x:row r="106">
      <x:c r="A106" s="54" t="str">
        <x:v>윤준호</x:v>
      </x:c>
      <x:c r="B106" s="54" t="str">
        <x:v>DOO</x:v>
      </x:c>
      <x:c r="C106" s="54" t="n">
        <x:v>736</x:v>
      </x:c>
      <x:c r="D106" s="102" t="n">
        <x:v>0.562151</x:v>
      </x:c>
      <x:c r="E106" s="102" t="n">
        <x:v>-3.918072</x:v>
      </x:c>
      <x:c r="F106" s="102" t="n">
        <x:v>0.04717</x:v>
      </x:c>
      <x:c r="G106" s="102" t="n">
        <x:v>5.433571</x:v>
      </x:c>
      <x:c r="H106" s="99" t="n">
        <x:v>0.47146739</x:v>
      </x:c>
      <x:c r="I106" s="99" t="n">
        <x:v>0.64307692</x:v>
      </x:c>
      <x:c r="J106" s="99" t="n">
        <x:v>0.33576642</x:v>
      </x:c>
      <x:c r="K106" s="99" t="n">
        <x:v>0.3073105</x:v>
      </x:c>
      <x:c r="L106" s="99" t="n">
        <x:v>0.69832402</x:v>
      </x:c>
      <x:c r="M106" s="99" t="n">
        <x:v>0.84210526</x:v>
      </x:c>
      <x:c r="N106" s="99" t="n">
        <x:v>0.53401361</x:v>
      </x:c>
      <x:c r="O106" s="99" t="n">
        <x:v>0.32022472</x:v>
      </x:c>
      <x:c r="P106" s="99" t="n">
        <x:v>0.09411765000000001</x:v>
      </x:c>
      <x:c r="Q106" s="102" t="n">
        <x:v>4.636914</x:v>
      </x:c>
      <x:c r="R106" s="102" t="n">
        <x:v>1.892696</x:v>
      </x:c>
      <x:c r="S106" s="102" t="n">
        <x:v>6.38447</x:v>
      </x:c>
      <x:c r="T106" s="102" t="n">
        <x:v>17.274886</x:v>
      </x:c>
      <x:c r="U106" s="102" t="n">
        <x:v>-1.935738</x:v>
      </x:c>
      <x:c r="V106" s="102" t="n">
        <x:v>2.355296</x:v>
      </x:c>
      <x:c r="W106" s="102" t="n">
        <x:v>1</x:v>
      </x:c>
      <x:c r="X106" s="102" t="n">
        <x:v>2.293057</x:v>
      </x:c>
      <x:c r="Y106" s="108" t="b">
        <x:v>0</x:v>
      </x:c>
    </x:row>
    <x:row r="107">
      <x:c r="A107" s="54" t="str">
        <x:v>이강민</x:v>
      </x:c>
      <x:c r="B107" s="54" t="str">
        <x:v>KT</x:v>
      </x:c>
      <x:c r="C107" s="54" t="n">
        <x:v>616</x:v>
      </x:c>
      <x:c r="D107" s="102" t="n">
        <x:v>4.330042</x:v>
      </x:c>
      <x:c r="E107" s="102" t="n">
        <x:v>-1.129851</x:v>
      </x:c>
      <x:c r="F107" s="102" t="n">
        <x:v>0.31761</x:v>
      </x:c>
      <x:c r="G107" s="102" t="n">
        <x:v>6.240099</x:v>
      </x:c>
      <x:c r="H107" s="99" t="n">
        <x:v>0.5</x:v>
      </x:c>
      <x:c r="I107" s="99" t="n">
        <x:v>0.6860068300000001</x:v>
      </x:c>
      <x:c r="J107" s="99" t="n">
        <x:v>0.33126935</x:v>
      </x:c>
      <x:c r="K107" s="99" t="n">
        <x:v>0.35473748</x:v>
      </x:c>
      <x:c r="L107" s="99" t="n">
        <x:v>0.69005848</x:v>
      </x:c>
      <x:c r="M107" s="99" t="n">
        <x:v>0.63461538</x:v>
      </x:c>
      <x:c r="N107" s="99" t="n">
        <x:v>0.6096491199999999</x:v>
      </x:c>
      <x:c r="O107" s="99" t="n">
        <x:v>0.31451613</x:v>
      </x:c>
      <x:c r="P107" s="99" t="n">
        <x:v>0.12903226</x:v>
      </x:c>
      <x:c r="Q107" s="102" t="n">
        <x:v>5.506171</x:v>
      </x:c>
      <x:c r="R107" s="102" t="n">
        <x:v>3.407051</x:v>
      </x:c>
      <x:c r="S107" s="102" t="n">
        <x:v>1.197004</x:v>
      </x:c>
      <x:c r="T107" s="102" t="n">
        <x:v>-7.623213</x:v>
      </x:c>
      <x:c r="U107" s="102" t="n">
        <x:v>3.62325</x:v>
      </x:c>
      <x:c r="V107" s="102" t="n">
        <x:v>8.89474</x:v>
      </x:c>
      <x:c r="W107" s="102" t="n">
        <x:v>1</x:v>
      </x:c>
      <x:c r="X107" s="102" t="n">
        <x:v>1.823322</x:v>
      </x:c>
      <x:c r="Y107" s="108" t="b">
        <x:v>0</x:v>
      </x:c>
    </x:row>
    <x:row r="108">
      <x:c r="A108" s="54" t="str">
        <x:v>이도윤</x:v>
      </x:c>
      <x:c r="B108" s="54" t="str">
        <x:v>HAN</x:v>
      </x:c>
      <x:c r="C108" s="54" t="n">
        <x:v>1285</x:v>
      </x:c>
      <x:c r="D108" s="102" t="n">
        <x:v>2.278004</x:v>
      </x:c>
      <x:c r="E108" s="102" t="n">
        <x:v>-2.429326</x:v>
      </x:c>
      <x:c r="F108" s="102" t="n">
        <x:v>0.17296</x:v>
      </x:c>
      <x:c r="G108" s="102" t="n">
        <x:v>5.258705</x:v>
      </x:c>
      <x:c r="H108" s="99" t="n">
        <x:v>0.45758755</x:v>
      </x:c>
      <x:c r="I108" s="99" t="n">
        <x:v>0.6119403</x:v>
      </x:c>
      <x:c r="J108" s="99" t="n">
        <x:v>0.32111437000000004</x:v>
      </x:c>
      <x:c r="K108" s="99" t="n">
        <x:v>0.29082593</x:v>
      </x:c>
      <x:c r="L108" s="99" t="n">
        <x:v>0.66106443</x:v>
      </x:c>
      <x:c r="M108" s="99" t="n">
        <x:v>0.73333333</x:v>
      </x:c>
      <x:c r="N108" s="99" t="n">
        <x:v>0.52192067</x:v>
      </x:c>
      <x:c r="O108" s="99" t="n">
        <x:v>0.30033003</x:v>
      </x:c>
      <x:c r="P108" s="99" t="n">
        <x:v>0.07534247</x:v>
      </x:c>
      <x:c r="Q108" s="102" t="n">
        <x:v>-0.304821</x:v>
      </x:c>
      <x:c r="R108" s="102" t="n">
        <x:v>1.476184</x:v>
      </x:c>
      <x:c r="S108" s="102" t="n">
        <x:v>0.33004</x:v>
      </x:c>
      <x:c r="T108" s="102" t="n">
        <x:v>4.182312</x:v>
      </x:c>
      <x:c r="U108" s="102" t="n">
        <x:v>-2.709318</x:v>
      </x:c>
      <x:c r="V108" s="102" t="n">
        <x:v>0.599189</x:v>
      </x:c>
      <x:c r="W108" s="102" t="n">
        <x:v>1</x:v>
      </x:c>
      <x:c r="X108" s="102" t="n">
        <x:v>1.672538</x:v>
      </x:c>
      <x:c r="Y108" s="108" t="b">
        <x:v>0</x:v>
      </x:c>
    </x:row>
    <x:row r="109">
      <x:c r="A109" s="54" t="str">
        <x:v>이영빈</x:v>
      </x:c>
      <x:c r="B109" s="54" t="str">
        <x:v>LG</x:v>
      </x:c>
      <x:c r="C109" s="54" t="n">
        <x:v>351</x:v>
      </x:c>
      <x:c r="D109" s="102" t="n">
        <x:v>4.375883</x:v>
      </x:c>
      <x:c r="E109" s="102" t="n">
        <x:v>0.351182</x:v>
      </x:c>
      <x:c r="F109" s="102" t="n">
        <x:v>0.47484000000000004</x:v>
      </x:c>
      <x:c r="G109" s="102" t="n">
        <x:v>4.982071</x:v>
      </x:c>
      <x:c r="H109" s="99" t="n">
        <x:v>0.49857550000000006</x:v>
      </x:c>
      <x:c r="I109" s="99" t="n">
        <x:v>0.67073171</x:v>
      </x:c>
      <x:c r="J109" s="99" t="n">
        <x:v>0.34759358</x:v>
      </x:c>
      <x:c r="K109" s="99" t="n">
        <x:v>0.32313813</x:v>
      </x:c>
      <x:c r="L109" s="99" t="n">
        <x:v>0.7111111099999999</x:v>
      </x:c>
      <x:c r="M109" s="99" t="n">
        <x:v>0.75</x:v>
      </x:c>
      <x:c r="N109" s="99" t="n">
        <x:v>0.60283688</x:v>
      </x:c>
      <x:c r="O109" s="99" t="n">
        <x:v>0.31168831</x:v>
      </x:c>
      <x:c r="P109" s="99" t="n">
        <x:v>0.046511630000000005</x:v>
      </x:c>
      <x:c r="Q109" s="102" t="n">
        <x:v>2.160058</x:v>
      </x:c>
      <x:c r="R109" s="102" t="n">
        <x:v>6.082734</x:v>
      </x:c>
      <x:c r="S109" s="102" t="n">
        <x:v>0.985859</x:v>
      </x:c>
      <x:c r="T109" s="102" t="n">
        <x:v>1.711346</x:v>
      </x:c>
      <x:c r="U109" s="102" t="n">
        <x:v>-3.530594</x:v>
      </x:c>
      <x:c r="V109" s="102" t="n">
        <x:v>7.669536</x:v>
      </x:c>
      <x:c r="W109" s="102" t="n">
        <x:v>1</x:v>
      </x:c>
      <x:c r="X109" s="102" t="n">
        <x:v>1.65456</x:v>
      </x:c>
      <x:c r="Y109" s="108" t="b">
        <x:v>0</x:v>
      </x:c>
    </x:row>
    <x:row r="110">
      <x:c r="A110" s="54" t="str">
        <x:v>이우성</x:v>
      </x:c>
      <x:c r="B110" s="54" t="str">
        <x:v>NC</x:v>
      </x:c>
      <x:c r="C110" s="54" t="n">
        <x:v>1452</x:v>
      </x:c>
      <x:c r="D110" s="102" t="n">
        <x:v>-3.190727</x:v>
      </x:c>
      <x:c r="E110" s="102" t="n">
        <x:v>-0.888501</x:v>
      </x:c>
      <x:c r="F110" s="102" t="n">
        <x:v>0.33648000000000006</x:v>
      </x:c>
      <x:c r="G110" s="102" t="n">
        <x:v>5.104999</x:v>
      </x:c>
      <x:c r="H110" s="99" t="n">
        <x:v>0.43663912000000005</x:v>
      </x:c>
      <x:c r="I110" s="99" t="n">
        <x:v>0.6047197599999999</x:v>
      </x:c>
      <x:c r="J110" s="99" t="n">
        <x:v>0.28940568</x:v>
      </x:c>
      <x:c r="K110" s="99" t="n">
        <x:v>0.31531408</x:v>
      </x:c>
      <x:c r="L110" s="99" t="n">
        <x:v>0.63227513</x:v>
      </x:c>
      <x:c r="M110" s="99" t="n">
        <x:v>0.6788990800000001</x:v>
      </x:c>
      <x:c r="N110" s="99" t="n">
        <x:v>0.50774527</x:v>
      </x:c>
      <x:c r="O110" s="99" t="n">
        <x:v>0.25714286000000003</x:v>
      </x:c>
      <x:c r="P110" s="99" t="n">
        <x:v>0.06993007000000001</x:v>
      </x:c>
      <x:c r="Q110" s="102" t="n">
        <x:v>-2.918896</x:v>
      </x:c>
      <x:c r="R110" s="102" t="n">
        <x:v>-0.609306</x:v>
      </x:c>
      <x:c r="S110" s="102" t="n">
        <x:v>-4.958814</x:v>
      </x:c>
      <x:c r="T110" s="102" t="n">
        <x:v>-3.553992</x:v>
      </x:c>
      <x:c r="U110" s="102" t="n">
        <x:v>-2.108003</x:v>
      </x:c>
      <x:c r="V110" s="102" t="n">
        <x:v>-1.384293</x:v>
      </x:c>
      <x:c r="W110" s="102" t="n">
        <x:v>2</x:v>
      </x:c>
      <x:c r="X110" s="102" t="n">
        <x:v>0.910563</x:v>
      </x:c>
      <x:c r="Y110" s="108" t="b">
        <x:v>0</x:v>
      </x:c>
    </x:row>
    <x:row r="111">
      <x:c r="A111" s="54" t="str">
        <x:v>이원석</x:v>
      </x:c>
      <x:c r="B111" s="54" t="str">
        <x:v>HAN</x:v>
      </x:c>
      <x:c r="C111" s="54" t="n">
        <x:v>828</x:v>
      </x:c>
      <x:c r="D111" s="102" t="n">
        <x:v>0.122345</x:v>
      </x:c>
      <x:c r="E111" s="102" t="n">
        <x:v>4.20889</x:v>
      </x:c>
      <x:c r="F111" s="102" t="n">
        <x:v>0.93396</x:v>
      </x:c>
      <x:c r="G111" s="102" t="n">
        <x:v>7.402451</x:v>
      </x:c>
      <x:c r="H111" s="99" t="n">
        <x:v>0.45772947</x:v>
      </x:c>
      <x:c r="I111" s="99" t="n">
        <x:v>0.6982097199999999</x:v>
      </x:c>
      <x:c r="J111" s="99" t="n">
        <x:v>0.24256292999999998</x:v>
      </x:c>
      <x:c r="K111" s="99" t="n">
        <x:v>0.45564678999999997</x:v>
      </x:c>
      <x:c r="L111" s="99" t="n">
        <x:v>0.8</x:v>
      </x:c>
      <x:c r="M111" s="99" t="n">
        <x:v>0.83333333</x:v>
      </x:c>
      <x:c r="N111" s="99" t="n">
        <x:v>0.5128205100000001</x:v>
      </x:c>
      <x:c r="O111" s="99" t="n">
        <x:v>0.19689119000000002</x:v>
      </x:c>
      <x:c r="P111" s="99" t="n">
        <x:v>0.04854369</x:v>
      </x:c>
      <x:c r="Q111" s="102" t="n">
        <x:v>0.170872</x:v>
      </x:c>
      <x:c r="R111" s="102" t="n">
        <x:v>-1.702908</x:v>
      </x:c>
      <x:c r="S111" s="102" t="n">
        <x:v>3.841107</x:v>
      </x:c>
      <x:c r="T111" s="102" t="n">
        <x:v>4.30408</x:v>
      </x:c>
      <x:c r="U111" s="102" t="n">
        <x:v>-0.466813</x:v>
      </x:c>
      <x:c r="V111" s="102" t="n">
        <x:v>-2.749028</x:v>
      </x:c>
      <x:c r="W111" s="102" t="n">
        <x:v>1</x:v>
      </x:c>
      <x:c r="X111" s="102" t="n">
        <x:v>1.695759</x:v>
      </x:c>
      <x:c r="Y111" s="108" t="b">
        <x:v>0</x:v>
      </x:c>
    </x:row>
    <x:row r="112">
      <x:c r="A112" s="54" t="str">
        <x:v>이유찬</x:v>
      </x:c>
      <x:c r="B112" s="54" t="str">
        <x:v>DOO</x:v>
      </x:c>
      <x:c r="C112" s="54" t="n">
        <x:v>502</x:v>
      </x:c>
      <x:c r="D112" s="102" t="n">
        <x:v>-0.223571</x:v>
      </x:c>
      <x:c r="E112" s="102" t="n">
        <x:v>-1.672822</x:v>
      </x:c>
      <x:c r="F112" s="102" t="n">
        <x:v>0.27358</x:v>
      </x:c>
      <x:c r="G112" s="102" t="n">
        <x:v>5.807938</x:v>
      </x:c>
      <x:c r="H112" s="99" t="n">
        <x:v>0.45816733</x:v>
      </x:c>
      <x:c r="I112" s="99" t="n">
        <x:v>0.6517857100000001</x:v>
      </x:c>
      <x:c r="J112" s="99" t="n">
        <x:v>0.30215827</x:v>
      </x:c>
      <x:c r="K112" s="99" t="n">
        <x:v>0.34962744</x:v>
      </x:c>
      <x:c r="L112" s="99" t="n">
        <x:v>0.68644068</x:v>
      </x:c>
      <x:c r="M112" s="99" t="n">
        <x:v>0.75</x:v>
      </x:c>
      <x:c r="N112" s="99" t="n">
        <x:v>0.51269036</x:v>
      </x:c>
      <x:c r="O112" s="99" t="n">
        <x:v>0.312</x:v>
      </x:c>
      <x:c r="P112" s="99" t="n">
        <x:v>0.14516129</x:v>
      </x:c>
      <x:c r="Q112" s="102" t="n">
        <x:v>2.750788</x:v>
      </x:c>
      <x:c r="R112" s="102" t="n">
        <x:v>0.113466</x:v>
      </x:c>
      <x:c r="S112" s="102" t="n">
        <x:v>1.684457</x:v>
      </x:c>
      <x:c r="T112" s="102" t="n">
        <x:v>4.723237</x:v>
      </x:c>
      <x:c r="U112" s="102" t="n">
        <x:v>4.833528</x:v>
      </x:c>
      <x:c r="V112" s="102" t="n">
        <x:v>-0.601704</x:v>
      </x:c>
      <x:c r="W112" s="102" t="n">
        <x:v>1</x:v>
      </x:c>
      <x:c r="X112" s="102" t="n">
        <x:v>1.312114</x:v>
      </x:c>
      <x:c r="Y112" s="108" t="b">
        <x:v>0</x:v>
      </x:c>
    </x:row>
    <x:row r="113">
      <x:c r="A113" s="54" t="str">
        <x:v>이재원</x:v>
      </x:c>
      <x:c r="B113" s="54" t="str">
        <x:v>LG</x:v>
      </x:c>
      <x:c r="C113" s="54" t="n">
        <x:v>404</x:v>
      </x:c>
      <x:c r="D113" s="102" t="n">
        <x:v>2.831271</x:v>
      </x:c>
      <x:c r="E113" s="102" t="n">
        <x:v>4.730493</x:v>
      </x:c>
      <x:c r="F113" s="102" t="n">
        <x:v>0.9528300000000001</x:v>
      </x:c>
      <x:c r="G113" s="102" t="n">
        <x:v>6.945638</x:v>
      </x:c>
      <x:c r="H113" s="99" t="n">
        <x:v>0.48762376</x:v>
      </x:c>
      <x:c r="I113" s="99" t="n">
        <x:v>0.74712644</x:v>
      </x:c>
      <x:c r="J113" s="99" t="n">
        <x:v>0.29130435</x:v>
      </x:c>
      <x:c r="K113" s="99" t="n">
        <x:v>0.45582209</x:v>
      </x:c>
      <x:c r="L113" s="99" t="n">
        <x:v>0.8315789499999999</x:v>
      </x:c>
      <x:c r="M113" s="99" t="n">
        <x:v>0.8518518500000001</x:v>
      </x:c>
      <x:c r="N113" s="99" t="n">
        <x:v>0.57615894</x:v>
      </x:c>
      <x:c r="O113" s="99" t="n">
        <x:v>0.23584906</x:v>
      </x:c>
      <x:c r="P113" s="99" t="n">
        <x:v>0.11538462000000001</x:v>
      </x:c>
      <x:c r="Q113" s="102" t="n">
        <x:v>4.422054</x:v>
      </x:c>
      <x:c r="R113" s="102" t="n">
        <x:v>3.538658</x:v>
      </x:c>
      <x:c r="S113" s="102" t="n">
        <x:v>6.183189</x:v>
      </x:c>
      <x:c r="T113" s="102" t="n">
        <x:v>5.379742</x:v>
      </x:c>
      <x:c r="U113" s="102" t="n">
        <x:v>6.60406</x:v>
      </x:c>
      <x:c r="V113" s="102" t="n">
        <x:v>3.393231</x:v>
      </x:c>
      <x:c r="W113" s="102" t="n">
        <x:v>1</x:v>
      </x:c>
      <x:c r="X113" s="102" t="n">
        <x:v>1.350832</x:v>
      </x:c>
      <x:c r="Y113" s="108" t="b">
        <x:v>0</x:v>
      </x:c>
    </x:row>
    <x:row r="114">
      <x:c r="A114" s="54" t="str">
        <x:v>이재현</x:v>
      </x:c>
      <x:c r="B114" s="54" t="str">
        <x:v>SAM</x:v>
      </x:c>
      <x:c r="C114" s="54" t="n">
        <x:v>997</x:v>
      </x:c>
      <x:c r="D114" s="102" t="n">
        <x:v>-8.593883</x:v>
      </x:c>
      <x:c r="E114" s="102" t="n">
        <x:v>0.344452</x:v>
      </x:c>
      <x:c r="F114" s="102" t="n">
        <x:v>0.46854999999999997</x:v>
      </x:c>
      <x:c r="G114" s="102" t="n">
        <x:v>7.310008</x:v>
      </x:c>
      <x:c r="H114" s="99" t="n">
        <x:v>0.37011033</x:v>
      </x:c>
      <x:c r="I114" s="99" t="n">
        <x:v>0.58225108</x:v>
      </x:c>
      <x:c r="J114" s="99" t="n">
        <x:v>0.18691589</x:v>
      </x:c>
      <x:c r="K114" s="99" t="n">
        <x:v>0.39533519</x:v>
      </x:c>
      <x:c r="L114" s="99" t="n">
        <x:v>0.62962963</x:v>
      </x:c>
      <x:c r="M114" s="99" t="n">
        <x:v>0.65217391</x:v>
      </x:c>
      <x:c r="N114" s="99" t="n">
        <x:v>0.43596059</x:v>
      </x:c>
      <x:c r="O114" s="99" t="n">
        <x:v>0.15813953</x:v>
      </x:c>
      <x:c r="P114" s="99" t="n">
        <x:v>0.03759398</x:v>
      </x:c>
      <x:c r="Q114" s="102" t="n">
        <x:v>-6.679741</x:v>
      </x:c>
      <x:c r="R114" s="102" t="n">
        <x:v>-9.989776</x:v>
      </x:c>
      <x:c r="S114" s="102" t="n">
        <x:v>-7.151763</x:v>
      </x:c>
      <x:c r="T114" s="102" t="n">
        <x:v>-8.061248</x:v>
      </x:c>
      <x:c r="U114" s="102" t="n">
        <x:v>-4.42735</x:v>
      </x:c>
      <x:c r="V114" s="102" t="n">
        <x:v>-9.015621</x:v>
      </x:c>
      <x:c r="W114" s="102" t="n">
        <x:v>2</x:v>
      </x:c>
      <x:c r="X114" s="102" t="n">
        <x:v>1.611589</x:v>
      </x:c>
      <x:c r="Y114" s="108" t="b">
        <x:v>0</x:v>
      </x:c>
    </x:row>
    <x:row r="115">
      <x:c r="A115" s="54" t="str">
        <x:v>이정훈</x:v>
      </x:c>
      <x:c r="B115" s="54" t="str">
        <x:v>KT</x:v>
      </x:c>
      <x:c r="C115" s="54" t="n">
        <x:v>302</x:v>
      </x:c>
      <x:c r="D115" s="102" t="n">
        <x:v>-9.758917</x:v>
      </x:c>
      <x:c r="E115" s="102" t="n">
        <x:v>1.291973</x:v>
      </x:c>
      <x:c r="F115" s="102" t="n">
        <x:v>0.65723</x:v>
      </x:c>
      <x:c r="G115" s="102" t="n">
        <x:v>7.277882</x:v>
      </x:c>
      <x:c r="H115" s="99" t="n">
        <x:v>0.31788079</x:v>
      </x:c>
      <x:c r="I115" s="99" t="n">
        <x:v>0.5275590600000001</x:v>
      </x:c>
      <x:c r="J115" s="99" t="n">
        <x:v>0.16571429</x:v>
      </x:c>
      <x:c r="K115" s="99" t="n">
        <x:v>0.36184477000000004</x:v>
      </x:c>
      <x:c r="L115" s="99" t="n">
        <x:v>0.63636364</x:v>
      </x:c>
      <x:c r="M115" s="99" t="n">
        <x:v>0.75</x:v>
      </x:c>
      <x:c r="N115" s="99" t="n">
        <x:v>0.30215827</x:v>
      </x:c>
      <x:c r="O115" s="99" t="n">
        <x:v>0.16176471</x:v>
      </x:c>
      <x:c r="P115" s="99" t="n">
        <x:v>0.03448276</x:v>
      </x:c>
      <x:c r="Q115" s="102" t="n">
        <x:v>-13.312431</x:v>
      </x:c>
      <x:c r="R115" s="102" t="n">
        <x:v>-11.442489</x:v>
      </x:c>
      <x:c r="S115" s="102" t="n">
        <x:v>-7.96033</x:v>
      </x:c>
      <x:c r="T115" s="102" t="n">
        <x:v>0.311368</x:v>
      </x:c>
      <x:c r="U115" s="102" t="n">
        <x:v>-4.035864</x:v>
      </x:c>
      <x:c r="V115" s="102" t="n">
        <x:v>-22.743876</x:v>
      </x:c>
      <x:c r="W115" s="102" t="n">
        <x:v>2</x:v>
      </x:c>
      <x:c r="X115" s="102" t="n">
        <x:v>3.489895</x:v>
      </x:c>
      <x:c r="Y115" s="108" t="b">
        <x:v>1</x:v>
      </x:c>
    </x:row>
    <x:row r="116">
      <x:c r="A116" s="54" t="str">
        <x:v>이주헌</x:v>
      </x:c>
      <x:c r="B116" s="54" t="str">
        <x:v>LG</x:v>
      </x:c>
      <x:c r="C116" s="54" t="n">
        <x:v>440</x:v>
      </x:c>
      <x:c r="D116" s="102" t="n">
        <x:v>6.8765</x:v>
      </x:c>
      <x:c r="E116" s="102" t="n">
        <x:v>2.592777</x:v>
      </x:c>
      <x:c r="F116" s="102" t="n">
        <x:v>0.75786</x:v>
      </x:c>
      <x:c r="G116" s="102" t="n">
        <x:v>4.662626</x:v>
      </x:c>
      <x:c r="H116" s="99" t="n">
        <x:v>0.53636364</x:v>
      </x:c>
      <x:c r="I116" s="99" t="n">
        <x:v>0.71573604</x:v>
      </x:c>
      <x:c r="J116" s="99" t="n">
        <x:v>0.39094650000000003</x:v>
      </x:c>
      <x:c r="K116" s="99" t="n">
        <x:v>0.32478954000000004</x:v>
      </x:c>
      <x:c r="L116" s="99" t="n">
        <x:v>0.79245283</x:v>
      </x:c>
      <x:c r="M116" s="99" t="n">
        <x:v>0.87096774</x:v>
      </x:c>
      <x:c r="N116" s="99" t="n">
        <x:v>0.61956522</x:v>
      </x:c>
      <x:c r="O116" s="99" t="n">
        <x:v>0.32</x:v>
      </x:c>
      <x:c r="P116" s="99" t="n">
        <x:v>0.12</x:v>
      </x:c>
      <x:c r="Q116" s="102" t="n">
        <x:v>3.907974</x:v>
      </x:c>
      <x:c r="R116" s="102" t="n">
        <x:v>11.997036</x:v>
      </x:c>
      <x:c r="S116" s="102" t="n">
        <x:v>5.614068</x:v>
      </x:c>
      <x:c r="T116" s="102" t="n">
        <x:v>10.472435</x:v>
      </x:c>
      <x:c r="U116" s="102" t="n">
        <x:v>5.480435</x:v>
      </x:c>
      <x:c r="V116" s="102" t="n">
        <x:v>8.519037</x:v>
      </x:c>
      <x:c r="W116" s="102" t="n">
        <x:v>1</x:v>
      </x:c>
      <x:c r="X116" s="102" t="n">
        <x:v>2.146121</x:v>
      </x:c>
      <x:c r="Y116" s="108" t="b">
        <x:v>0</x:v>
      </x:c>
    </x:row>
    <x:row r="117">
      <x:c r="A117" s="54" t="str">
        <x:v>이주형</x:v>
      </x:c>
      <x:c r="B117" s="54" t="str">
        <x:v>KIW</x:v>
      </x:c>
      <x:c r="C117" s="54" t="n">
        <x:v>382</x:v>
      </x:c>
      <x:c r="D117" s="102" t="n">
        <x:v>5.288898</x:v>
      </x:c>
      <x:c r="E117" s="102" t="n">
        <x:v>3.226417</x:v>
      </x:c>
      <x:c r="F117" s="102" t="n">
        <x:v>0.82075</x:v>
      </x:c>
      <x:c r="G117" s="102" t="n">
        <x:v>5.145039</x:v>
      </x:c>
      <x:c r="H117" s="99" t="n">
        <x:v>0.51308901</x:v>
      </x:c>
      <x:c r="I117" s="99" t="n">
        <x:v>0.72432432</x:v>
      </x:c>
      <x:c r="J117" s="99" t="n">
        <x:v>0.31472081</x:v>
      </x:c>
      <x:c r="K117" s="99" t="n">
        <x:v>0.40960351</x:v>
      </x:c>
      <x:c r="L117" s="99" t="n">
        <x:v>0.74226804</x:v>
      </x:c>
      <x:c r="M117" s="99" t="n">
        <x:v>0.76</x:v>
      </x:c>
      <x:c r="N117" s="99" t="n">
        <x:v>0.5987654299999999</x:v>
      </x:c>
      <x:c r="O117" s="99" t="n">
        <x:v>0.28571429</x:v>
      </x:c>
      <x:c r="P117" s="99" t="n">
        <x:v>0.13207547</x:v>
      </x:c>
      <x:c r="Q117" s="102" t="n">
        <x:v>3.988738</x:v>
      </x:c>
      <x:c r="R117" s="102" t="n">
        <x:v>4.820812</x:v>
      </x:c>
      <x:c r="S117" s="102" t="n">
        <x:v>-0.395454</x:v>
      </x:c>
      <x:c r="T117" s="102" t="n">
        <x:v>-1.567249</x:v>
      </x:c>
      <x:c r="U117" s="102" t="n">
        <x:v>7.15784</x:v>
      </x:c>
      <x:c r="V117" s="102" t="n">
        <x:v>6.206324</x:v>
      </x:c>
      <x:c r="W117" s="102" t="n">
        <x:v>1</x:v>
      </x:c>
      <x:c r="X117" s="102" t="n">
        <x:v>1.724954</x:v>
      </x:c>
      <x:c r="Y117" s="108" t="b">
        <x:v>0</x:v>
      </x:c>
    </x:row>
    <x:row r="118">
      <x:c r="A118" s="54" t="str">
        <x:v>이지영</x:v>
      </x:c>
      <x:c r="B118" s="54" t="str">
        <x:v>SSG</x:v>
      </x:c>
      <x:c r="C118" s="54" t="n">
        <x:v>346</x:v>
      </x:c>
      <x:c r="D118" s="102" t="n">
        <x:v>4.116225</x:v>
      </x:c>
      <x:c r="E118" s="102" t="n">
        <x:v>-8.469747</x:v>
      </x:c>
      <x:c r="F118" s="102" t="n">
        <x:v>0.00314</x:v>
      </x:c>
      <x:c r="G118" s="102" t="n">
        <x:v>4.047687</x:v>
      </x:c>
      <x:c r="H118" s="99" t="n">
        <x:v>0.47976878999999995</x:v>
      </x:c>
      <x:c r="I118" s="99" t="n">
        <x:v>0.5704698</x:v>
      </x:c>
      <x:c r="J118" s="99" t="n">
        <x:v>0.41116751</x:v>
      </x:c>
      <x:c r="K118" s="99" t="n">
        <x:v>0.15930229</x:v>
      </x:c>
      <x:c r="L118" s="99" t="n">
        <x:v>0.54320988</x:v>
      </x:c>
      <x:c r="M118" s="99" t="n">
        <x:v>0.52380952</x:v>
      </x:c>
      <x:c r="N118" s="99" t="n">
        <x:v>0.5895522400000001</x:v>
      </x:c>
      <x:c r="O118" s="99" t="n">
        <x:v>0.42857143000000003</x:v>
      </x:c>
      <x:c r="P118" s="99" t="n">
        <x:v>0.14893617</x:v>
      </x:c>
      <x:c r="Q118" s="102" t="n">
        <x:v>2.965329</x:v>
      </x:c>
      <x:c r="R118" s="102" t="n">
        <x:v>6.226542</x:v>
      </x:c>
      <x:c r="S118" s="102" t="n">
        <x:v>-2.007904</x:v>
      </x:c>
      <x:c r="T118" s="102" t="n">
        <x:v>-7.781407</x:v>
      </x:c>
      <x:c r="U118" s="102" t="n">
        <x:v>0.170946</x:v>
      </x:c>
      <x:c r="V118" s="102" t="n">
        <x:v>9.580978</x:v>
      </x:c>
      <x:c r="W118" s="102" t="n">
        <x:v>1</x:v>
      </x:c>
      <x:c r="X118" s="102" t="n">
        <x:v>2.127146</x:v>
      </x:c>
      <x:c r="Y118" s="108" t="b">
        <x:v>0</x:v>
      </x:c>
    </x:row>
    <x:row r="119">
      <x:c r="A119" s="54" t="str">
        <x:v>이진영</x:v>
      </x:c>
      <x:c r="B119" s="54" t="str">
        <x:v>HAN</x:v>
      </x:c>
      <x:c r="C119" s="54" t="n">
        <x:v>440</x:v>
      </x:c>
      <x:c r="D119" s="102" t="n">
        <x:v>-4.884513</x:v>
      </x:c>
      <x:c r="E119" s="102" t="n">
        <x:v>-1.881908</x:v>
      </x:c>
      <x:c r="F119" s="102" t="n">
        <x:v>0.23585</x:v>
      </x:c>
      <x:c r="G119" s="102" t="n">
        <x:v>6.885144</x:v>
      </x:c>
      <x:c r="H119" s="99" t="n">
        <x:v>0.41363636</x:v>
      </x:c>
      <x:c r="I119" s="99" t="n">
        <x:v>0.57219251</x:v>
      </x:c>
      <x:c r="J119" s="99" t="n">
        <x:v>0.29644269</x:v>
      </x:c>
      <x:c r="K119" s="99" t="n">
        <x:v>0.27574982</x:v>
      </x:c>
      <x:c r="L119" s="99" t="n">
        <x:v>0.69</x:v>
      </x:c>
      <x:c r="M119" s="99" t="n">
        <x:v>0.65217391</x:v>
      </x:c>
      <x:c r="N119" s="99" t="n">
        <x:v>0.45454545</x:v>
      </x:c>
      <x:c r="O119" s="99" t="n">
        <x:v>0.25714286000000003</x:v>
      </x:c>
      <x:c r="P119" s="99" t="n">
        <x:v>0.10169492</x:v>
      </x:c>
      <x:c r="Q119" s="102" t="n">
        <x:v>-4.951789</x:v>
      </x:c>
      <x:c r="R119" s="102" t="n">
        <x:v>-0.605375</x:v>
      </x:c>
      <x:c r="S119" s="102" t="n">
        <x:v>2.367409</x:v>
      </x:c>
      <x:c r="T119" s="102" t="n">
        <x:v>-4.748235</x:v>
      </x:c>
      <x:c r="U119" s="102" t="n">
        <x:v>0.331849</x:v>
      </x:c>
      <x:c r="V119" s="102" t="n">
        <x:v>-6.339399</x:v>
      </x:c>
      <x:c r="W119" s="102" t="n">
        <x:v>2</x:v>
      </x:c>
      <x:c r="X119" s="102" t="n">
        <x:v>1.544832</x:v>
      </x:c>
      <x:c r="Y119" s="108" t="b">
        <x:v>0</x:v>
      </x:c>
    </x:row>
    <x:row r="120">
      <x:c r="A120" s="54" t="str">
        <x:v>이형종</x:v>
      </x:c>
      <x:c r="B120" s="54" t="str">
        <x:v>KIW</x:v>
      </x:c>
      <x:c r="C120" s="54" t="n">
        <x:v>768</x:v>
      </x:c>
      <x:c r="D120" s="102" t="n">
        <x:v>-0.089742</x:v>
      </x:c>
      <x:c r="E120" s="102" t="n">
        <x:v>2.401692</x:v>
      </x:c>
      <x:c r="F120" s="102" t="n">
        <x:v>0.74528</x:v>
      </x:c>
      <x:c r="G120" s="102" t="n">
        <x:v>6.853191</x:v>
      </x:c>
      <x:c r="H120" s="99" t="n">
        <x:v>0.45963541999999996</x:v>
      </x:c>
      <x:c r="I120" s="99" t="n">
        <x:v>0.68468468</x:v>
      </x:c>
      <x:c r="J120" s="99" t="n">
        <x:v>0.28735632</x:v>
      </x:c>
      <x:c r="K120" s="99" t="n">
        <x:v>0.39732836</x:v>
      </x:c>
      <x:c r="L120" s="99" t="n">
        <x:v>0.7321428600000001</x:v>
      </x:c>
      <x:c r="M120" s="99" t="n">
        <x:v>0.74358974</x:v>
      </x:c>
      <x:c r="N120" s="99" t="n">
        <x:v>0.54983923</x:v>
      </x:c>
      <x:c r="O120" s="99" t="n">
        <x:v>0.26815642</x:v>
      </x:c>
      <x:c r="P120" s="99" t="n">
        <x:v>0.1</x:v>
      </x:c>
      <x:c r="Q120" s="102" t="n">
        <x:v>1.037477</x:v>
      </x:c>
      <x:c r="R120" s="102" t="n">
        <x:v>1.503415</x:v>
      </x:c>
      <x:c r="S120" s="102" t="n">
        <x:v>-0.118062</x:v>
      </x:c>
      <x:c r="T120" s="102" t="n">
        <x:v>-1.981014</x:v>
      </x:c>
      <x:c r="U120" s="102" t="n">
        <x:v>3.338741</x:v>
      </x:c>
      <x:c r="V120" s="102" t="n">
        <x:v>1.616623</x:v>
      </x:c>
      <x:c r="W120" s="102" t="n">
        <x:v>1</x:v>
      </x:c>
      <x:c r="X120" s="102" t="n">
        <x:v>1.32111</x:v>
      </x:c>
      <x:c r="Y120" s="108" t="b">
        <x:v>0</x:v>
      </x:c>
    </x:row>
    <x:row r="121">
      <x:c r="A121" s="54" t="str">
        <x:v>임병욱</x:v>
      </x:c>
      <x:c r="B121" s="54" t="str">
        <x:v>KIW</x:v>
      </x:c>
      <x:c r="C121" s="54" t="n">
        <x:v>971</x:v>
      </x:c>
      <x:c r="D121" s="102" t="n">
        <x:v>9.853336</x:v>
      </x:c>
      <x:c r="E121" s="102" t="n">
        <x:v>-1.920984</x:v>
      </x:c>
      <x:c r="F121" s="102" t="n">
        <x:v>0.22956</x:v>
      </x:c>
      <x:c r="G121" s="102" t="n">
        <x:v>4.886705</x:v>
      </x:c>
      <x:c r="H121" s="99" t="n">
        <x:v>0.53347065</x:v>
      </x:c>
      <x:c r="I121" s="99" t="n">
        <x:v>0.7195402300000001</x:v>
      </x:c>
      <x:c r="J121" s="99" t="n">
        <x:v>0.38246269</x:v>
      </x:c>
      <x:c r="K121" s="99" t="n">
        <x:v>0.33707754</x:v>
      </x:c>
      <x:c r="L121" s="99" t="n">
        <x:v>0.7598253300000001</x:v>
      </x:c>
      <x:c r="M121" s="99" t="n">
        <x:v>0.8103448299999999</x:v>
      </x:c>
      <x:c r="N121" s="99" t="n">
        <x:v>0.62834225</x:v>
      </x:c>
      <x:c r="O121" s="99" t="n">
        <x:v>0.39743589999999995</x:v>
      </x:c>
      <x:c r="P121" s="99" t="n">
        <x:v>0.11940299</x:v>
      </x:c>
      <x:c r="Q121" s="102" t="n">
        <x:v>9.830965</x:v>
      </x:c>
      <x:c r="R121" s="102" t="n">
        <x:v>7.9691</x:v>
      </x:c>
      <x:c r="S121" s="102" t="n">
        <x:v>9.411059</x:v>
      </x:c>
      <x:c r="T121" s="102" t="n">
        <x:v>11.127006</x:v>
      </x:c>
      <x:c r="U121" s="102" t="n">
        <x:v>2.07368</x:v>
      </x:c>
      <x:c r="V121" s="102" t="n">
        <x:v>11.054634</x:v>
      </x:c>
      <x:c r="W121" s="102" t="n">
        <x:v>1</x:v>
      </x:c>
      <x:c r="X121" s="102" t="n">
        <x:v>2.265833</x:v>
      </x:c>
      <x:c r="Y121" s="108" t="b">
        <x:v>0</x:v>
      </x:c>
    </x:row>
    <x:row r="122">
      <x:c r="A122" s="54" t="str">
        <x:v>임지열</x:v>
      </x:c>
      <x:c r="B122" s="54" t="str">
        <x:v>KIW</x:v>
      </x:c>
      <x:c r="C122" s="54" t="n">
        <x:v>337</x:v>
      </x:c>
      <x:c r="D122" s="102" t="n">
        <x:v>-2.476332</x:v>
      </x:c>
      <x:c r="E122" s="102" t="n">
        <x:v>-0.911488</x:v>
      </x:c>
      <x:c r="F122" s="102" t="n">
        <x:v>0.3239</x:v>
      </x:c>
      <x:c r="G122" s="102" t="n">
        <x:v>6.487824</x:v>
      </x:c>
      <x:c r="H122" s="99" t="n">
        <x:v>0.42136499</x:v>
      </x:c>
      <x:c r="I122" s="99" t="n">
        <x:v>0.6315789500000001</x:v>
      </x:c>
      <x:c r="J122" s="99" t="n">
        <x:v>0.28431373</x:v>
      </x:c>
      <x:c r="K122" s="99" t="n">
        <x:v>0.34726522000000004</x:v>
      </x:c>
      <x:c r="L122" s="99" t="n">
        <x:v>0.69565217</x:v>
      </x:c>
      <x:c r="M122" s="99" t="n">
        <x:v>0.70833333</x:v>
      </x:c>
      <x:c r="N122" s="99" t="n">
        <x:v>0.48507463</x:v>
      </x:c>
      <x:c r="O122" s="99" t="n">
        <x:v>0.25531915</x:v>
      </x:c>
      <x:c r="P122" s="99" t="n">
        <x:v>0.125</x:v>
      </x:c>
      <x:c r="Q122" s="102" t="n">
        <x:v>-0.204751</x:v>
      </x:c>
      <x:c r="R122" s="102" t="n">
        <x:v>-1.134693</x:v>
      </x:c>
      <x:c r="S122" s="102" t="n">
        <x:v>1.414842</x:v>
      </x:c>
      <x:c r="T122" s="102" t="n">
        <x:v>-0.57636</x:v>
      </x:c>
      <x:c r="U122" s="102" t="n">
        <x:v>3.381945</x:v>
      </x:c>
      <x:c r="V122" s="102" t="n">
        <x:v>-3.642914</x:v>
      </x:c>
      <x:c r="W122" s="102" t="n">
        <x:v>1</x:v>
      </x:c>
      <x:c r="X122" s="102" t="n">
        <x:v>1.811739</x:v>
      </x:c>
      <x:c r="Y122" s="108" t="b">
        <x:v>0</x:v>
      </x:c>
    </x:row>
    <x:row r="123">
      <x:c r="A123" s="54" t="str">
        <x:v>장두성</x:v>
      </x:c>
      <x:c r="B123" s="54" t="str">
        <x:v>LOT</x:v>
      </x:c>
      <x:c r="C123" s="54" t="n">
        <x:v>661</x:v>
      </x:c>
      <x:c r="D123" s="102" t="n">
        <x:v>8.870179</x:v>
      </x:c>
      <x:c r="E123" s="102" t="n">
        <x:v>-4.614059</x:v>
      </x:c>
      <x:c r="F123" s="102" t="n">
        <x:v>0.04088</x:v>
      </x:c>
      <x:c r="G123" s="102" t="n">
        <x:v>4.509636</x:v>
      </x:c>
      <x:c r="H123" s="99" t="n">
        <x:v>0.52193646</x:v>
      </x:c>
      <x:c r="I123" s="99" t="n">
        <x:v>0.67741935</x:v>
      </x:c>
      <x:c r="J123" s="99" t="n">
        <x:v>0.38461537999999995</x:v>
      </x:c>
      <x:c r="K123" s="99" t="n">
        <x:v>0.29280397</x:v>
      </x:c>
      <x:c r="L123" s="99" t="n">
        <x:v>0.6954022999999999</x:v>
      </x:c>
      <x:c r="M123" s="99" t="n">
        <x:v>0.7826086999999999</x:v>
      </x:c>
      <x:c r="N123" s="99" t="n">
        <x:v>0.58174905</x:v>
      </x:c>
      <x:c r="O123" s="99" t="n">
        <x:v>0.37162162000000004</x:v>
      </x:c>
      <x:c r="P123" s="99" t="n">
        <x:v>0.21052632</x:v>
      </x:c>
      <x:c r="Q123" s="102" t="n">
        <x:v>8.925778</x:v>
      </x:c>
      <x:c r="R123" s="102" t="n">
        <x:v>6.287329</x:v>
      </x:c>
      <x:c r="S123" s="102" t="n">
        <x:v>7.180855</x:v>
      </x:c>
      <x:c r="T123" s="102" t="n">
        <x:v>12.360918</x:v>
      </x:c>
      <x:c r="U123" s="102" t="n">
        <x:v>9.189039</x:v>
      </x:c>
      <x:c r="V123" s="102" t="n">
        <x:v>7.384474</x:v>
      </x:c>
      <x:c r="W123" s="102" t="n">
        <x:v>1</x:v>
      </x:c>
      <x:c r="X123" s="102" t="n">
        <x:v>2.619774</x:v>
      </x:c>
      <x:c r="Y123" s="108" t="b">
        <x:v>0</x:v>
      </x:c>
    </x:row>
    <x:row r="124">
      <x:c r="A124" s="54" t="str">
        <x:v>장성우</x:v>
      </x:c>
      <x:c r="B124" s="54" t="str">
        <x:v>KT</x:v>
      </x:c>
      <x:c r="C124" s="54" t="n">
        <x:v>1008</x:v>
      </x:c>
      <x:c r="D124" s="102" t="n">
        <x:v>-15.51113</x:v>
      </x:c>
      <x:c r="E124" s="102" t="n">
        <x:v>0.329321</x:v>
      </x:c>
      <x:c r="F124" s="102" t="n">
        <x:v>0.46226</x:v>
      </x:c>
      <x:c r="G124" s="102" t="n">
        <x:v>7.147352</x:v>
      </x:c>
      <x:c r="H124" s="99" t="n">
        <x:v>0.31746032</x:v>
      </x:c>
      <x:c r="I124" s="99" t="n">
        <x:v>0.5090497700000001</x:v>
      </x:c>
      <x:c r="J124" s="99" t="n">
        <x:v>0.16784452000000002</x:v>
      </x:c>
      <x:c r="K124" s="99" t="n">
        <x:v>0.34120525</x:v>
      </x:c>
      <x:c r="L124" s="99" t="n">
        <x:v>0.57399103</x:v>
      </x:c>
      <x:c r="M124" s="99" t="n">
        <x:v>0.64179104</x:v>
      </x:c>
      <x:c r="N124" s="99" t="n">
        <x:v>0.38478746999999996</x:v>
      </x:c>
      <x:c r="O124" s="99" t="n">
        <x:v>0.08695652000000001</x:v>
      </x:c>
      <x:c r="P124" s="99" t="n">
        <x:v>0</x:v>
      </x:c>
      <x:c r="Q124" s="102" t="n">
        <x:v>-13.981293</x:v>
      </x:c>
      <x:c r="R124" s="102" t="n">
        <x:v>-11.907571</x:v>
      </x:c>
      <x:c r="S124" s="102" t="n">
        <x:v>-12.691957</x:v>
      </x:c>
      <x:c r="T124" s="102" t="n">
        <x:v>-9.077019</x:v>
      </x:c>
      <x:c r="U124" s="102" t="n">
        <x:v>-8.197968</x:v>
      </x:c>
      <x:c r="V124" s="102" t="n">
        <x:v>-14.127376</x:v>
      </x:c>
      <x:c r="W124" s="102" t="n">
        <x:v>2</x:v>
      </x:c>
      <x:c r="X124" s="102" t="n">
        <x:v>3.505074</x:v>
      </x:c>
      <x:c r="Y124" s="108" t="b">
        <x:v>1</x:v>
      </x:c>
    </x:row>
    <x:row r="125">
      <x:c r="A125" s="54" t="str">
        <x:v>장준원</x:v>
      </x:c>
      <x:c r="B125" s="54" t="str">
        <x:v>KT</x:v>
      </x:c>
      <x:c r="C125" s="54" t="n">
        <x:v>389</x:v>
      </x:c>
      <x:c r="D125" s="102" t="n">
        <x:v>-5.58327</x:v>
      </x:c>
      <x:c r="E125" s="102" t="n">
        <x:v>-0.772782</x:v>
      </x:c>
      <x:c r="F125" s="102" t="n">
        <x:v>0.34906</x:v>
      </x:c>
      <x:c r="G125" s="102" t="n">
        <x:v>5.961785</x:v>
      </x:c>
      <x:c r="H125" s="99" t="n">
        <x:v>0.40359896999999995</x:v>
      </x:c>
      <x:c r="I125" s="99" t="n">
        <x:v>0.5625</x:v>
      </x:c>
      <x:c r="J125" s="99" t="n">
        <x:v>0.24873096</x:v>
      </x:c>
      <x:c r="K125" s="99" t="n">
        <x:v>0.31376904</x:v>
      </x:c>
      <x:c r="L125" s="99" t="n">
        <x:v>0.68</x:v>
      </x:c>
      <x:c r="M125" s="99" t="n">
        <x:v>0.6451612900000001</x:v>
      </x:c>
      <x:c r="N125" s="99" t="n">
        <x:v>0.40571429000000003</x:v>
      </x:c>
      <x:c r="O125" s="99" t="n">
        <x:v>0.18292683</x:v>
      </x:c>
      <x:c r="P125" s="99" t="n">
        <x:v>0.09375</x:v>
      </x:c>
      <x:c r="Q125" s="102" t="n">
        <x:v>-7.282967</x:v>
      </x:c>
      <x:c r="R125" s="102" t="n">
        <x:v>-4.595264</x:v>
      </x:c>
      <x:c r="S125" s="102" t="n">
        <x:v>-0.367318</x:v>
      </x:c>
      <x:c r="T125" s="102" t="n">
        <x:v>-7.099971</x:v>
      </x:c>
      <x:c r="U125" s="102" t="n">
        <x:v>0.359798</x:v>
      </x:c>
      <x:c r="V125" s="102" t="n">
        <x:v>-11.629894</x:v>
      </x:c>
      <x:c r="W125" s="102" t="n">
        <x:v>2</x:v>
      </x:c>
      <x:c r="X125" s="102" t="n">
        <x:v>1.531602</x:v>
      </x:c>
      <x:c r="Y125" s="108" t="b">
        <x:v>0</x:v>
      </x:c>
    </x:row>
    <x:row r="126">
      <x:c r="A126" s="54" t="str">
        <x:v>전민재</x:v>
      </x:c>
      <x:c r="B126" s="54" t="str">
        <x:v>LOT</x:v>
      </x:c>
      <x:c r="C126" s="54" t="n">
        <x:v>1484</x:v>
      </x:c>
      <x:c r="D126" s="102" t="n">
        <x:v>4.976249</x:v>
      </x:c>
      <x:c r="E126" s="102" t="n">
        <x:v>0.229085</x:v>
      </x:c>
      <x:c r="F126" s="102" t="n">
        <x:v>0.44969000000000003</x:v>
      </x:c>
      <x:c r="G126" s="102" t="n">
        <x:v>5.901555</x:v>
      </x:c>
      <x:c r="H126" s="99" t="n">
        <x:v>0.50539084</x:v>
      </x:c>
      <x:c r="I126" s="99" t="n">
        <x:v>0.6886931</x:v>
      </x:c>
      <x:c r="J126" s="99" t="n">
        <x:v>0.34993772999999995</x:v>
      </x:c>
      <x:c r="K126" s="99" t="n">
        <x:v>0.33875537</x:v>
      </x:c>
      <x:c r="L126" s="99" t="n">
        <x:v>0.7162921299999999</x:v>
      </x:c>
      <x:c r="M126" s="99" t="n">
        <x:v>0.79569892</x:v>
      </x:c>
      <x:c r="N126" s="99" t="n">
        <x:v>0.60067114</x:v>
      </x:c>
      <x:c r="O126" s="99" t="n">
        <x:v>0.33423913</x:v>
      </x:c>
      <x:c r="P126" s="99" t="n">
        <x:v>0.08536585000000001</x:v>
      </x:c>
      <x:c r="Q126" s="102" t="n">
        <x:v>4.106123</x:v>
      </x:c>
      <x:c r="R126" s="102" t="n">
        <x:v>6.231142</x:v>
      </x:c>
      <x:c r="S126" s="102" t="n">
        <x:v>1.694927</x:v>
      </x:c>
      <x:c r="T126" s="102" t="n">
        <x:v>6.462929</x:v>
      </x:c>
      <x:c r="U126" s="102" t="n">
        <x:v>0.26429</x:v>
      </x:c>
      <x:c r="V126" s="102" t="n">
        <x:v>7.497808</x:v>
      </x:c>
      <x:c r="W126" s="102" t="n">
        <x:v>1</x:v>
      </x:c>
      <x:c r="X126" s="102" t="n">
        <x:v>0.948592</x:v>
      </x:c>
      <x:c r="Y126" s="108" t="b">
        <x:v>0</x:v>
      </x:c>
    </x:row>
    <x:row r="127">
      <x:c r="A127" s="54" t="str">
        <x:v>전병우</x:v>
      </x:c>
      <x:c r="B127" s="54" t="str">
        <x:v>SAM</x:v>
      </x:c>
      <x:c r="C127" s="54" t="n">
        <x:v>1401</x:v>
      </x:c>
      <x:c r="D127" s="102" t="n">
        <x:v>-4.074789</x:v>
      </x:c>
      <x:c r="E127" s="102" t="n">
        <x:v>2.546038</x:v>
      </x:c>
      <x:c r="F127" s="102" t="n">
        <x:v>0.75157</x:v>
      </x:c>
      <x:c r="G127" s="102" t="n">
        <x:v>6.348272</x:v>
      </x:c>
      <x:c r="H127" s="99" t="n">
        <x:v>0.41113489999999997</x:v>
      </x:c>
      <x:c r="I127" s="99" t="n">
        <x:v>0.63333333</x:v>
      </x:c>
      <x:c r="J127" s="99" t="n">
        <x:v>0.22957198</x:v>
      </x:c>
      <x:c r="K127" s="99" t="n">
        <x:v>0.40376134999999996</x:v>
      </x:c>
      <x:c r="L127" s="99" t="n">
        <x:v>0.70392749</x:v>
      </x:c>
      <x:c r="M127" s="99" t="n">
        <x:v>0.7840909100000001</x:v>
      </x:c>
      <x:c r="N127" s="99" t="n">
        <x:v>0.4516696</x:v>
      </x:c>
      <x:c r="O127" s="99" t="n">
        <x:v>0.22590361</x:v>
      </x:c>
      <x:c r="P127" s="99" t="n">
        <x:v>0.06508876</x:v>
      </x:c>
      <x:c r="Q127" s="102" t="n">
        <x:v>-4.274905</x:v>
      </x:c>
      <x:c r="R127" s="102" t="n">
        <x:v>-4.173339</x:v>
      </x:c>
      <x:c r="S127" s="102" t="n">
        <x:v>-3.165364</x:v>
      </x:c>
      <x:c r="T127" s="102" t="n">
        <x:v>1.854304</x:v>
      </x:c>
      <x:c r="U127" s="102" t="n">
        <x:v>-0.045347</x:v>
      </x:c>
      <x:c r="V127" s="102" t="n">
        <x:v>-8.253358</x:v>
      </x:c>
      <x:c r="W127" s="102" t="n">
        <x:v>2</x:v>
      </x:c>
      <x:c r="X127" s="102" t="n">
        <x:v>1.101495</x:v>
      </x:c>
      <x:c r="Y127" s="108" t="b">
        <x:v>0</x:v>
      </x:c>
    </x:row>
    <x:row r="128">
      <x:c r="A128" s="54" t="str">
        <x:v>전의산</x:v>
      </x:c>
      <x:c r="B128" s="54" t="str">
        <x:v>SSG</x:v>
      </x:c>
      <x:c r="C128" s="54" t="n">
        <x:v>1072</x:v>
      </x:c>
      <x:c r="D128" s="102" t="n">
        <x:v>-1.517402</x:v>
      </x:c>
      <x:c r="E128" s="102" t="n">
        <x:v>2.849748</x:v>
      </x:c>
      <x:c r="F128" s="102" t="n">
        <x:v>0.78302</x:v>
      </x:c>
      <x:c r="G128" s="102" t="n">
        <x:v>6.417322</x:v>
      </x:c>
      <x:c r="H128" s="99" t="n">
        <x:v>0.44216417999999996</x:v>
      </x:c>
      <x:c r="I128" s="99" t="n">
        <x:v>0.6695652200000001</x:v>
      </x:c>
      <x:c r="J128" s="99" t="n">
        <x:v>0.27124182999999996</x:v>
      </x:c>
      <x:c r="K128" s="99" t="n">
        <x:v>0.39832339</x:v>
      </x:c>
      <x:c r="L128" s="99" t="n">
        <x:v>0.7755101999999999</x:v>
      </x:c>
      <x:c r="M128" s="99" t="n">
        <x:v>0.81333333</x:v>
      </x:c>
      <x:c r="N128" s="99" t="n">
        <x:v>0.49074074</x:v>
      </x:c>
      <x:c r="O128" s="99" t="n">
        <x:v>0.22348485</x:v>
      </x:c>
      <x:c r="P128" s="99" t="n">
        <x:v>0.09923664</x:v>
      </x:c>
      <x:c r="Q128" s="102" t="n">
        <x:v>-1.02465</x:v>
      </x:c>
      <x:c r="R128" s="102" t="n">
        <x:v>0.207583</x:v>
      </x:c>
      <x:c r="S128" s="102" t="n">
        <x:v>3.51789</x:v>
      </x:c>
      <x:c r="T128" s="102" t="n">
        <x:v>4.326599</x:v>
      </x:c>
      <x:c r="U128" s="102" t="n">
        <x:v>3.594648</x:v>
      </x:c>
      <x:c r="V128" s="102" t="n">
        <x:v>-4.457796</x:v>
      </x:c>
      <x:c r="W128" s="102" t="n">
        <x:v>1</x:v>
      </x:c>
      <x:c r="X128" s="102" t="n">
        <x:v>1.739972</x:v>
      </x:c>
      <x:c r="Y128" s="108" t="b">
        <x:v>0</x:v>
      </x:c>
    </x:row>
    <x:row r="129">
      <x:c r="A129" s="54" t="str">
        <x:v>전준우</x:v>
      </x:c>
      <x:c r="B129" s="54" t="str">
        <x:v>LOT</x:v>
      </x:c>
      <x:c r="C129" s="54" t="n">
        <x:v>740</x:v>
      </x:c>
      <x:c r="D129" s="102" t="n">
        <x:v>3.20472</x:v>
      </x:c>
      <x:c r="E129" s="102" t="n">
        <x:v>0.989579</x:v>
      </x:c>
      <x:c r="F129" s="102" t="n">
        <x:v>0.60063</x:v>
      </x:c>
      <x:c r="G129" s="102" t="n">
        <x:v>5.491108</x:v>
      </x:c>
      <x:c r="H129" s="99" t="n">
        <x:v>0.48648649</x:v>
      </x:c>
      <x:c r="I129" s="99" t="n">
        <x:v>0.67575758</x:v>
      </x:c>
      <x:c r="J129" s="99" t="n">
        <x:v>0.33414634</x:v>
      </x:c>
      <x:c r="K129" s="99" t="n">
        <x:v>0.34161124</x:v>
      </x:c>
      <x:c r="L129" s="99" t="n">
        <x:v>0.70833333</x:v>
      </x:c>
      <x:c r="M129" s="99" t="n">
        <x:v>0.77083333</x:v>
      </x:c>
      <x:c r="N129" s="99" t="n">
        <x:v>0.57912458</x:v>
      </x:c>
      <x:c r="O129" s="99" t="n">
        <x:v>0.35195531</x:v>
      </x:c>
      <x:c r="P129" s="99" t="n">
        <x:v>0.0625</x:v>
      </x:c>
      <x:c r="Q129" s="102" t="n">
        <x:v>1.878739</x:v>
      </x:c>
      <x:c r="R129" s="102" t="n">
        <x:v>5.187705</x:v>
      </x:c>
      <x:c r="S129" s="102" t="n">
        <x:v>-0.290402</x:v>
      </x:c>
      <x:c r="T129" s="102" t="n">
        <x:v>2.84469</x:v>
      </x:c>
      <x:c r="U129" s="102" t="n">
        <x:v>-1.458372</x:v>
      </x:c>
      <x:c r="V129" s="102" t="n">
        <x:v>5.063824</x:v>
      </x:c>
      <x:c r="W129" s="102" t="n">
        <x:v>1</x:v>
      </x:c>
      <x:c r="X129" s="102" t="n">
        <x:v>1.207222</x:v>
      </x:c>
      <x:c r="Y129" s="108" t="b">
        <x:v>0</x:v>
      </x:c>
    </x:row>
    <x:row r="130">
      <x:c r="A130" s="54" t="str">
        <x:v>정수빈</x:v>
      </x:c>
      <x:c r="B130" s="54" t="str">
        <x:v>DOO</x:v>
      </x:c>
      <x:c r="C130" s="54" t="n">
        <x:v>1781</x:v>
      </x:c>
      <x:c r="D130" s="102" t="n">
        <x:v>-0.142625</x:v>
      </x:c>
      <x:c r="E130" s="102" t="n">
        <x:v>0.778492</x:v>
      </x:c>
      <x:c r="F130" s="102" t="n">
        <x:v>0.55031</x:v>
      </x:c>
      <x:c r="G130" s="102" t="n">
        <x:v>6.453737</x:v>
      </x:c>
      <x:c r="H130" s="99" t="n">
        <x:v>0.42560359</x:v>
      </x:c>
      <x:c r="I130" s="99" t="n">
        <x:v>0.62931034</x:v>
      </x:c>
      <x:c r="J130" s="99" t="n">
        <x:v>0.25490196</x:v>
      </x:c>
      <x:c r="K130" s="99" t="n">
        <x:v>0.37440838</x:v>
      </x:c>
      <x:c r="L130" s="99" t="n">
        <x:v>0.65783133</x:v>
      </x:c>
      <x:c r="M130" s="99" t="n">
        <x:v>0.68141593</x:v>
      </x:c>
      <x:c r="N130" s="99" t="n">
        <x:v>0.51771117</x:v>
      </x:c>
      <x:c r="O130" s="99" t="n">
        <x:v>0.22850123</x:v>
      </x:c>
      <x:c r="P130" s="99" t="n">
        <x:v>0.05333333</x:v>
      </x:c>
      <x:c r="Q130" s="102" t="n">
        <x:v>-2.506785</x:v>
      </x:c>
      <x:c r="R130" s="102" t="n">
        <x:v>-2.885425</x:v>
      </x:c>
      <x:c r="S130" s="102" t="n">
        <x:v>-5.010452</x:v>
      </x:c>
      <x:c r="T130" s="102" t="n">
        <x:v>-5.782935</x:v>
      </x:c>
      <x:c r="U130" s="102" t="n">
        <x:v>-2.531565</x:v>
      </x:c>
      <x:c r="V130" s="102" t="n">
        <x:v>-0.999985</x:v>
      </x:c>
      <x:c r="W130" s="102" t="n">
        <x:v>2</x:v>
      </x:c>
      <x:c r="X130" s="102" t="n">
        <x:v>0.787076</x:v>
      </x:c>
      <x:c r="Y130" s="108" t="b">
        <x:v>0</x:v>
      </x:c>
    </x:row>
    <x:row r="131">
      <x:c r="A131" s="54" t="str">
        <x:v>정준재</x:v>
      </x:c>
      <x:c r="B131" s="54" t="str">
        <x:v>SSG</x:v>
      </x:c>
      <x:c r="C131" s="54" t="n">
        <x:v>1992</x:v>
      </x:c>
      <x:c r="D131" s="102" t="n">
        <x:v>-3.124312</x:v>
      </x:c>
      <x:c r="E131" s="102" t="n">
        <x:v>-0.622649</x:v>
      </x:c>
      <x:c r="F131" s="102" t="n">
        <x:v>0.36164</x:v>
      </x:c>
      <x:c r="G131" s="102" t="n">
        <x:v>6.338271</x:v>
      </x:c>
      <x:c r="H131" s="99" t="n">
        <x:v>0.40662650999999994</x:v>
      </x:c>
      <x:c r="I131" s="99" t="n">
        <x:v>0.60264901</x:v>
      </x:c>
      <x:c r="J131" s="99" t="n">
        <x:v>0.24309392</x:v>
      </x:c>
      <x:c r="K131" s="99" t="n">
        <x:v>0.35955508999999997</x:v>
      </x:c>
      <x:c r="L131" s="99" t="n">
        <x:v>0.6191445999999999</x:v>
      </x:c>
      <x:c r="M131" s="99" t="n">
        <x:v>0.59027778</x:v>
      </x:c>
      <x:c r="N131" s="99" t="n">
        <x:v>0.50126582</x:v>
      </x:c>
      <x:c r="O131" s="99" t="n">
        <x:v>0.20787746</x:v>
      </x:c>
      <x:c r="P131" s="99" t="n">
        <x:v>0.059055119999999996</x:v>
      </x:c>
      <x:c r="Q131" s="102" t="n">
        <x:v>-3.452418</x:v>
      </x:c>
      <x:c r="R131" s="102" t="n">
        <x:v>-5.053212</x:v>
      </x:c>
      <x:c r="S131" s="102" t="n">
        <x:v>-6.687673</x:v>
      </x:c>
      <x:c r="T131" s="102" t="n">
        <x:v>-12.811732</x:v>
      </x:c>
      <x:c r="U131" s="102" t="n">
        <x:v>-2.998363</x:v>
      </x:c>
      <x:c r="V131" s="102" t="n">
        <x:v>-2.129884</x:v>
      </x:c>
      <x:c r="W131" s="102" t="n">
        <x:v>2</x:v>
      </x:c>
      <x:c r="X131" s="102" t="n">
        <x:v>1.431989</x:v>
      </x:c>
      <x:c r="Y131" s="108" t="b">
        <x:v>0</x:v>
      </x:c>
    </x:row>
    <x:row r="132">
      <x:c r="A132" s="54" t="str">
        <x:v>정현창</x:v>
      </x:c>
      <x:c r="B132" s="54" t="str">
        <x:v>KIA</x:v>
      </x:c>
      <x:c r="C132" s="54" t="n">
        <x:v>327</x:v>
      </x:c>
      <x:c r="D132" s="102" t="n">
        <x:v>3.264492</x:v>
      </x:c>
      <x:c r="E132" s="102" t="n">
        <x:v>-1.331001</x:v>
      </x:c>
      <x:c r="F132" s="102" t="n">
        <x:v>0.31132000000000004</x:v>
      </x:c>
      <x:c r="G132" s="102" t="n">
        <x:v>6.508421</x:v>
      </x:c>
      <x:c r="H132" s="99" t="n">
        <x:v>0.46788991</x:v>
      </x:c>
      <x:c r="I132" s="99" t="n">
        <x:v>0.65957447</x:v>
      </x:c>
      <x:c r="J132" s="99" t="n">
        <x:v>0.32258065</x:v>
      </x:c>
      <x:c r="K132" s="99" t="n">
        <x:v>0.33699382</x:v>
      </x:c>
      <x:c r="L132" s="99" t="n">
        <x:v>0.65277778</x:v>
      </x:c>
      <x:c r="M132" s="99" t="n">
        <x:v>0.625</x:v>
      </x:c>
      <x:c r="N132" s="99" t="n">
        <x:v>0.58518519</x:v>
      </x:c>
      <x:c r="O132" s="99" t="n">
        <x:v>0.28395062</x:v>
      </x:c>
      <x:c r="P132" s="99" t="n">
        <x:v>0.1025641</x:v>
      </x:c>
      <x:c r="Q132" s="102" t="n">
        <x:v>3.109933</x:v>
      </x:c>
      <x:c r="R132" s="102" t="n">
        <x:v>2.396488</x:v>
      </x:c>
      <x:c r="S132" s="102" t="n">
        <x:v>-2.216458</x:v>
      </x:c>
      <x:c r="T132" s="102" t="n">
        <x:v>-8.285422</x:v>
      </x:c>
      <x:c r="U132" s="102" t="n">
        <x:v>0.827277</x:v>
      </x:c>
      <x:c r="V132" s="102" t="n">
        <x:v>6.522229</x:v>
      </x:c>
      <x:c r="W132" s="102" t="n">
        <x:v>1</x:v>
      </x:c>
      <x:c r="X132" s="102" t="n">
        <x:v>2.020702</x:v>
      </x:c>
      <x:c r="Y132" s="108" t="b">
        <x:v>0</x:v>
      </x:c>
    </x:row>
    <x:row r="133">
      <x:c r="A133" s="54" t="str">
        <x:v>조수행</x:v>
      </x:c>
      <x:c r="B133" s="54" t="str">
        <x:v>DOO</x:v>
      </x:c>
      <x:c r="C133" s="54" t="n">
        <x:v>613</x:v>
      </x:c>
      <x:c r="D133" s="102" t="n">
        <x:v>-6.293565</x:v>
      </x:c>
      <x:c r="E133" s="102" t="n">
        <x:v>3.921525</x:v>
      </x:c>
      <x:c r="F133" s="102" t="n">
        <x:v>0.88994</x:v>
      </x:c>
      <x:c r="G133" s="102" t="n">
        <x:v>7.560359</x:v>
      </x:c>
      <x:c r="H133" s="99" t="n">
        <x:v>0.36541598999999997</x:v>
      </x:c>
      <x:c r="I133" s="99" t="n">
        <x:v>0.59271523</x:v>
      </x:c>
      <x:c r="J133" s="99" t="n">
        <x:v>0.14469453</x:v>
      </x:c>
      <x:c r="K133" s="99" t="n">
        <x:v>0.4480207</x:v>
      </x:c>
      <x:c r="L133" s="99" t="n">
        <x:v>0.64705882</x:v>
      </x:c>
      <x:c r="M133" s="99" t="n">
        <x:v>0.62857143</x:v>
      </x:c>
      <x:c r="N133" s="99" t="n">
        <x:v>0.4453125</x:v>
      </x:c>
      <x:c r="O133" s="99" t="n">
        <x:v>0.07633588</x:v>
      </x:c>
      <x:c r="P133" s="99" t="n">
        <x:v>0.01369863</x:v>
      </x:c>
      <x:c r="Q133" s="102" t="n">
        <x:v>-10.025713</x:v>
      </x:c>
      <x:c r="R133" s="102" t="n">
        <x:v>-11.692172</x:v>
      </x:c>
      <x:c r="S133" s="102" t="n">
        <x:v>-11.003559</x:v>
      </x:c>
      <x:c r="T133" s="102" t="n">
        <x:v>-15.744486</x:v>
      </x:c>
      <x:c r="U133" s="102" t="n">
        <x:v>-4.164406</x:v>
      </x:c>
      <x:c r="V133" s="102" t="n">
        <x:v>-9.394281</x:v>
      </x:c>
      <x:c r="W133" s="102" t="n">
        <x:v>2</x:v>
      </x:c>
      <x:c r="X133" s="102" t="n">
        <x:v>2.822322</x:v>
      </x:c>
      <x:c r="Y133" s="108" t="b">
        <x:v>0</x:v>
      </x:c>
    </x:row>
    <x:row r="134">
      <x:c r="A134" s="54" t="str">
        <x:v>조형우</x:v>
      </x:c>
      <x:c r="B134" s="54" t="str">
        <x:v>SSG</x:v>
      </x:c>
      <x:c r="C134" s="54" t="n">
        <x:v>1193</x:v>
      </x:c>
      <x:c r="D134" s="102" t="n">
        <x:v>5.906734</x:v>
      </x:c>
      <x:c r="E134" s="102" t="n">
        <x:v>3.459536</x:v>
      </x:c>
      <x:c r="F134" s="102" t="n">
        <x:v>0.8522</x:v>
      </x:c>
      <x:c r="G134" s="102" t="n">
        <x:v>6.097375</x:v>
      </x:c>
      <x:c r="H134" s="99" t="n">
        <x:v>0.52137469</x:v>
      </x:c>
      <x:c r="I134" s="99" t="n">
        <x:v>0.7293906800000001</x:v>
      </x:c>
      <x:c r="J134" s="99" t="n">
        <x:v>0.33858268</x:v>
      </x:c>
      <x:c r="K134" s="99" t="n">
        <x:v>0.39080800000000004</x:v>
      </x:c>
      <x:c r="L134" s="99" t="n">
        <x:v>0.79151943</x:v>
      </x:c>
      <x:c r="M134" s="99" t="n">
        <x:v>0.7761194</x:v>
      </x:c>
      <x:c r="N134" s="99" t="n">
        <x:v>0.59683794</x:v>
      </x:c>
      <x:c r="O134" s="99" t="n">
        <x:v>0.328125</x:v>
      </x:c>
      <x:c r="P134" s="99" t="n">
        <x:v>0.08108108</x:v>
      </x:c>
      <x:c r="Q134" s="102" t="n">
        <x:v>4.209121</x:v>
      </x:c>
      <x:c r="R134" s="102" t="n">
        <x:v>7.371211</x:v>
      </x:c>
      <x:c r="S134" s="102" t="n">
        <x:v>4.165075</x:v>
      </x:c>
      <x:c r="T134" s="102" t="n">
        <x:v>-0.30221</x:v>
      </x:c>
      <x:c r="U134" s="102" t="n">
        <x:v>2.231263</x:v>
      </x:c>
      <x:c r="V134" s="102" t="n">
        <x:v>5.927951</x:v>
      </x:c>
      <x:c r="W134" s="102" t="n">
        <x:v>1</x:v>
      </x:c>
      <x:c r="X134" s="102" t="n">
        <x:v>0.881492</x:v>
      </x:c>
      <x:c r="Y134" s="108" t="b">
        <x:v>0</x:v>
      </x:c>
    </x:row>
    <x:row r="135">
      <x:c r="A135" s="54" t="str">
        <x:v>채은성</x:v>
      </x:c>
      <x:c r="B135" s="54" t="str">
        <x:v>HAN</x:v>
      </x:c>
      <x:c r="C135" s="54" t="n">
        <x:v>742</x:v>
      </x:c>
      <x:c r="D135" s="102" t="n">
        <x:v>1.545041</x:v>
      </x:c>
      <x:c r="E135" s="102" t="n">
        <x:v>-2.305084</x:v>
      </x:c>
      <x:c r="F135" s="102" t="n">
        <x:v>0.18553</x:v>
      </x:c>
      <x:c r="G135" s="102" t="n">
        <x:v>5.792436</x:v>
      </x:c>
      <x:c r="H135" s="99" t="n">
        <x:v>0.46226415000000004</x:v>
      </x:c>
      <x:c r="I135" s="99" t="n">
        <x:v>0.60260586</x:v>
      </x:c>
      <x:c r="J135" s="99" t="n">
        <x:v>0.36321838999999995</x:v>
      </x:c>
      <x:c r="K135" s="99" t="n">
        <x:v>0.23938747</x:v>
      </x:c>
      <x:c r="L135" s="99" t="n">
        <x:v>0.62275449</x:v>
      </x:c>
      <x:c r="M135" s="99" t="n">
        <x:v>0.59615385</x:v>
      </x:c>
      <x:c r="N135" s="99" t="n">
        <x:v>0.5862069000000001</x:v>
      </x:c>
      <x:c r="O135" s="99" t="n">
        <x:v>0.30601093</x:v>
      </x:c>
      <x:c r="P135" s="99" t="n">
        <x:v>0.12745098</x:v>
      </x:c>
      <x:c r="Q135" s="102" t="n">
        <x:v>-1.390825</x:v>
      </x:c>
      <x:c r="R135" s="102" t="n">
        <x:v>5.774104</x:v>
      </x:c>
      <x:c r="S135" s="102" t="n">
        <x:v>-3.695274</x:v>
      </x:c>
      <x:c r="T135" s="102" t="n">
        <x:v>-9.720519</x:v>
      </x:c>
      <x:c r="U135" s="102" t="n">
        <x:v>2.593661</x:v>
      </x:c>
      <x:c r="V135" s="102" t="n">
        <x:v>6.982178</x:v>
      </x:c>
      <x:c r="W135" s="102" t="n">
        <x:v>1</x:v>
      </x:c>
      <x:c r="X135" s="102" t="n">
        <x:v>2.528497</x:v>
      </x:c>
      <x:c r="Y135" s="108" t="b">
        <x:v>0</x:v>
      </x:c>
    </x:row>
    <x:row r="136">
      <x:c r="A136" s="54" t="str">
        <x:v>천성호</x:v>
      </x:c>
      <x:c r="B136" s="54" t="str">
        <x:v>LG</x:v>
      </x:c>
      <x:c r="C136" s="54" t="n">
        <x:v>837</x:v>
      </x:c>
      <x:c r="D136" s="102" t="n">
        <x:v>4.61318</x:v>
      </x:c>
      <x:c r="E136" s="102" t="n">
        <x:v>1.120051</x:v>
      </x:c>
      <x:c r="F136" s="102" t="n">
        <x:v>0.62579</x:v>
      </x:c>
      <x:c r="G136" s="102" t="n">
        <x:v>5.27226</x:v>
      </x:c>
      <x:c r="H136" s="99" t="n">
        <x:v>0.49701314</x:v>
      </x:c>
      <x:c r="I136" s="99" t="n">
        <x:v>0.68112245</x:v>
      </x:c>
      <x:c r="J136" s="99" t="n">
        <x:v>0.33483145999999997</x:v>
      </x:c>
      <x:c r="K136" s="99" t="n">
        <x:v>0.34629098999999997</x:v>
      </x:c>
      <x:c r="L136" s="99" t="n">
        <x:v>0.7661691500000001</x:v>
      </x:c>
      <x:c r="M136" s="99" t="n">
        <x:v>0.81967213</x:v>
      </x:c>
      <x:c r="N136" s="99" t="n">
        <x:v>0.55367232</x:v>
      </x:c>
      <x:c r="O136" s="99" t="n">
        <x:v>0.31914894</x:v>
      </x:c>
      <x:c r="P136" s="99" t="n">
        <x:v>0.06382979</x:v>
      </x:c>
      <x:c r="Q136" s="102" t="n">
        <x:v>2.255016</x:v>
      </x:c>
      <x:c r="R136" s="102" t="n">
        <x:v>5.348124</x:v>
      </x:c>
      <x:c r="S136" s="102" t="n">
        <x:v>5.289115</x:v>
      </x:c>
      <x:c r="T136" s="102" t="n">
        <x:v>7.534416</x:v>
      </x:c>
      <x:c r="U136" s="102" t="n">
        <x:v>-1.228645</x:v>
      </x:c>
      <x:c r="V136" s="102" t="n">
        <x:v>2.470676</x:v>
      </x:c>
      <x:c r="W136" s="102" t="n">
        <x:v>1</x:v>
      </x:c>
      <x:c r="X136" s="102" t="n">
        <x:v>1.147072</x:v>
      </x:c>
      <x:c r="Y136" s="108" t="b">
        <x:v>0</x:v>
      </x:c>
    </x:row>
    <x:row r="137">
      <x:c r="A137" s="54" t="str">
        <x:v>천재환</x:v>
      </x:c>
      <x:c r="B137" s="54" t="str">
        <x:v>NC</x:v>
      </x:c>
      <x:c r="C137" s="54" t="n">
        <x:v>892</x:v>
      </x:c>
      <x:c r="D137" s="102" t="n">
        <x:v>4.299496</x:v>
      </x:c>
      <x:c r="E137" s="102" t="n">
        <x:v>-1.627634</x:v>
      </x:c>
      <x:c r="F137" s="102" t="n">
        <x:v>0.27987</x:v>
      </x:c>
      <x:c r="G137" s="102" t="n">
        <x:v>5.50884</x:v>
      </x:c>
      <x:c r="H137" s="99" t="n">
        <x:v>0.49103139</x:v>
      </x:c>
      <x:c r="I137" s="99" t="n">
        <x:v>0.65422886</x:v>
      </x:c>
      <x:c r="J137" s="99" t="n">
        <x:v>0.35714286</x:v>
      </x:c>
      <x:c r="K137" s="99" t="n">
        <x:v>0.297086</x:v>
      </x:c>
      <x:c r="L137" s="99" t="n">
        <x:v>0.7287233999999999</x:v>
      </x:c>
      <x:c r="M137" s="99" t="n">
        <x:v>0.77777778</x:v>
      </x:c>
      <x:c r="N137" s="99" t="n">
        <x:v>0.56887755</x:v>
      </x:c>
      <x:c r="O137" s="99" t="n">
        <x:v>0.33333333000000004</x:v>
      </x:c>
      <x:c r="P137" s="99" t="n">
        <x:v>0.11666667</x:v>
      </x:c>
      <x:c r="Q137" s="102" t="n">
        <x:v>2.939616</x:v>
      </x:c>
      <x:c r="R137" s="102" t="n">
        <x:v>5.643756</x:v>
      </x:c>
      <x:c r="S137" s="102" t="n">
        <x:v>5.842052</x:v>
      </x:c>
      <x:c r="T137" s="102" t="n">
        <x:v>7.433771</x:v>
      </x:c>
      <x:c r="U137" s="102" t="n">
        <x:v>2.017574</x:v>
      </x:c>
      <x:c r="V137" s="102" t="n">
        <x:v>5.000417</x:v>
      </x:c>
      <x:c r="W137" s="102" t="n">
        <x:v>1</x:v>
      </x:c>
      <x:c r="X137" s="102" t="n">
        <x:v>0.807635</x:v>
      </x:c>
      <x:c r="Y137" s="108" t="b">
        <x:v>0</x:v>
      </x:c>
    </x:row>
    <x:row r="138">
      <x:c r="A138" s="54" t="str">
        <x:v>최원준</x:v>
      </x:c>
      <x:c r="B138" s="54" t="str">
        <x:v>KT</x:v>
      </x:c>
      <x:c r="C138" s="54" t="n">
        <x:v>1970</x:v>
      </x:c>
      <x:c r="D138" s="102" t="n">
        <x:v>0.541081</x:v>
      </x:c>
      <x:c r="E138" s="102" t="n">
        <x:v>0.900643</x:v>
      </x:c>
      <x:c r="F138" s="102" t="n">
        <x:v>0.5566</x:v>
      </x:c>
      <x:c r="G138" s="102" t="n">
        <x:v>6.167982</x:v>
      </x:c>
      <x:c r="H138" s="99" t="n">
        <x:v>0.42335025000000004</x:v>
      </x:c>
      <x:c r="I138" s="99" t="n">
        <x:v>0.62134831</x:v>
      </x:c>
      <x:c r="J138" s="99" t="n">
        <x:v>0.26018519</x:v>
      </x:c>
      <x:c r="K138" s="99" t="n">
        <x:v>0.36116312</x:v>
      </x:c>
      <x:c r="L138" s="99" t="n">
        <x:v>0.6715176700000001</x:v>
      </x:c>
      <x:c r="M138" s="99" t="n">
        <x:v>0.7307692299999999</x:v>
      </x:c>
      <x:c r="N138" s="99" t="n">
        <x:v>0.50651042</x:v>
      </x:c>
      <x:c r="O138" s="99" t="n">
        <x:v>0.23092784000000002</x:v>
      </x:c>
      <x:c r="P138" s="99" t="n">
        <x:v>0.04237288</x:v>
      </x:c>
      <x:c r="Q138" s="102" t="n">
        <x:v>-3.452981</x:v>
      </x:c>
      <x:c r="R138" s="102" t="n">
        <x:v>-2.271057</x:v>
      </x:c>
      <x:c r="S138" s="102" t="n">
        <x:v>-3.832868</x:v>
      </x:c>
      <x:c r="T138" s="102" t="n">
        <x:v>-1.029376</x:v>
      </x:c>
      <x:c r="U138" s="102" t="n">
        <x:v>-3.537032</x:v>
      </x:c>
      <x:c r="V138" s="102" t="n">
        <x:v>-2.164926</x:v>
      </x:c>
      <x:c r="W138" s="102" t="n">
        <x:v>2</x:v>
      </x:c>
      <x:c r="X138" s="102" t="n">
        <x:v>0.786632</x:v>
      </x:c>
      <x:c r="Y138" s="108" t="b">
        <x:v>0</x:v>
      </x:c>
    </x:row>
    <x:row r="139">
      <x:c r="A139" s="54" t="str">
        <x:v>최인호</x:v>
      </x:c>
      <x:c r="B139" s="54" t="str">
        <x:v>HAN</x:v>
      </x:c>
      <x:c r="C139" s="54" t="n">
        <x:v>387</x:v>
      </x:c>
      <x:c r="D139" s="102" t="n">
        <x:v>0.632109</x:v>
      </x:c>
      <x:c r="E139" s="102" t="n">
        <x:v>-2.966303</x:v>
      </x:c>
      <x:c r="F139" s="102" t="n">
        <x:v>0.09748</x:v>
      </x:c>
      <x:c r="G139" s="102" t="n">
        <x:v>5.426762</x:v>
      </x:c>
      <x:c r="H139" s="99" t="n">
        <x:v>0.43927649</x:v>
      </x:c>
      <x:c r="I139" s="99" t="n">
        <x:v>0.61538462</x:v>
      </x:c>
      <x:c r="J139" s="99" t="n">
        <x:v>0.28292683</x:v>
      </x:c>
      <x:c r="K139" s="99" t="n">
        <x:v>0.33245779</x:v>
      </x:c>
      <x:c r="L139" s="99" t="n">
        <x:v>0.77319588</x:v>
      </x:c>
      <x:c r="M139" s="99" t="n">
        <x:v>0.7037036999999999</x:v>
      </x:c>
      <x:c r="N139" s="99" t="n">
        <x:v>0.43448276</x:v>
      </x:c>
      <x:c r="O139" s="99" t="n">
        <x:v>0.27956989</x:v>
      </x:c>
      <x:c r="P139" s="99" t="n">
        <x:v>0.11538462000000001</x:v>
      </x:c>
      <x:c r="Q139" s="102" t="n">
        <x:v>0.69898</x:v>
      </x:c>
      <x:c r="R139" s="102" t="n">
        <x:v>-2.720824</x:v>
      </x:c>
      <x:c r="S139" s="102" t="n">
        <x:v>12.383043</x:v>
      </x:c>
      <x:c r="T139" s="102" t="n">
        <x:v>2.018417</x:v>
      </x:c>
      <x:c r="U139" s="102" t="n">
        <x:v>0.896716</x:v>
      </x:c>
      <x:c r="V139" s="102" t="n">
        <x:v>-7.947372</x:v>
      </x:c>
      <x:c r="W139" s="102" t="n">
        <x:v>1</x:v>
      </x:c>
      <x:c r="X139" s="102" t="n">
        <x:v>2.774081</x:v>
      </x:c>
      <x:c r="Y139" s="108" t="b">
        <x:v>0</x:v>
      </x:c>
    </x:row>
    <x:row r="140">
      <x:c r="A140" s="54" t="str">
        <x:v>최재훈</x:v>
      </x:c>
      <x:c r="B140" s="54" t="str">
        <x:v>HAN</x:v>
      </x:c>
      <x:c r="C140" s="54" t="n">
        <x:v>492</x:v>
      </x:c>
      <x:c r="D140" s="102" t="n">
        <x:v>-6.794847</x:v>
      </x:c>
      <x:c r="E140" s="102" t="n">
        <x:v>-3.714829</x:v>
      </x:c>
      <x:c r="F140" s="102" t="n">
        <x:v>0.05346</x:v>
      </x:c>
      <x:c r="G140" s="102" t="n">
        <x:v>6.601833</x:v>
      </x:c>
      <x:c r="H140" s="99" t="n">
        <x:v>0.43292683</x:v>
      </x:c>
      <x:c r="I140" s="99" t="n">
        <x:v>0.59109312</x:v>
      </x:c>
      <x:c r="J140" s="99" t="n">
        <x:v>0.27346939</x:v>
      </x:c>
      <x:c r="K140" s="99" t="n">
        <x:v>0.31762373</x:v>
      </x:c>
      <x:c r="L140" s="99" t="n">
        <x:v>0.62015504</x:v>
      </x:c>
      <x:c r="M140" s="99" t="n">
        <x:v>0.5588235300000001</x:v>
      </x:c>
      <x:c r="N140" s="99" t="n">
        <x:v>0.48241206</x:v>
      </x:c>
      <x:c r="O140" s="99" t="n">
        <x:v>0.30630631</x:v>
      </x:c>
      <x:c r="P140" s="99" t="n">
        <x:v>0.056603770000000005</x:v>
      </x:c>
      <x:c r="Q140" s="102" t="n">
        <x:v>-0.811034</x:v>
      </x:c>
      <x:c r="R140" s="102" t="n">
        <x:v>-4.19384</x:v>
      </x:c>
      <x:c r="S140" s="102" t="n">
        <x:v>-1.75031</x:v>
      </x:c>
      <x:c r="T140" s="102" t="n">
        <x:v>-11.35573</x:v>
      </x:c>
      <x:c r="U140" s="102" t="n">
        <x:v>-5.536417</x:v>
      </x:c>
      <x:c r="V140" s="102" t="n">
        <x:v>-2.87951</x:v>
      </x:c>
      <x:c r="W140" s="102" t="n">
        <x:v>2</x:v>
      </x:c>
      <x:c r="X140" s="102" t="n">
        <x:v>1.592858</x:v>
      </x:c>
      <x:c r="Y140" s="108" t="b">
        <x:v>0</x:v>
      </x:c>
    </x:row>
    <x:row r="141">
      <x:c r="A141" s="54" t="str">
        <x:v>최정</x:v>
      </x:c>
      <x:c r="B141" s="54" t="str">
        <x:v>SSG</x:v>
      </x:c>
      <x:c r="C141" s="54" t="n">
        <x:v>1226</x:v>
      </x:c>
      <x:c r="D141" s="102" t="n">
        <x:v>-0.192022</x:v>
      </x:c>
      <x:c r="E141" s="102" t="n">
        <x:v>3.94665</x:v>
      </x:c>
      <x:c r="F141" s="102" t="n">
        <x:v>0.8962300000000001</x:v>
      </x:c>
      <x:c r="G141" s="102" t="n">
        <x:v>7.360237</x:v>
      </x:c>
      <x:c r="H141" s="99" t="n">
        <x:v>0.45676997999999996</x:v>
      </x:c>
      <x:c r="I141" s="99" t="n">
        <x:v>0.70973783</x:v>
      </x:c>
      <x:c r="J141" s="99" t="n">
        <x:v>0.26156069</x:v>
      </x:c>
      <x:c r="K141" s="99" t="n">
        <x:v>0.44817714000000003</x:v>
      </x:c>
      <x:c r="L141" s="99" t="n">
        <x:v>0.77777778</x:v>
      </x:c>
      <x:c r="M141" s="99" t="n">
        <x:v>0.8</x:v>
      </x:c>
      <x:c r="N141" s="99" t="n">
        <x:v>0.5427350400000001</x:v>
      </x:c>
      <x:c r="O141" s="99" t="n">
        <x:v>0.21863799</x:v>
      </x:c>
      <x:c r="P141" s="99" t="n">
        <x:v>0.07692307999999999</x:v>
      </x:c>
      <x:c r="Q141" s="102" t="n">
        <x:v>1.645695</x:v>
      </x:c>
      <x:c r="R141" s="102" t="n">
        <x:v>0.012142</x:v>
      </x:c>
      <x:c r="S141" s="102" t="n">
        <x:v>2.029041</x:v>
      </x:c>
      <x:c r="T141" s="102" t="n">
        <x:v>1.360982</x:v>
      </x:c>
      <x:c r="U141" s="102" t="n">
        <x:v>2.176669</x:v>
      </x:c>
      <x:c r="V141" s="102" t="n">
        <x:v>0.338745</x:v>
      </x:c>
      <x:c r="W141" s="102" t="n">
        <x:v>1</x:v>
      </x:c>
      <x:c r="X141" s="102" t="n">
        <x:v>1.059782</x:v>
      </x:c>
      <x:c r="Y141" s="108" t="b">
        <x:v>0</x:v>
      </x:c>
    </x:row>
    <x:row r="142">
      <x:c r="A142" s="54" t="str">
        <x:v>최정원</x:v>
      </x:c>
      <x:c r="B142" s="54" t="str">
        <x:v>NC</x:v>
      </x:c>
      <x:c r="C142" s="54" t="n">
        <x:v>768</x:v>
      </x:c>
      <x:c r="D142" s="102" t="n">
        <x:v>-3.948593</x:v>
      </x:c>
      <x:c r="E142" s="102" t="n">
        <x:v>-2.595859</x:v>
      </x:c>
      <x:c r="F142" s="102" t="n">
        <x:v>0.13522</x:v>
      </x:c>
      <x:c r="G142" s="102" t="n">
        <x:v>5.887697</x:v>
      </x:c>
      <x:c r="H142" s="99" t="n">
        <x:v>0.40885416999999996</x:v>
      </x:c>
      <x:c r="I142" s="99" t="n">
        <x:v>0.56578947</x:v>
      </x:c>
      <x:c r="J142" s="99" t="n">
        <x:v>0.25515464</x:v>
      </x:c>
      <x:c r="K142" s="99" t="n">
        <x:v>0.31063483000000003</x:v>
      </x:c>
      <x:c r="L142" s="99" t="n">
        <x:v>0.6336633700000001</x:v>
      </x:c>
      <x:c r="M142" s="99" t="n">
        <x:v>0.71875</x:v>
      </x:c>
      <x:c r="N142" s="99" t="n">
        <x:v>0.45307443</x:v>
      </x:c>
      <x:c r="O142" s="99" t="n">
        <x:v>0.21787709</x:v>
      </x:c>
      <x:c r="P142" s="99" t="n">
        <x:v>0.08974359</x:v>
      </x:c>
      <x:c r="Q142" s="102" t="n">
        <x:v>-4.715413</x:v>
      </x:c>
      <x:c r="R142" s="102" t="n">
        <x:v>-5.237097</x:v>
      </x:c>
      <x:c r="S142" s="102" t="n">
        <x:v>-2.1496</x:v>
      </x:c>
      <x:c r="T142" s="102" t="n">
        <x:v>2.971794</x:v>
      </x:c>
      <x:c r="U142" s="102" t="n">
        <x:v>-1.392694</x:v>
      </x:c>
      <x:c r="V142" s="102" t="n">
        <x:v>-6.224268</x:v>
      </x:c>
      <x:c r="W142" s="102" t="n">
        <x:v>2</x:v>
      </x:c>
      <x:c r="X142" s="102" t="n">
        <x:v>1.07674</x:v>
      </x:c>
      <x:c r="Y142" s="108" t="b">
        <x:v>0</x:v>
      </x:c>
    </x:row>
    <x:row r="143">
      <x:c r="A143" s="54" t="str">
        <x:v>최주환</x:v>
      </x:c>
      <x:c r="B143" s="54" t="str">
        <x:v>KIW</x:v>
      </x:c>
      <x:c r="C143" s="54" t="n">
        <x:v>1265</x:v>
      </x:c>
      <x:c r="D143" s="102" t="n">
        <x:v>-1.795591</x:v>
      </x:c>
      <x:c r="E143" s="102" t="n">
        <x:v>-2.222022</x:v>
      </x:c>
      <x:c r="F143" s="102" t="n">
        <x:v>0.20440000000000003</x:v>
      </x:c>
      <x:c r="G143" s="102" t="n">
        <x:v>6.104288</x:v>
      </x:c>
      <x:c r="H143" s="99" t="n">
        <x:v>0.40711462</x:v>
      </x:c>
      <x:c r="I143" s="99" t="n">
        <x:v>0.58614232</x:v>
      </x:c>
      <x:c r="J143" s="99" t="n">
        <x:v>0.27633379</x:v>
      </x:c>
      <x:c r="K143" s="99" t="n">
        <x:v>0.30980852999999997</x:v>
      </x:c>
      <x:c r="L143" s="99" t="n">
        <x:v>0.6329587999999999</x:v>
      </x:c>
      <x:c r="M143" s="99" t="n">
        <x:v>0.5774647900000001</x:v>
      </x:c>
      <x:c r="N143" s="99" t="n">
        <x:v>0.49328215</x:v>
      </x:c>
      <x:c r="O143" s="99" t="n">
        <x:v>0.23300971</x:v>
      </x:c>
      <x:c r="P143" s="99" t="n">
        <x:v>0.10119048</x:v>
      </x:c>
      <x:c r="Q143" s="102" t="n">
        <x:v>-3.139173</x:v>
      </x:c>
      <x:c r="R143" s="102" t="n">
        <x:v>-2.855846</x:v>
      </x:c>
      <x:c r="S143" s="102" t="n">
        <x:v>-2.804756</x:v>
      </x:c>
      <x:c r="T143" s="102" t="n">
        <x:v>-11.713028</x:v>
      </x:c>
      <x:c r="U143" s="102" t="n">
        <x:v>0.029203</x:v>
      </x:c>
      <x:c r="V143" s="102" t="n">
        <x:v>-2.340806</x:v>
      </x:c>
      <x:c r="W143" s="102" t="n">
        <x:v>2</x:v>
      </x:c>
      <x:c r="X143" s="102" t="n">
        <x:v>1.357479</x:v>
      </x:c>
      <x:c r="Y143" s="108" t="b">
        <x:v>0</x:v>
      </x:c>
    </x:row>
    <x:row r="144">
      <x:c r="A144" s="54" t="str">
        <x:v>최지훈</x:v>
      </x:c>
      <x:c r="B144" s="54" t="str">
        <x:v>SSG</x:v>
      </x:c>
      <x:c r="C144" s="54" t="n">
        <x:v>1926</x:v>
      </x:c>
      <x:c r="D144" s="102" t="n">
        <x:v>-0.384308</x:v>
      </x:c>
      <x:c r="E144" s="102" t="n">
        <x:v>-2.561515</x:v>
      </x:c>
      <x:c r="F144" s="102" t="n">
        <x:v>0.14151</x:v>
      </x:c>
      <x:c r="G144" s="102" t="n">
        <x:v>5.550696</x:v>
      </x:c>
      <x:c r="H144" s="99" t="n">
        <x:v>0.44652129</x:v>
      </x:c>
      <x:c r="I144" s="99" t="n">
        <x:v>0.6137931</x:v>
      </x:c>
      <x:c r="J144" s="99" t="n">
        <x:v>0.30871212</x:v>
      </x:c>
      <x:c r="K144" s="99" t="n">
        <x:v>0.30508098</x:v>
      </x:c>
      <x:c r="L144" s="99" t="n">
        <x:v>0.68351648</x:v>
      </x:c>
      <x:c r="M144" s="99" t="n">
        <x:v>0.7234042599999999</x:v>
      </x:c>
      <x:c r="N144" s="99" t="n">
        <x:v>0.48789346</x:v>
      </x:c>
      <x:c r="O144" s="99" t="n">
        <x:v>0.2817552</x:v>
      </x:c>
      <x:c r="P144" s="99" t="n">
        <x:v>0.11320755</x:v>
      </x:c>
      <x:c r="Q144" s="102" t="n">
        <x:v>0.042778</x:v>
      </x:c>
      <x:c r="R144" s="102" t="n">
        <x:v>0.142844</x:v>
      </x:c>
      <x:c r="S144" s="102" t="n">
        <x:v>2.781995</x:v>
      </x:c>
      <x:c r="T144" s="102" t="n">
        <x:v>3.386114</x:v>
      </x:c>
      <x:c r="U144" s="102" t="n">
        <x:v>0.979169</x:v>
      </x:c>
      <x:c r="V144" s="102" t="n">
        <x:v>-2.75498</x:v>
      </x:c>
      <x:c r="W144" s="102" t="n">
        <x:v>1</x:v>
      </x:c>
      <x:c r="X144" s="102" t="n">
        <x:v>1.426466</x:v>
      </x:c>
      <x:c r="Y144" s="108" t="b">
        <x:v>0</x:v>
      </x:c>
    </x:row>
    <x:row r="145">
      <x:c r="A145" s="54" t="str">
        <x:v>최형우</x:v>
      </x:c>
      <x:c r="B145" s="54" t="str">
        <x:v>SAM</x:v>
      </x:c>
      <x:c r="C145" s="54" t="n">
        <x:v>1889</x:v>
      </x:c>
      <x:c r="D145" s="102" t="n">
        <x:v>2.647976</x:v>
      </x:c>
      <x:c r="E145" s="102" t="n">
        <x:v>4.158819</x:v>
      </x:c>
      <x:c r="F145" s="102" t="n">
        <x:v>0.9213800000000001</x:v>
      </x:c>
      <x:c r="G145" s="102" t="n">
        <x:v>7.900838</x:v>
      </x:c>
      <x:c r="H145" s="99" t="n">
        <x:v>0.46691371</x:v>
      </x:c>
      <x:c r="I145" s="99" t="n">
        <x:v>0.7108433700000001</x:v>
      </x:c>
      <x:c r="J145" s="99" t="n">
        <x:v>0.27573182</x:v>
      </x:c>
      <x:c r="K145" s="99" t="n">
        <x:v>0.43511155</x:v>
      </x:c>
      <x:c r="L145" s="99" t="n">
        <x:v>0.74216867</x:v>
      </x:c>
      <x:c r="M145" s="99" t="n">
        <x:v>0.72477064</x:v>
      </x:c>
      <x:c r="N145" s="99" t="n">
        <x:v>0.59949303</x:v>
      </x:c>
      <x:c r="O145" s="99" t="n">
        <x:v>0.19727891</x:v>
      </x:c>
      <x:c r="P145" s="99" t="n">
        <x:v>0.05737705</x:v>
      </x:c>
      <x:c r="Q145" s="102" t="n">
        <x:v>1.495721</x:v>
      </x:c>
      <x:c r="R145" s="102" t="n">
        <x:v>1.57871</x:v>
      </x:c>
      <x:c r="S145" s="102" t="n">
        <x:v>-1.863713</x:v>
      </x:c>
      <x:c r="T145" s="102" t="n">
        <x:v>-6.477679</x:v>
      </x:c>
      <x:c r="U145" s="102" t="n">
        <x:v>0.379394</x:v>
      </x:c>
      <x:c r="V145" s="102" t="n">
        <x:v>5.936615</x:v>
      </x:c>
      <x:c r="W145" s="102" t="n">
        <x:v>1</x:v>
      </x:c>
      <x:c r="X145" s="102" t="n">
        <x:v>1.862337</x:v>
      </x:c>
      <x:c r="Y145" s="108" t="b">
        <x:v>0</x:v>
      </x:c>
    </x:row>
    <x:row r="146">
      <x:c r="A146" s="54" t="str">
        <x:v>추재현</x:v>
      </x:c>
      <x:c r="B146" s="54" t="str">
        <x:v>KIW</x:v>
      </x:c>
      <x:c r="C146" s="54" t="n">
        <x:v>919</x:v>
      </x:c>
      <x:c r="D146" s="102" t="n">
        <x:v>0.04788</x:v>
      </x:c>
      <x:c r="E146" s="102" t="n">
        <x:v>0.453942</x:v>
      </x:c>
      <x:c r="F146" s="102" t="n">
        <x:v>0.49371000000000004</x:v>
      </x:c>
      <x:c r="G146" s="102" t="n">
        <x:v>6.51769</x:v>
      </x:c>
      <x:c r="H146" s="99" t="n">
        <x:v>0.44940152</x:v>
      </x:c>
      <x:c r="I146" s="99" t="n">
        <x:v>0.65348837</x:v>
      </x:c>
      <x:c r="J146" s="99" t="n">
        <x:v>0.26993865</x:v>
      </x:c>
      <x:c r="K146" s="99" t="n">
        <x:v>0.38354972</x:v>
      </x:c>
      <x:c r="L146" s="99" t="n">
        <x:v>0.73279352</x:v>
      </x:c>
      <x:c r="M146" s="99" t="n">
        <x:v>0.7647058800000001</x:v>
      </x:c>
      <x:c r="N146" s="99" t="n">
        <x:v>0.46875</x:v>
      </x:c>
      <x:c r="O146" s="99" t="n">
        <x:v>0.28571429</x:v>
      </x:c>
      <x:c r="P146" s="99" t="n">
        <x:v>0.03125</x:v>
      </x:c>
      <x:c r="Q146" s="102" t="n">
        <x:v>0.309542</x:v>
      </x:c>
      <x:c r="R146" s="102" t="n">
        <x:v>-1.610374</x:v>
      </x:c>
      <x:c r="S146" s="102" t="n">
        <x:v>2.993379</x:v>
      </x:c>
      <x:c r="T146" s="102" t="n">
        <x:v>3.029018</x:v>
      </x:c>
      <x:c r="U146" s="102" t="n">
        <x:v>-4.980559</x:v>
      </x:c>
      <x:c r="V146" s="102" t="n">
        <x:v>-5.776896</x:v>
      </x:c>
      <x:c r="W146" s="102" t="n">
        <x:v>2</x:v>
      </x:c>
      <x:c r="X146" s="102" t="n">
        <x:v>2.043739</x:v>
      </x:c>
      <x:c r="Y146" s="108" t="b">
        <x:v>0</x:v>
      </x:c>
    </x:row>
    <x:row r="147">
      <x:c r="A147" s="54" t="str">
        <x:v>카메론</x:v>
      </x:c>
      <x:c r="B147" s="54" t="str">
        <x:v>DOO</x:v>
      </x:c>
      <x:c r="C147" s="54" t="n">
        <x:v>1117</x:v>
      </x:c>
      <x:c r="D147" s="102" t="n">
        <x:v>1.514579</x:v>
      </x:c>
      <x:c r="E147" s="102" t="n">
        <x:v>3.258426</x:v>
      </x:c>
      <x:c r="F147" s="102" t="n">
        <x:v>0.8270399999999999</x:v>
      </x:c>
      <x:c r="G147" s="102" t="n">
        <x:v>6.124333</x:v>
      </x:c>
      <x:c r="H147" s="99" t="n">
        <x:v>0.45389436000000005</x:v>
      </x:c>
      <x:c r="I147" s="99" t="n">
        <x:v>0.66336634</x:v>
      </x:c>
      <x:c r="J147" s="99" t="n">
        <x:v>0.28104575</x:v>
      </x:c>
      <x:c r="K147" s="99" t="n">
        <x:v>0.38232059</x:v>
      </x:c>
      <x:c r="L147" s="99" t="n">
        <x:v>0.70437956</x:v>
      </x:c>
      <x:c r="M147" s="99" t="n">
        <x:v>0.81081081</x:v>
      </x:c>
      <x:c r="N147" s="99" t="n">
        <x:v>0.56872038</x:v>
      </x:c>
      <x:c r="O147" s="99" t="n">
        <x:v>0.24814814999999998</x:v>
      </x:c>
      <x:c r="P147" s="99" t="n">
        <x:v>0.046357619999999995</x:v>
      </x:c>
      <x:c r="Q147" s="102" t="n">
        <x:v>-2.146365</x:v>
      </x:c>
      <x:c r="R147" s="102" t="n">
        <x:v>1.475854</x:v>
      </x:c>
      <x:c r="S147" s="102" t="n">
        <x:v>-4.234366</x:v>
      </x:c>
      <x:c r="T147" s="102" t="n">
        <x:v>3.466199</x:v>
      </x:c>
      <x:c r="U147" s="102" t="n">
        <x:v>-1.39021</x:v>
      </x:c>
      <x:c r="V147" s="102" t="n">
        <x:v>3.190062</x:v>
      </x:c>
      <x:c r="W147" s="102" t="n">
        <x:v>2</x:v>
      </x:c>
      <x:c r="X147" s="102" t="n">
        <x:v>1.946994</x:v>
      </x:c>
      <x:c r="Y147" s="108" t="b">
        <x:v>0</x:v>
      </x:c>
    </x:row>
    <x:row r="148">
      <x:c r="A148" s="54" t="str">
        <x:v>카스트로</x:v>
      </x:c>
      <x:c r="B148" s="54" t="str">
        <x:v>KIA</x:v>
      </x:c>
      <x:c r="C148" s="54" t="n">
        <x:v>1158</x:v>
      </x:c>
      <x:c r="D148" s="102" t="n">
        <x:v>8.774258</x:v>
      </x:c>
      <x:c r="E148" s="102" t="n">
        <x:v>-4.890771</x:v>
      </x:c>
      <x:c r="F148" s="102" t="n">
        <x:v>0.03459</x:v>
      </x:c>
      <x:c r="G148" s="102" t="n">
        <x:v>4.212551</x:v>
      </x:c>
      <x:c r="H148" s="99" t="n">
        <x:v>0.50863558</x:v>
      </x:c>
      <x:c r="I148" s="99" t="n">
        <x:v>0.67061144</x:v>
      </x:c>
      <x:c r="J148" s="99" t="n">
        <x:v>0.38248848</x:v>
      </x:c>
      <x:c r="K148" s="99" t="n">
        <x:v>0.28812296</x:v>
      </x:c>
      <x:c r="L148" s="99" t="n">
        <x:v>0.70588235</x:v>
      </x:c>
      <x:c r="M148" s="99" t="n">
        <x:v>0.69117647</x:v>
      </x:c>
      <x:c r="N148" s="99" t="n">
        <x:v>0.58029979</x:v>
      </x:c>
      <x:c r="O148" s="99" t="n">
        <x:v>0.42962963000000004</x:v>
      </x:c>
      <x:c r="P148" s="99" t="n">
        <x:v>0.13253012</x:v>
      </x:c>
      <x:c r="Q148" s="102" t="n">
        <x:v>8.58477</x:v>
      </x:c>
      <x:c r="R148" s="102" t="n">
        <x:v>5.87972</x:v>
      </x:c>
      <x:c r="S148" s="102" t="n">
        <x:v>8.661651</x:v>
      </x:c>
      <x:c r="T148" s="102" t="n">
        <x:v>3.629467</x:v>
      </x:c>
      <x:c r="U148" s="102" t="n">
        <x:v>1.184231</x:v>
      </x:c>
      <x:c r="V148" s="102" t="n">
        <x:v>7.341184</x:v>
      </x:c>
      <x:c r="W148" s="102" t="n">
        <x:v>1</x:v>
      </x:c>
      <x:c r="X148" s="102" t="n">
        <x:v>1.430912</x:v>
      </x:c>
      <x:c r="Y148" s="108" t="b">
        <x:v>0</x:v>
      </x:c>
    </x:row>
    <x:row r="149">
      <x:c r="A149" s="54" t="str">
        <x:v>페라자</x:v>
      </x:c>
      <x:c r="B149" s="54" t="str">
        <x:v>HAN</x:v>
      </x:c>
      <x:c r="C149" s="54" t="n">
        <x:v>1989</x:v>
      </x:c>
      <x:c r="D149" s="102" t="n">
        <x:v>1.463401</x:v>
      </x:c>
      <x:c r="E149" s="102" t="n">
        <x:v>3.916739</x:v>
      </x:c>
      <x:c r="F149" s="102" t="n">
        <x:v>0.8836499999999999</x:v>
      </x:c>
      <x:c r="G149" s="102" t="n">
        <x:v>7.48136</x:v>
      </x:c>
      <x:c r="H149" s="99" t="n">
        <x:v>0.44042232</x:v>
      </x:c>
      <x:c r="I149" s="99" t="n">
        <x:v>0.71801242</x:v>
      </x:c>
      <x:c r="J149" s="99" t="n">
        <x:v>0.25168919</x:v>
      </x:c>
      <x:c r="K149" s="99" t="n">
        <x:v>0.46632323</x:v>
      </x:c>
      <x:c r="L149" s="99" t="n">
        <x:v>0.7875894999999999</x:v>
      </x:c>
      <x:c r="M149" s="99" t="n">
        <x:v>0.81981982</x:v>
      </x:c>
      <x:c r="N149" s="99" t="n">
        <x:v>0.54628422</x:v>
      </x:c>
      <x:c r="O149" s="99" t="n">
        <x:v>0.22874493999999998</x:v>
      </x:c>
      <x:c r="P149" s="99" t="n">
        <x:v>0.045307440000000004</x:v>
      </x:c>
      <x:c r="Q149" s="102" t="n">
        <x:v>2.509883</x:v>
      </x:c>
      <x:c r="R149" s="102" t="n">
        <x:v>-0.996078</x:v>
      </x:c>
      <x:c r="S149" s="102" t="n">
        <x:v>3.056995</x:v>
      </x:c>
      <x:c r="T149" s="102" t="n">
        <x:v>3.387475</x:v>
      </x:c>
      <x:c r="U149" s="102" t="n">
        <x:v>-1.007074</x:v>
      </x:c>
      <x:c r="V149" s="102" t="n">
        <x:v>0.704649</x:v>
      </x:c>
      <x:c r="W149" s="102" t="n">
        <x:v>1</x:v>
      </x:c>
      <x:c r="X149" s="102" t="n">
        <x:v>1.285951</x:v>
      </x:c>
      <x:c r="Y149" s="108" t="b">
        <x:v>0</x:v>
      </x:c>
    </x:row>
    <x:row r="150">
      <x:c r="A150" s="54" t="str">
        <x:v>하주석</x:v>
      </x:c>
      <x:c r="B150" s="54" t="str">
        <x:v>HAN · KIA</x:v>
      </x:c>
      <x:c r="C150" s="54" t="n">
        <x:v>628</x:v>
      </x:c>
      <x:c r="D150" s="102" t="n">
        <x:v>12.64621</x:v>
      </x:c>
      <x:c r="E150" s="102" t="n">
        <x:v>0.47408</x:v>
      </x:c>
      <x:c r="F150" s="102" t="n">
        <x:v>0.50629</x:v>
      </x:c>
      <x:c r="G150" s="102" t="n">
        <x:v>6.006854</x:v>
      </x:c>
      <x:c r="H150" s="99" t="n">
        <x:v>0.54936306</x:v>
      </x:c>
      <x:c r="I150" s="99" t="n">
        <x:v>0.80534351</x:v>
      </x:c>
      <x:c r="J150" s="99" t="n">
        <x:v>0.36612022000000005</x:v>
      </x:c>
      <x:c r="K150" s="99" t="n">
        <x:v>0.43922329</x:v>
      </x:c>
      <x:c r="L150" s="99" t="n">
        <x:v>0.85245902</x:v>
      </x:c>
      <x:c r="M150" s="99" t="n">
        <x:v>1</x:v>
      </x:c>
      <x:c r="N150" s="99" t="n">
        <x:v>0.6539924</x:v>
      </x:c>
      <x:c r="O150" s="99" t="n">
        <x:v>0.3862069</x:v>
      </x:c>
      <x:c r="P150" s="99" t="n">
        <x:v>0.13265306000000002</x:v>
      </x:c>
      <x:c r="Q150" s="102" t="n">
        <x:v>15.470328</x:v>
      </x:c>
      <x:c r="R150" s="102" t="n">
        <x:v>8.021969</x:v>
      </x:c>
      <x:c r="S150" s="102" t="n">
        <x:v>14.928432</x:v>
      </x:c>
      <x:c r="T150" s="102" t="n">
        <x:v>26.528463</x:v>
      </x:c>
      <x:c r="U150" s="102" t="n">
        <x:v>5.17468</x:v>
      </x:c>
      <x:c r="V150" s="102" t="n">
        <x:v>12.739948</x:v>
      </x:c>
      <x:c r="W150" s="102" t="n">
        <x:v>1</x:v>
      </x:c>
      <x:c r="X150" s="102" t="n">
        <x:v>4.728329</x:v>
      </x:c>
      <x:c r="Y150" s="108" t="b">
        <x:v>1</x:v>
      </x:c>
    </x:row>
    <x:row r="151">
      <x:c r="A151" s="54" t="str">
        <x:v>한동희</x:v>
      </x:c>
      <x:c r="B151" s="54" t="str">
        <x:v>LOT</x:v>
      </x:c>
      <x:c r="C151" s="54" t="n">
        <x:v>1208</x:v>
      </x:c>
      <x:c r="D151" s="102" t="n">
        <x:v>2.678168</x:v>
      </x:c>
      <x:c r="E151" s="102" t="n">
        <x:v>1.156366</x:v>
      </x:c>
      <x:c r="F151" s="102" t="n">
        <x:v>0.63208</x:v>
      </x:c>
      <x:c r="G151" s="102" t="n">
        <x:v>5.616716</x:v>
      </x:c>
      <x:c r="H151" s="99" t="n">
        <x:v>0.48096026000000003</x:v>
      </x:c>
      <x:c r="I151" s="99" t="n">
        <x:v>0.67962963</x:v>
      </x:c>
      <x:c r="J151" s="99" t="n">
        <x:v>0.32035927999999997</x:v>
      </x:c>
      <x:c r="K151" s="99" t="n">
        <x:v>0.35927034999999996</x:v>
      </x:c>
      <x:c r="L151" s="99" t="n">
        <x:v>0.75958188</x:v>
      </x:c>
      <x:c r="M151" s="99" t="n">
        <x:v>0.7411764700000001</x:v>
      </x:c>
      <x:c r="N151" s="99" t="n">
        <x:v>0.53991597</x:v>
      </x:c>
      <x:c r="O151" s="99" t="n">
        <x:v>0.32</x:v>
      </x:c>
      <x:c r="P151" s="99" t="n">
        <x:v>0.10588234999999999</x:v>
      </x:c>
      <x:c r="Q151" s="102" t="n">
        <x:v>2.061142</x:v>
      </x:c>
      <x:c r="R151" s="102" t="n">
        <x:v>3.926487</x:v>
      </x:c>
      <x:c r="S151" s="102" t="n">
        <x:v>4.57359</x:v>
      </x:c>
      <x:c r="T151" s="102" t="n">
        <x:v>-0.36919</x:v>
      </x:c>
      <x:c r="U151" s="102" t="n">
        <x:v>3.003539</x:v>
      </x:c>
      <x:c r="V151" s="102" t="n">
        <x:v>1.081703</x:v>
      </x:c>
      <x:c r="W151" s="102" t="n">
        <x:v>1</x:v>
      </x:c>
      <x:c r="X151" s="102" t="n">
        <x:v>0.844004</x:v>
      </x:c>
      <x:c r="Y151" s="108" t="b">
        <x:v>0</x:v>
      </x:c>
    </x:row>
    <x:row r="152">
      <x:c r="A152" s="54" t="str">
        <x:v>한석현</x:v>
      </x:c>
      <x:c r="B152" s="54" t="str">
        <x:v>NC</x:v>
      </x:c>
      <x:c r="C152" s="54" t="n">
        <x:v>486</x:v>
      </x:c>
      <x:c r="D152" s="102" t="n">
        <x:v>7.449454</x:v>
      </x:c>
      <x:c r="E152" s="102" t="n">
        <x:v>4.954603</x:v>
      </x:c>
      <x:c r="F152" s="102" t="n">
        <x:v>0.9591200000000001</x:v>
      </x:c>
      <x:c r="G152" s="102" t="n">
        <x:v>5.779111</x:v>
      </x:c>
      <x:c r="H152" s="99" t="n">
        <x:v>0.51851852</x:v>
      </x:c>
      <x:c r="I152" s="99" t="n">
        <x:v>0.7439024399999999</x:v>
      </x:c>
      <x:c r="J152" s="99" t="n">
        <x:v>0.2875</x:v>
      </x:c>
      <x:c r="K152" s="99" t="n">
        <x:v>0.45640244</x:v>
      </x:c>
      <x:c r="L152" s="99" t="n">
        <x:v>0.81395349</x:v>
      </x:c>
      <x:c r="M152" s="99" t="n">
        <x:v>0.77777778</x:v>
      </x:c>
      <x:c r="N152" s="99" t="n">
        <x:v>0.575</x:v>
      </x:c>
      <x:c r="O152" s="99" t="n">
        <x:v>0.28431373</x:v>
      </x:c>
      <x:c r="P152" s="99" t="n">
        <x:v>0.05454545</x:v>
      </x:c>
      <x:c r="Q152" s="102" t="n">
        <x:v>3.824463</x:v>
      </x:c>
      <x:c r="R152" s="102" t="n">
        <x:v>3.316089</x:v>
      </x:c>
      <x:c r="S152" s="102" t="n">
        <x:v>4.070124</x:v>
      </x:c>
      <x:c r="T152" s="102" t="n">
        <x:v>-2.36116</x:v>
      </x:c>
      <x:c r="U152" s="102" t="n">
        <x:v>0.686326</x:v>
      </x:c>
      <x:c r="V152" s="102" t="n">
        <x:v>3.195022</x:v>
      </x:c>
      <x:c r="W152" s="102" t="n">
        <x:v>1</x:v>
      </x:c>
      <x:c r="X152" s="102" t="n">
        <x:v>0.887234</x:v>
      </x:c>
      <x:c r="Y152" s="108" t="b">
        <x:v>0</x:v>
      </x:c>
    </x:row>
    <x:row r="153">
      <x:c r="A153" s="54" t="str">
        <x:v>한승택</x:v>
      </x:c>
      <x:c r="B153" s="54" t="str">
        <x:v>KT</x:v>
      </x:c>
      <x:c r="C153" s="54" t="n">
        <x:v>1176</x:v>
      </x:c>
      <x:c r="D153" s="102" t="n">
        <x:v>-3.447327</x:v>
      </x:c>
      <x:c r="E153" s="102" t="n">
        <x:v>-0.573662</x:v>
      </x:c>
      <x:c r="F153" s="102" t="n">
        <x:v>0.37421</x:v>
      </x:c>
      <x:c r="G153" s="102" t="n">
        <x:v>6.478805</x:v>
      </x:c>
      <x:c r="H153" s="99" t="n">
        <x:v>0.42857143000000003</x:v>
      </x:c>
      <x:c r="I153" s="99" t="n">
        <x:v>0.61958569</x:v>
      </x:c>
      <x:c r="J153" s="99" t="n">
        <x:v>0.27131783</x:v>
      </x:c>
      <x:c r="K153" s="99" t="n">
        <x:v>0.34826786</x:v>
      </x:c>
      <x:c r="L153" s="99" t="n">
        <x:v>0.63851351</x:v>
      </x:c>
      <x:c r="M153" s="99" t="n">
        <x:v>0.69354839</x:v>
      </x:c>
      <x:c r="N153" s="99" t="n">
        <x:v>0.5199115</x:v>
      </x:c>
      <x:c r="O153" s="99" t="n">
        <x:v>0.24567474</x:v>
      </x:c>
      <x:c r="P153" s="99" t="n">
        <x:v>0.0647482</x:v>
      </x:c>
      <x:c r="Q153" s="102" t="n">
        <x:v>-1.818903</x:v>
      </x:c>
      <x:c r="R153" s="102" t="n">
        <x:v>-2.196314</x:v>
      </x:c>
      <x:c r="S153" s="102" t="n">
        <x:v>-4.8274</x:v>
      </x:c>
      <x:c r="T153" s="102" t="n">
        <x:v>-2.557568</x:v>
      </x:c>
      <x:c r="U153" s="102" t="n">
        <x:v>-2.39273</x:v>
      </x:c>
      <x:c r="V153" s="102" t="n">
        <x:v>-0.283309</x:v>
      </x:c>
      <x:c r="W153" s="102" t="n">
        <x:v>2</x:v>
      </x:c>
      <x:c r="X153" s="102" t="n">
        <x:v>0.938825</x:v>
      </x:c>
      <x:c r="Y153" s="108" t="b">
        <x:v>0</x:v>
      </x:c>
    </x:row>
    <x:row r="154">
      <x:c r="A154" s="54" t="str">
        <x:v>한유섬</x:v>
      </x:c>
      <x:c r="B154" s="54" t="str">
        <x:v>SSG</x:v>
      </x:c>
      <x:c r="C154" s="54" t="n">
        <x:v>676</x:v>
      </x:c>
      <x:c r="D154" s="102" t="n">
        <x:v>-0.02194</x:v>
      </x:c>
      <x:c r="E154" s="102" t="n">
        <x:v>1.298176</x:v>
      </x:c>
      <x:c r="F154" s="102" t="n">
        <x:v>0.66352</x:v>
      </x:c>
      <x:c r="G154" s="102" t="n">
        <x:v>6.537656</x:v>
      </x:c>
      <x:c r="H154" s="99" t="n">
        <x:v>0.43343195</x:v>
      </x:c>
      <x:c r="I154" s="99" t="n">
        <x:v>0.6587837799999999</x:v>
      </x:c>
      <x:c r="J154" s="99" t="n">
        <x:v>0.25789474</x:v>
      </x:c>
      <x:c r="K154" s="99" t="n">
        <x:v>0.40088904</x:v>
      </x:c>
      <x:c r="L154" s="99" t="n">
        <x:v>0.72327044</x:v>
      </x:c>
      <x:c r="M154" s="99" t="n">
        <x:v>0.78787879</x:v>
      </x:c>
      <x:c r="N154" s="99" t="n">
        <x:v>0.5</x:v>
      </x:c>
      <x:c r="O154" s="99" t="n">
        <x:v>0.25543478000000003</x:v>
      </x:c>
      <x:c r="P154" s="99" t="n">
        <x:v>0.061728399999999996</x:v>
      </x:c>
      <x:c r="Q154" s="102" t="n">
        <x:v>-0.197575</x:v>
      </x:c>
      <x:c r="R154" s="102" t="n">
        <x:v>-2.220075</x:v>
      </x:c>
      <x:c r="S154" s="102" t="n">
        <x:v>0.720648</x:v>
      </x:c>
      <x:c r="T154" s="102" t="n">
        <x:v>4.090017</x:v>
      </x:c>
      <x:c r="U154" s="102" t="n">
        <x:v>-1.306701</x:v>
      </x:c>
      <x:c r="V154" s="102" t="n">
        <x:v>-2.961981</x:v>
      </x:c>
      <x:c r="W154" s="102" t="n">
        <x:v>2</x:v>
      </x:c>
      <x:c r="X154" s="102" t="n">
        <x:v>1.703077</x:v>
      </x:c>
      <x:c r="Y154" s="108" t="b">
        <x:v>0</x:v>
      </x:c>
    </x:row>
    <x:row r="155">
      <x:c r="A155" s="54" t="str">
        <x:v>한준수</x:v>
      </x:c>
      <x:c r="B155" s="54" t="str">
        <x:v>KIA</x:v>
      </x:c>
      <x:c r="C155" s="54" t="n">
        <x:v>1349</x:v>
      </x:c>
      <x:c r="D155" s="102" t="n">
        <x:v>-7.554249</x:v>
      </x:c>
      <x:c r="E155" s="102" t="n">
        <x:v>0.001558</x:v>
      </x:c>
      <x:c r="F155" s="102" t="n">
        <x:v>0.42453</x:v>
      </x:c>
      <x:c r="G155" s="102" t="n">
        <x:v>7.330005</x:v>
      </x:c>
      <x:c r="H155" s="99" t="n">
        <x:v>0.36545589</x:v>
      </x:c>
      <x:c r="I155" s="99" t="n">
        <x:v>0.5851602</x:v>
      </x:c>
      <x:c r="J155" s="99" t="n">
        <x:v>0.19312169</x:v>
      </x:c>
      <x:c r="K155" s="99" t="n">
        <x:v>0.39203851</x:v>
      </x:c>
      <x:c r="L155" s="99" t="n">
        <x:v>0.64802632</x:v>
      </x:c>
      <x:c r="M155" s="99" t="n">
        <x:v>0.69565217</x:v>
      </x:c>
      <x:c r="N155" s="99" t="n">
        <x:v>0.42321429</x:v>
      </x:c>
      <x:c r="O155" s="99" t="n">
        <x:v>0.17419355</x:v>
      </x:c>
      <x:c r="P155" s="99" t="n">
        <x:v>0.028571430000000002</x:v>
      </x:c>
      <x:c r="Q155" s="102" t="n">
        <x:v>-5.96778</x:v>
      </x:c>
      <x:c r="R155" s="102" t="n">
        <x:v>-9.610735</x:v>
      </x:c>
      <x:c r="S155" s="102" t="n">
        <x:v>-4.775791</x:v>
      </x:c>
      <x:c r="T155" s="102" t="n">
        <x:v>-3.203167</x:v>
      </x:c>
      <x:c r="U155" s="102" t="n">
        <x:v>-5.583868</x:v>
      </x:c>
      <x:c r="V155" s="102" t="n">
        <x:v>-10.164307</x:v>
      </x:c>
      <x:c r="W155" s="102" t="n">
        <x:v>2</x:v>
      </x:c>
      <x:c r="X155" s="102" t="n">
        <x:v>1.545015</x:v>
      </x:c>
      <x:c r="Y155" s="108" t="b">
        <x:v>0</x:v>
      </x:c>
    </x:row>
    <x:row r="156">
      <x:c r="A156" s="54" t="str">
        <x:v>한태양</x:v>
      </x:c>
      <x:c r="B156" s="54" t="str">
        <x:v>LOT</x:v>
      </x:c>
      <x:c r="C156" s="54" t="n">
        <x:v>784</x:v>
      </x:c>
      <x:c r="D156" s="102" t="n">
        <x:v>-7.741802</x:v>
      </x:c>
      <x:c r="E156" s="102" t="n">
        <x:v>-3.011537</x:v>
      </x:c>
      <x:c r="F156" s="102" t="n">
        <x:v>0.08491</x:v>
      </x:c>
      <x:c r="G156" s="102" t="n">
        <x:v>5.855286</x:v>
      </x:c>
      <x:c r="H156" s="99" t="n">
        <x:v>0.38520408000000006</x:v>
      </x:c>
      <x:c r="I156" s="99" t="n">
        <x:v>0.55131965</x:v>
      </x:c>
      <x:c r="J156" s="99" t="n">
        <x:v>0.25733634</x:v>
      </x:c>
      <x:c r="K156" s="99" t="n">
        <x:v>0.29398331</x:v>
      </x:c>
      <x:c r="L156" s="99" t="n">
        <x:v>0.59444444</x:v>
      </x:c>
      <x:c r="M156" s="99" t="n">
        <x:v>0.58490566</x:v>
      </x:c>
      <x:c r="N156" s="99" t="n">
        <x:v>0.43613706999999996</x:v>
      </x:c>
      <x:c r="O156" s="99" t="n">
        <x:v>0.25</x:v>
      </x:c>
      <x:c r="P156" s="99" t="n">
        <x:v>0.09090909</x:v>
      </x:c>
      <x:c r="Q156" s="102" t="n">
        <x:v>-5.651973</x:v>
      </x:c>
      <x:c r="R156" s="102" t="n">
        <x:v>-5.311736</x:v>
      </x:c>
      <x:c r="S156" s="102" t="n">
        <x:v>-5.421352</x:v>
      </x:c>
      <x:c r="T156" s="102" t="n">
        <x:v>-9.794075</x:v>
      </x:c>
      <x:c r="U156" s="102" t="n">
        <x:v>-1.584379</x:v>
      </x:c>
      <x:c r="V156" s="102" t="n">
        <x:v>-7.765327</x:v>
      </x:c>
      <x:c r="W156" s="102" t="n">
        <x:v>2</x:v>
      </x:c>
      <x:c r="X156" s="102" t="n">
        <x:v>1.013834</x:v>
      </x:c>
      <x:c r="Y156" s="108" t="b">
        <x:v>0</x:v>
      </x:c>
    </x:row>
    <x:row r="157">
      <x:c r="A157" s="54" t="str">
        <x:v>허경민</x:v>
      </x:c>
      <x:c r="B157" s="54" t="str">
        <x:v>KT</x:v>
      </x:c>
      <x:c r="C157" s="54" t="n">
        <x:v>1145</x:v>
      </x:c>
      <x:c r="D157" s="102" t="n">
        <x:v>-5.009666</x:v>
      </x:c>
      <x:c r="E157" s="102" t="n">
        <x:v>-2.969186</x:v>
      </x:c>
      <x:c r="F157" s="102" t="n">
        <x:v>0.09119</x:v>
      </x:c>
      <x:c r="G157" s="102" t="n">
        <x:v>6.078727</x:v>
      </x:c>
      <x:c r="H157" s="99" t="n">
        <x:v>0.39475983</x:v>
      </x:c>
      <x:c r="I157" s="99" t="n">
        <x:v>0.5505618</x:v>
      </x:c>
      <x:c r="J157" s="99" t="n">
        <x:v>0.25859247</x:v>
      </x:c>
      <x:c r="K157" s="99" t="n">
        <x:v>0.29196933</x:v>
      </x:c>
      <x:c r="L157" s="99" t="n">
        <x:v>0.6072727299999999</x:v>
      </x:c>
      <x:c r="M157" s="99" t="n">
        <x:v>0.6533333299999999</x:v>
      </x:c>
      <x:c r="N157" s="99" t="n">
        <x:v>0.45628998000000004</x:v>
      </x:c>
      <x:c r="O157" s="99" t="n">
        <x:v>0.22058824000000002</x:v>
      </x:c>
      <x:c r="P157" s="99" t="n">
        <x:v>0.08527132</x:v>
      </x:c>
      <x:c r="Q157" s="102" t="n">
        <x:v>-5.779762</x:v>
      </x:c>
      <x:c r="R157" s="102" t="n">
        <x:v>-5.15629</x:v>
      </x:c>
      <x:c r="S157" s="102" t="n">
        <x:v>-4.204762</x:v>
      </x:c>
      <x:c r="T157" s="102" t="n">
        <x:v>-3.01433</x:v>
      </x:c>
      <x:c r="U157" s="102" t="n">
        <x:v>-2.116751</x:v>
      </x:c>
      <x:c r="V157" s="102" t="n">
        <x:v>-5.765591</x:v>
      </x:c>
      <x:c r="W157" s="102" t="n">
        <x:v>2</x:v>
      </x:c>
      <x:c r="X157" s="102" t="n">
        <x:v>0.347604</x:v>
      </x:c>
      <x:c r="Y157" s="108" t="b">
        <x:v>0</x:v>
      </x:c>
    </x:row>
    <x:row r="158">
      <x:c r="A158" s="54" t="str">
        <x:v>허인서</x:v>
      </x:c>
      <x:c r="B158" s="54" t="str">
        <x:v>HAN</x:v>
      </x:c>
      <x:c r="C158" s="54" t="n">
        <x:v>1415</x:v>
      </x:c>
      <x:c r="D158" s="102" t="n">
        <x:v>4.602729</x:v>
      </x:c>
      <x:c r="E158" s="102" t="n">
        <x:v>0.719575</x:v>
      </x:c>
      <x:c r="F158" s="102" t="n">
        <x:v>0.53145</x:v>
      </x:c>
      <x:c r="G158" s="102" t="n">
        <x:v>5.944965</x:v>
      </x:c>
      <x:c r="H158" s="99" t="n">
        <x:v>0.49681979</x:v>
      </x:c>
      <x:c r="I158" s="99" t="n">
        <x:v>0.7020934</x:v>
      </x:c>
      <x:c r="J158" s="99" t="n">
        <x:v>0.33627204</x:v>
      </x:c>
      <x:c r="K158" s="99" t="n">
        <x:v>0.36582136</x:v>
      </x:c>
      <x:c r="L158" s="99" t="n">
        <x:v>0.75</x:v>
      </x:c>
      <x:c r="M158" s="99" t="n">
        <x:v>0.80681818</x:v>
      </x:c>
      <x:c r="N158" s="99" t="n">
        <x:v>0.5696202499999999</x:v>
      </x:c>
      <x:c r="O158" s="99" t="n">
        <x:v>0.35243553</x:v>
      </x:c>
      <x:c r="P158" s="99" t="n">
        <x:v>0.11640212</x:v>
      </x:c>
      <x:c r="Q158" s="102" t="n">
        <x:v>4.843867</x:v>
      </x:c>
      <x:c r="R158" s="102" t="n">
        <x:v>5.210081</x:v>
      </x:c>
      <x:c r="S158" s="102" t="n">
        <x:v>4.298564</x:v>
      </x:c>
      <x:c r="T158" s="102" t="n">
        <x:v>6.844964</x:v>
      </x:c>
      <x:c r="U158" s="102" t="n">
        <x:v>3.731626</x:v>
      </x:c>
      <x:c r="V158" s="102" t="n">
        <x:v>4.212563</x:v>
      </x:c>
      <x:c r="W158" s="102" t="n">
        <x:v>1</x:v>
      </x:c>
      <x:c r="X158" s="102" t="n">
        <x:v>0.76382</x:v>
      </x:c>
      <x:c r="Y158" s="108" t="b">
        <x:v>0</x:v>
      </x:c>
    </x:row>
    <x:row r="159">
      <x:c r="A159" s="54" t="str">
        <x:v>홍창기</x:v>
      </x:c>
      <x:c r="B159" s="54" t="str">
        <x:v>LG</x:v>
      </x:c>
      <x:c r="C159" s="54" t="n">
        <x:v>2053</x:v>
      </x:c>
      <x:c r="D159" s="102" t="n">
        <x:v>-13.330882</x:v>
      </x:c>
      <x:c r="E159" s="102" t="n">
        <x:v>1.079838</x:v>
      </x:c>
      <x:c r="F159" s="102" t="n">
        <x:v>0.61321</x:v>
      </x:c>
      <x:c r="G159" s="102" t="n">
        <x:v>7.625226</x:v>
      </x:c>
      <x:c r="H159" s="99" t="n">
        <x:v>0.34778373</x:v>
      </x:c>
      <x:c r="I159" s="99" t="n">
        <x:v>0.56280428</x:v>
      </x:c>
      <x:c r="J159" s="99" t="n">
        <x:v>0.13255361000000002</x:v>
      </x:c>
      <x:c r="K159" s="99" t="n">
        <x:v>0.43025067</x:v>
      </x:c>
      <x:c r="L159" s="99" t="n">
        <x:v>0.6407407399999999</x:v>
      </x:c>
      <x:c r="M159" s="99" t="n">
        <x:v>0.73049645</x:v>
      </x:c>
      <x:c r="N159" s="99" t="n">
        <x:v>0.3655793</x:v>
      </x:c>
      <x:c r="O159" s="99" t="n">
        <x:v>0.09090909</x:v>
      </x:c>
      <x:c r="P159" s="99" t="n">
        <x:v>0.02427184</x:v>
      </x:c>
      <x:c r="Q159" s="102" t="n">
        <x:v>-9.527422</x:v>
      </x:c>
      <x:c r="R159" s="102" t="n">
        <x:v>-14.907988</x:v>
      </x:c>
      <x:c r="S159" s="102" t="n">
        <x:v>-7.190831</x:v>
      </x:c>
      <x:c r="T159" s="102" t="n">
        <x:v>-1.323312</x:v>
      </x:c>
      <x:c r="U159" s="102" t="n">
        <x:v>-5.214259</x:v>
      </x:c>
      <x:c r="V159" s="102" t="n">
        <x:v>-16.323856</x:v>
      </x:c>
      <x:c r="W159" s="102" t="n">
        <x:v>2</x:v>
      </x:c>
      <x:c r="X159" s="102" t="n">
        <x:v>2.903492</x:v>
      </x:c>
      <x:c r="Y159" s="108" t="b">
        <x:v>1</x:v>
      </x:c>
    </x:row>
    <x:row r="160">
      <x:c r="A160" s="54" t="str">
        <x:v>황성빈</x:v>
      </x:c>
      <x:c r="B160" s="54" t="str">
        <x:v>LOT</x:v>
      </x:c>
      <x:c r="C160" s="54" t="n">
        <x:v>1470</x:v>
      </x:c>
      <x:c r="D160" s="102" t="n">
        <x:v>5.617799</x:v>
      </x:c>
      <x:c r="E160" s="102" t="n">
        <x:v>0.736824</x:v>
      </x:c>
      <x:c r="F160" s="102" t="n">
        <x:v>0.53774</x:v>
      </x:c>
      <x:c r="G160" s="102" t="n">
        <x:v>5.586444</x:v>
      </x:c>
      <x:c r="H160" s="99" t="n">
        <x:v>0.49591837</x:v>
      </x:c>
      <x:c r="I160" s="99" t="n">
        <x:v>0.6929824600000001</x:v>
      </x:c>
      <x:c r="J160" s="99" t="n">
        <x:v>0.32442748</x:v>
      </x:c>
      <x:c r="K160" s="99" t="n">
        <x:v>0.36855498</x:v>
      </x:c>
      <x:c r="L160" s="99" t="n">
        <x:v>0.72910663</x:v>
      </x:c>
      <x:c r="M160" s="99" t="n">
        <x:v>0.7419354800000001</x:v>
      </x:c>
      <x:c r="N160" s="99" t="n">
        <x:v>0.571875</x:v>
      </x:c>
      <x:c r="O160" s="99" t="n">
        <x:v>0.31132075</x:v>
      </x:c>
      <x:c r="P160" s="99" t="n">
        <x:v>0.06666667</x:v>
      </x:c>
      <x:c r="Q160" s="102" t="n">
        <x:v>3.911592</x:v>
      </x:c>
      <x:c r="R160" s="102" t="n">
        <x:v>4.037775</x:v>
      </x:c>
      <x:c r="S160" s="102" t="n">
        <x:v>2.182249</x:v>
      </x:c>
      <x:c r="T160" s="102" t="n">
        <x:v>0.331026</x:v>
      </x:c>
      <x:c r="U160" s="102" t="n">
        <x:v>-1.229128</x:v>
      </x:c>
      <x:c r="V160" s="102" t="n">
        <x:v>4.431702</x:v>
      </x:c>
      <x:c r="W160" s="102" t="n">
        <x:v>1</x:v>
      </x:c>
      <x:c r="X160" s="102" t="n">
        <x:v>0.947075</x:v>
      </x:c>
      <x:c r="Y160" s="108" t="b">
        <x:v>0</x:v>
      </x:c>
    </x:row>
    <x:row r="161">
      <x:c r="A161" s="54" t="str">
        <x:v>황영묵</x:v>
      </x:c>
      <x:c r="B161" s="54" t="str">
        <x:v>HAN</x:v>
      </x:c>
      <x:c r="C161" s="54" t="n">
        <x:v>513</x:v>
      </x:c>
      <x:c r="D161" s="102" t="n">
        <x:v>2.56367</x:v>
      </x:c>
      <x:c r="E161" s="102" t="n">
        <x:v>1.454437</x:v>
      </x:c>
      <x:c r="F161" s="102" t="n">
        <x:v>0.68868</x:v>
      </x:c>
      <x:c r="G161" s="102" t="n">
        <x:v>6.975149</x:v>
      </x:c>
      <x:c r="H161" s="99" t="n">
        <x:v>0.46003899</x:v>
      </x:c>
      <x:c r="I161" s="99" t="n">
        <x:v>0.6909871200000001</x:v>
      </x:c>
      <x:c r="J161" s="99" t="n">
        <x:v>0.26785714</x:v>
      </x:c>
      <x:c r="K161" s="99" t="n">
        <x:v>0.42312998</x:v>
      </x:c>
      <x:c r="L161" s="99" t="n">
        <x:v>0.75</x:v>
      </x:c>
      <x:c r="M161" s="99" t="n">
        <x:v>0.70212766</x:v>
      </x:c>
      <x:c r="N161" s="99" t="n">
        <x:v>0.55434783</x:v>
      </x:c>
      <x:c r="O161" s="99" t="n">
        <x:v>0.2300885</x:v>
      </x:c>
      <x:c r="P161" s="99" t="n">
        <x:v>0.03947368</x:v>
      </x:c>
      <x:c r="Q161" s="102" t="n">
        <x:v>2.830881</x:v>
      </x:c>
      <x:c r="R161" s="102" t="n">
        <x:v>-1.113762</x:v>
      </x:c>
      <x:c r="S161" s="102" t="n">
        <x:v>3.149204</x:v>
      </x:c>
      <x:c r="T161" s="102" t="n">
        <x:v>-4.717626</x:v>
      </x:c>
      <x:c r="U161" s="102" t="n">
        <x:v>-3.416302</x:v>
      </x:c>
      <x:c r="V161" s="102" t="n">
        <x:v>2.415408</x:v>
      </x:c>
      <x:c r="W161" s="102" t="n">
        <x:v>1</x:v>
      </x:c>
      <x:c r="X161" s="102" t="n">
        <x:v>2.01716</x:v>
      </x:c>
      <x:c r="Y161" s="108" t="b">
        <x:v>0</x:v>
      </x:c>
    </x:row>
    <x:row r="162">
      <x:c r="A162" s="54" t="str">
        <x:v>히우라</x:v>
      </x:c>
      <x:c r="B162" s="54" t="str">
        <x:v>KIW</x:v>
      </x:c>
      <x:c r="C162" s="54" t="n">
        <x:v>927</x:v>
      </x:c>
      <x:c r="D162" s="102" t="n">
        <x:v>3.676316</x:v>
      </x:c>
      <x:c r="E162" s="102" t="n">
        <x:v>2.958021</x:v>
      </x:c>
      <x:c r="F162" s="102" t="n">
        <x:v>0.8018899999999999</x:v>
      </x:c>
      <x:c r="G162" s="102" t="n">
        <x:v>6.640365</x:v>
      </x:c>
      <x:c r="H162" s="99" t="n">
        <x:v>0.5070118699999999</x:v>
      </x:c>
      <x:c r="I162" s="99" t="n">
        <x:v>0.7455919400000001</x:v>
      </x:c>
      <x:c r="J162" s="99" t="n">
        <x:v>0.32830189</x:v>
      </x:c>
      <x:c r="K162" s="99" t="n">
        <x:v>0.41729005</x:v>
      </x:c>
      <x:c r="L162" s="99" t="n">
        <x:v>0.7451923100000001</x:v>
      </x:c>
      <x:c r="M162" s="99" t="n">
        <x:v>0.7321428600000001</x:v>
      </x:c>
      <x:c r="N162" s="99" t="n">
        <x:v>0.66201117</x:v>
      </x:c>
      <x:c r="O162" s="99" t="n">
        <x:v>0.27572016</x:v>
      </x:c>
      <x:c r="P162" s="99" t="n">
        <x:v>0.09322034</x:v>
      </x:c>
      <x:c r="Q162" s="102" t="n">
        <x:v>6.445071</x:v>
      </x:c>
      <x:c r="R162" s="102" t="n">
        <x:v>5.989858</x:v>
      </x:c>
      <x:c r="S162" s="102" t="n">
        <x:v>0.316757</x:v>
      </x:c>
      <x:c r="T162" s="102" t="n">
        <x:v>-3.953567</x:v>
      </x:c>
      <x:c r="U162" s="102" t="n">
        <x:v>3.073305</x:v>
      </x:c>
      <x:c r="V162" s="102" t="n">
        <x:v>12.629479</x:v>
      </x:c>
      <x:c r="W162" s="102" t="n">
        <x:v>1</x:v>
      </x:c>
      <x:c r="X162" s="102" t="n">
        <x:v>1.839625</x:v>
      </x:c>
      <x:c r="Y162" s="108" t="b">
        <x:v>0</x:v>
      </x:c>
    </x:row>
    <x:row r="163">
      <x:c r="A163" s="55" t="str">
        <x:v>힐리어드</x:v>
      </x:c>
      <x:c r="B163" s="55" t="str">
        <x:v>KT</x:v>
      </x:c>
      <x:c r="C163" s="55" t="n">
        <x:v>1984</x:v>
      </x:c>
      <x:c r="D163" s="103" t="n">
        <x:v>2.59543</x:v>
      </x:c>
      <x:c r="E163" s="103" t="n">
        <x:v>3.974084</x:v>
      </x:c>
      <x:c r="F163" s="103" t="n">
        <x:v>0.90252</x:v>
      </x:c>
      <x:c r="G163" s="103" t="n">
        <x:v>7.019706</x:v>
      </x:c>
      <x:c r="H163" s="100" t="n">
        <x:v>0.46068548</x:v>
      </x:c>
      <x:c r="I163" s="100" t="n">
        <x:v>0.6993243200000001</x:v>
      </x:c>
      <x:c r="J163" s="100" t="n">
        <x:v>0.26733577000000003</x:v>
      </x:c>
      <x:c r="K163" s="100" t="n">
        <x:v>0.43198855</x:v>
      </x:c>
      <x:c r="L163" s="100" t="n">
        <x:v>0.74025974</x:v>
      </x:c>
      <x:c r="M163" s="100" t="n">
        <x:v>0.82307692</x:v>
      </x:c>
      <x:c r="N163" s="100" t="n">
        <x:v>0.56188119</x:v>
      </x:c>
      <x:c r="O163" s="100" t="n">
        <x:v>0.2247191</x:v>
      </x:c>
      <x:c r="P163" s="100" t="n">
        <x:v>0.0669145</x:v>
      </x:c>
      <x:c r="Q163" s="103" t="n">
        <x:v>0.570657</x:v>
      </x:c>
      <x:c r="R163" s="103" t="n">
        <x:v>0.608975</x:v>
      </x:c>
      <x:c r="S163" s="103" t="n">
        <x:v>-1.765672</x:v>
      </x:c>
      <x:c r="T163" s="103" t="n">
        <x:v>3.62785</x:v>
      </x:c>
      <x:c r="U163" s="103" t="n">
        <x:v>1.196154</x:v>
      </x:c>
      <x:c r="V163" s="103" t="n">
        <x:v>2.243283</x:v>
      </x:c>
      <x:c r="W163" s="103" t="n">
        <x:v>1</x:v>
      </x:c>
      <x:c r="X163" s="103" t="n">
        <x:v>1.333073</x:v>
      </x:c>
      <x:c r="Y163" s="109" t="b">
        <x:v>0</x:v>
      </x:c>
    </x:row>
  </x:sheetData>
  <x:mergeCells>
    <x:mergeCell ref="A1:AA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2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</x:cols>
  <x:sheetData>
    <x:row r="1" ht="30" customHeight="1">
      <x:c r="A1" s="3" t="str">
        <x:v>Scatter / OLS 회귀 요약 — 300구 이상</x:v>
      </x:c>
      <x:c r="B1" s="3" t="str">
        <x:v>Scatter / OLS 회귀 요약 — 300구 이상</x:v>
      </x:c>
      <x:c r="C1" s="3" t="str">
        <x:v>Scatter / OLS 회귀 요약 — 300구 이상</x:v>
      </x:c>
      <x:c r="D1" s="3" t="str">
        <x:v>Scatter / OLS 회귀 요약 — 300구 이상</x:v>
      </x:c>
      <x:c r="E1" s="3" t="str">
        <x:v>Scatter / OLS 회귀 요약 — 300구 이상</x:v>
      </x:c>
      <x:c r="F1" s="3" t="str">
        <x:v>Scatter / OLS 회귀 요약 — 300구 이상</x:v>
      </x:c>
      <x:c r="G1" s="3" t="str">
        <x:v>Scatter / OLS 회귀 요약 — 300구 이상</x:v>
      </x:c>
    </x:row>
    <x:row r="2" ht="30" customHeight="1">
      <x:c r="A2" s="3" t="str">
        <x:v>Scatter / OLS 회귀 요약 — 300구 이상</x:v>
      </x:c>
      <x:c r="B2" s="3" t="str">
        <x:v>Scatter / OLS 회귀 요약 — 300구 이상</x:v>
      </x:c>
      <x:c r="C2" s="3" t="str">
        <x:v>Scatter / OLS 회귀 요약 — 300구 이상</x:v>
      </x:c>
      <x:c r="D2" s="3" t="str">
        <x:v>Scatter / OLS 회귀 요약 — 300구 이상</x:v>
      </x:c>
      <x:c r="E2" s="3" t="str">
        <x:v>Scatter / OLS 회귀 요약 — 300구 이상</x:v>
      </x:c>
      <x:c r="F2" s="3" t="str">
        <x:v>Scatter / OLS 회귀 요약 — 300구 이상</x:v>
      </x:c>
      <x:c r="G2" s="3" t="str">
        <x:v>Scatter / OLS 회귀 요약 — 300구 이상</x:v>
      </x:c>
    </x:row>
    <x:row r="4" ht="30" customHeight="1">
      <x:c r="A4" s="48" t="str">
        <x:v>X</x:v>
      </x:c>
      <x:c r="B4" s="49" t="str">
        <x:v>Y</x:v>
      </x:c>
      <x:c r="C4" s="49" t="str">
        <x:v>n</x:v>
      </x:c>
      <x:c r="D4" s="49" t="str">
        <x:v>Pearson r</x:v>
      </x:c>
      <x:c r="E4" s="49" t="str">
        <x:v>R²</x:v>
      </x:c>
      <x:c r="F4" s="49" t="str">
        <x:v>기울기</x:v>
      </x:c>
      <x:c r="G4" s="50" t="str">
        <x:v>절편</x:v>
      </x:c>
    </x:row>
    <x:row r="5">
      <x:c r="A5" s="53" t="str">
        <x:v>za_raw</x:v>
      </x:c>
      <x:c r="B5" s="53" t="str">
        <x:v>z_swing_pct</x:v>
      </x:c>
      <x:c r="C5" s="53" t="n">
        <x:v>159</x:v>
      </x:c>
      <x:c r="D5" s="101" t="n">
        <x:v>0.53561388</x:v>
      </x:c>
      <x:c r="E5" s="101" t="n">
        <x:v>0.28688223</x:v>
      </x:c>
      <x:c r="F5" s="101" t="n">
        <x:v>1.22792765</x:v>
      </x:c>
      <x:c r="G5" s="101" t="n">
        <x:v>64.48188722</x:v>
      </x:c>
    </x:row>
    <x:row r="6">
      <x:c r="A6" s="54" t="str">
        <x:v>za_raw</x:v>
      </x:c>
      <x:c r="B6" s="54" t="str">
        <x:v>o_swing_pct</x:v>
      </x:c>
      <x:c r="C6" s="54" t="n">
        <x:v>159</x:v>
      </x:c>
      <x:c r="D6" s="102" t="n">
        <x:v>-0.34162202</x:v>
      </x:c>
      <x:c r="E6" s="102" t="n">
        <x:v>0.11670561</x:v>
      </x:c>
      <x:c r="F6" s="102" t="n">
        <x:v>-0.70441383</x:v>
      </x:c>
      <x:c r="G6" s="102" t="n">
        <x:v>28.92400168</x:v>
      </x:c>
    </x:row>
    <x:row r="7">
      <x:c r="A7" s="54" t="str">
        <x:v>za_raw</x:v>
      </x:c>
      <x:c r="B7" s="54" t="str">
        <x:v>heart_swing_pct</x:v>
      </x:c>
      <x:c r="C7" s="54" t="n">
        <x:v>159</x:v>
      </x:c>
      <x:c r="D7" s="102" t="n">
        <x:v>0.63522302</x:v>
      </x:c>
      <x:c r="E7" s="102" t="n">
        <x:v>0.40350828</x:v>
      </x:c>
      <x:c r="F7" s="102" t="n">
        <x:v>1.56404837</x:v>
      </x:c>
      <x:c r="G7" s="102" t="n">
        <x:v>69.57598596</x:v>
      </x:c>
    </x:row>
    <x:row r="8">
      <x:c r="A8" s="54" t="str">
        <x:v>za_raw</x:v>
      </x:c>
      <x:c r="B8" s="54" t="str">
        <x:v>meatball_swing_pct</x:v>
      </x:c>
      <x:c r="C8" s="54" t="n">
        <x:v>159</x:v>
      </x:c>
      <x:c r="D8" s="102" t="n">
        <x:v>0.50820225</x:v>
      </x:c>
      <x:c r="E8" s="102" t="n">
        <x:v>0.25826952</x:v>
      </x:c>
      <x:c r="F8" s="102" t="n">
        <x:v>1.4880854</x:v>
      </x:c>
      <x:c r="G8" s="102" t="n">
        <x:v>72.76606538</x:v>
      </x:c>
    </x:row>
    <x:row r="9">
      <x:c r="A9" s="54" t="str">
        <x:v>za_raw</x:v>
      </x:c>
      <x:c r="B9" s="54" t="str">
        <x:v>waste_swing_pct</x:v>
      </x:c>
      <x:c r="C9" s="54" t="n">
        <x:v>159</x:v>
      </x:c>
      <x:c r="D9" s="102" t="n">
        <x:v>-0.47563913</x:v>
      </x:c>
      <x:c r="E9" s="102" t="n">
        <x:v>0.22623259</x:v>
      </x:c>
      <x:c r="F9" s="102" t="n">
        <x:v>-0.74152203</x:v>
      </x:c>
      <x:c r="G9" s="102" t="n">
        <x:v>8.44216665</x:v>
      </x:c>
    </x:row>
    <x:row r="10">
      <x:c r="A10" s="54" t="str">
        <x:v>za_raw</x:v>
      </x:c>
      <x:c r="B10" s="54" t="str">
        <x:v>shadow_swing_pct</x:v>
      </x:c>
      <x:c r="C10" s="54" t="n">
        <x:v>159</x:v>
      </x:c>
      <x:c r="D10" s="102" t="n">
        <x:v>0.1496627</x:v>
      </x:c>
      <x:c r="E10" s="102" t="n">
        <x:v>0.02239892</x:v>
      </x:c>
      <x:c r="F10" s="102" t="n">
        <x:v>0.36729764</x:v>
      </x:c>
      <x:c r="G10" s="102" t="n">
        <x:v>52.48516398</x:v>
      </x:c>
    </x:row>
    <x:row r="11">
      <x:c r="A11" s="54" t="str">
        <x:v>swing_aggression</x:v>
      </x:c>
      <x:c r="B11" s="54" t="str">
        <x:v>swing_pct</x:v>
      </x:c>
      <x:c r="C11" s="54" t="n">
        <x:v>159</x:v>
      </x:c>
      <x:c r="D11" s="102" t="n">
        <x:v>0.94810348</x:v>
      </x:c>
      <x:c r="E11" s="102" t="n">
        <x:v>0.89890021</x:v>
      </x:c>
      <x:c r="F11" s="102" t="n">
        <x:v>0.92276892</x:v>
      </x:c>
      <x:c r="G11" s="102" t="n">
        <x:v>44.70784344</x:v>
      </x:c>
    </x:row>
    <x:row r="12">
      <x:c r="A12" s="54" t="str">
        <x:v>za_raw</x:v>
      </x:c>
      <x:c r="B12" s="54" t="str">
        <x:v>dv_per_100</x:v>
      </x:c>
      <x:c r="C12" s="54" t="n">
        <x:v>159</x:v>
      </x:c>
      <x:c r="D12" s="102" t="n">
        <x:v>0.56416116</x:v>
      </x:c>
      <x:c r="E12" s="102" t="n">
        <x:v>0.31827782</x:v>
      </x:c>
      <x:c r="F12" s="102" t="n">
        <x:v>0.17281531</x:v>
      </x:c>
      <x:c r="G12" s="102" t="n">
        <x:v>6.18763694</x:v>
      </x:c>
    </x:row>
    <x:row r="13">
      <x:c r="A13" s="55" t="str">
        <x:v>swing_aggression</x:v>
      </x:c>
      <x:c r="B13" s="55" t="str">
        <x:v>dv_per_100</x:v>
      </x:c>
      <x:c r="C13" s="55" t="n">
        <x:v>159</x:v>
      </x:c>
      <x:c r="D13" s="103" t="n">
        <x:v>-0.53852563</x:v>
      </x:c>
      <x:c r="E13" s="103" t="n">
        <x:v>0.29000986</x:v>
      </x:c>
      <x:c r="F13" s="103" t="n">
        <x:v>-0.08673842</x:v>
      </x:c>
      <x:c r="G13" s="103" t="n">
        <x:v>6.26075218</x:v>
      </x:c>
    </x:row>
    <x:row r="16">
      <x:c r="A16" s="36" t="str">
        <x:v>DV joint diagnostic</x:v>
      </x:c>
      <x:c r="B16" s="36" t="str">
        <x:v>DV joint diagnostic</x:v>
      </x:c>
      <x:c r="C16" s="36" t="str">
        <x:v>DV joint diagnostic</x:v>
      </x:c>
      <x:c r="D16" s="36" t="str">
        <x:v>DV joint diagnostic</x:v>
      </x:c>
      <x:c r="E16" s="36" t="str">
        <x:v>DV joint diagnostic</x:v>
      </x:c>
      <x:c r="F16" s="36" t="str">
        <x:v>DV joint diagnostic</x:v>
      </x:c>
      <x:c r="G16" s="36" t="str">
        <x:v>DV joint diagnostic</x:v>
      </x:c>
    </x:row>
    <x:row r="17">
      <x:c r="A17" s="53" t="str">
        <x:v>모형</x:v>
      </x:c>
      <x:c r="B17" s="53" t="str">
        <x:v>DV/100 ~ intercept + ZA Raw + Swing Aggression</x:v>
      </x:c>
    </x:row>
    <x:row r="18">
      <x:c r="A18" s="54" t="str">
        <x:v>절편</x:v>
      </x:c>
      <x:c r="B18" s="54" t="n">
        <x:v>6.20498292</x:v>
      </x:c>
    </x:row>
    <x:row r="19">
      <x:c r="A19" s="54" t="str">
        <x:v>ZA 계수</x:v>
      </x:c>
      <x:c r="B19" s="54" t="n">
        <x:v>0.18679882</x:v>
      </x:c>
    </x:row>
    <x:row r="20">
      <x:c r="A20" s="54" t="str">
        <x:v>SA 계수</x:v>
      </x:c>
      <x:c r="B20" s="54" t="n">
        <x:v>-0.09438943</x:v>
      </x:c>
    </x:row>
    <x:row r="21">
      <x:c r="A21" s="54" t="str">
        <x:v>R²</x:v>
      </x:c>
      <x:c r="B21" s="54" t="n">
        <x:v>0.65962258</x:v>
      </x:c>
    </x:row>
    <x:row r="22">
      <x:c r="A22" s="55" t="str">
        <x:v>군집별 평균 잔차</x:v>
      </x:c>
      <x:c r="B22" s="55" t="str">
        <x:v>{"1":-0.014987,"2":0.017215}</x:v>
      </x:c>
    </x:row>
  </x:sheetData>
  <x:mergeCells>
    <x:mergeCell ref="A1:G2"/>
    <x:mergeCell ref="A16:G16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</x:cols>
  <x:sheetData>
    <x:row r="1" ht="30" customHeight="1">
      <x:c r="A1" s="3" t="str">
        <x:v>Residual 기반 Outlier Clustering</x:v>
      </x:c>
      <x:c r="B1" s="3" t="str">
        <x:v>Residual 기반 Outlier Clustering</x:v>
      </x:c>
      <x:c r="C1" s="3" t="str">
        <x:v>Residual 기반 Outlier Clustering</x:v>
      </x:c>
      <x:c r="D1" s="3" t="str">
        <x:v>Residual 기반 Outlier Clustering</x:v>
      </x:c>
      <x:c r="E1" s="3" t="str">
        <x:v>Residual 기반 Outlier Clustering</x:v>
      </x:c>
      <x:c r="F1" s="3" t="str">
        <x:v>Residual 기반 Outlier Clustering</x:v>
      </x:c>
      <x:c r="G1" s="3" t="str">
        <x:v>Residual 기반 Outlier Clustering</x:v>
      </x:c>
      <x:c r="H1" s="3" t="str">
        <x:v>Residual 기반 Outlier Clustering</x:v>
      </x:c>
      <x:c r="I1" s="3" t="str">
        <x:v>Residual 기반 Outlier Clustering</x:v>
      </x:c>
      <x:c r="J1" s="3" t="str">
        <x:v>Residual 기반 Outlier Clustering</x:v>
      </x:c>
      <x:c r="K1" s="3" t="str">
        <x:v>Residual 기반 Outlier Clustering</x:v>
      </x:c>
      <x:c r="L1" s="3" t="str">
        <x:v>Residual 기반 Outlier Clustering</x:v>
      </x:c>
      <x:c r="M1" s="3" t="str">
        <x:v>Residual 기반 Outlier Clustering</x:v>
      </x:c>
      <x:c r="N1" s="3" t="str">
        <x:v>Residual 기반 Outlier Clustering</x:v>
      </x:c>
    </x:row>
    <x:row r="2" ht="30" customHeight="1">
      <x:c r="A2" s="3" t="str">
        <x:v>Residual 기반 Outlier Clustering</x:v>
      </x:c>
      <x:c r="B2" s="3" t="str">
        <x:v>Residual 기반 Outlier Clustering</x:v>
      </x:c>
      <x:c r="C2" s="3" t="str">
        <x:v>Residual 기반 Outlier Clustering</x:v>
      </x:c>
      <x:c r="D2" s="3" t="str">
        <x:v>Residual 기반 Outlier Clustering</x:v>
      </x:c>
      <x:c r="E2" s="3" t="str">
        <x:v>Residual 기반 Outlier Clustering</x:v>
      </x:c>
      <x:c r="F2" s="3" t="str">
        <x:v>Residual 기반 Outlier Clustering</x:v>
      </x:c>
      <x:c r="G2" s="3" t="str">
        <x:v>Residual 기반 Outlier Clustering</x:v>
      </x:c>
      <x:c r="H2" s="3" t="str">
        <x:v>Residual 기반 Outlier Clustering</x:v>
      </x:c>
      <x:c r="I2" s="3" t="str">
        <x:v>Residual 기반 Outlier Clustering</x:v>
      </x:c>
      <x:c r="J2" s="3" t="str">
        <x:v>Residual 기반 Outlier Clustering</x:v>
      </x:c>
      <x:c r="K2" s="3" t="str">
        <x:v>Residual 기반 Outlier Clustering</x:v>
      </x:c>
      <x:c r="L2" s="3" t="str">
        <x:v>Residual 기반 Outlier Clustering</x:v>
      </x:c>
      <x:c r="M2" s="3" t="str">
        <x:v>Residual 기반 Outlier Clustering</x:v>
      </x:c>
      <x:c r="N2" s="3" t="str">
        <x:v>Residual 기반 Outlier Clustering</x:v>
      </x:c>
    </x:row>
    <x:row r="4" ht="30" customHeight="1">
      <x:c r="A4" s="48" t="str">
        <x:v>군집</x:v>
      </x:c>
      <x:c r="B4" s="49" t="str">
        <x:v>n</x:v>
      </x:c>
      <x:c r="C4" s="49" t="str">
        <x:v>평균 SA</x:v>
      </x:c>
      <x:c r="D4" s="49" t="str">
        <x:v>평균 Swing%</x:v>
      </x:c>
      <x:c r="E4" s="49" t="str">
        <x:v>평균 ZA</x:v>
      </x:c>
      <x:c r="F4" s="49" t="str">
        <x:v>평균 DV/100</x:v>
      </x:c>
      <x:c r="G4" s="49" t="str">
        <x:v>Z resid</x:v>
      </x:c>
      <x:c r="H4" s="49" t="str">
        <x:v>O resid</x:v>
      </x:c>
      <x:c r="I4" s="49" t="str">
        <x:v>Heart resid</x:v>
      </x:c>
      <x:c r="J4" s="49" t="str">
        <x:v>Meatball resid</x:v>
      </x:c>
      <x:c r="K4" s="49" t="str">
        <x:v>Waste resid</x:v>
      </x:c>
      <x:c r="L4" s="50" t="str">
        <x:v>Shadow resid</x:v>
      </x:c>
    </x:row>
    <x:row r="5">
      <x:c r="A5" s="53" t="n">
        <x:v>1</x:v>
      </x:c>
      <x:c r="B5" s="53" t="n">
        <x:v>85</x:v>
      </x:c>
      <x:c r="C5" s="101" t="n">
        <x:v>3.765622</x:v>
      </x:c>
      <x:c r="D5" s="101" t="n">
        <x:v>0.48615068</x:v>
      </x:c>
      <x:c r="E5" s="101" t="n">
        <x:v>0.500639</x:v>
      </x:c>
      <x:c r="F5" s="101" t="n">
        <x:v>5.928079</x:v>
      </x:c>
      <x:c r="G5" s="101" t="n">
        <x:v>3.782182</x:v>
      </x:c>
      <x:c r="H5" s="101" t="n">
        <x:v>3.792584</x:v>
      </x:c>
      <x:c r="I5" s="101" t="n">
        <x:v>3.549192</x:v>
      </x:c>
      <x:c r="J5" s="101" t="n">
        <x:v>3.387768</x:v>
      </x:c>
      <x:c r="K5" s="101" t="n">
        <x:v>1.890588</x:v>
      </x:c>
      <x:c r="L5" s="101" t="n">
        <x:v>4.285333</x:v>
      </x:c>
    </x:row>
    <x:row r="6">
      <x:c r="A6" s="55" t="n">
        <x:v>2</x:v>
      </x:c>
      <x:c r="B6" s="55" t="n">
        <x:v>74</x:v>
      </x:c>
      <x:c r="C6" s="103" t="n">
        <x:v>-3.832494</x:v>
      </x:c>
      <x:c r="D6" s="103" t="n">
        <x:v>0.40674631</x:v>
      </x:c>
      <x:c r="E6" s="103" t="n">
        <x:v>0.086614</x:v>
      </x:c>
      <x:c r="F6" s="103" t="n">
        <x:v>6.600124</x:v>
      </x:c>
      <x:c r="G6" s="103" t="n">
        <x:v>-4.344399</x:v>
      </x:c>
      <x:c r="H6" s="103" t="n">
        <x:v>-4.356346</x:v>
      </x:c>
      <x:c r="I6" s="103" t="n">
        <x:v>-4.076774</x:v>
      </x:c>
      <x:c r="J6" s="103" t="n">
        <x:v>-3.891355</x:v>
      </x:c>
      <x:c r="K6" s="103" t="n">
        <x:v>-2.171621</x:v>
      </x:c>
      <x:c r="L6" s="103" t="n">
        <x:v>-4.922342</x:v>
      </x:c>
    </x:row>
    <x:row r="7">
      <x:c r="C7" s="114"/>
      <x:c r="D7" s="114"/>
      <x:c r="E7" s="114"/>
      <x:c r="F7" s="114"/>
      <x:c r="G7" s="114"/>
      <x:c r="H7" s="114"/>
      <x:c r="I7" s="114"/>
      <x:c r="J7" s="114"/>
      <x:c r="K7" s="114"/>
      <x:c r="L7" s="114"/>
    </x:row>
    <x:row r="8">
      <x:c r="A8" s="36" t="str">
        <x:v>검토 대상 — 거리 95백분위 또는 |residual z| ≥ 2 (총 23명)</x:v>
      </x:c>
      <x:c r="B8" s="36" t="str">
        <x:v>검토 대상 — 거리 95백분위 또는 |residual z| ≥ 2 (총 23명)</x:v>
      </x:c>
      <x:c r="C8" s="117" t="str">
        <x:v>검토 대상 — 거리 95백분위 또는 |residual z| ≥ 2 (총 23명)</x:v>
      </x:c>
      <x:c r="D8" s="117" t="str">
        <x:v>검토 대상 — 거리 95백분위 또는 |residual z| ≥ 2 (총 23명)</x:v>
      </x:c>
      <x:c r="E8" s="117" t="str">
        <x:v>검토 대상 — 거리 95백분위 또는 |residual z| ≥ 2 (총 23명)</x:v>
      </x:c>
      <x:c r="F8" s="117" t="str">
        <x:v>검토 대상 — 거리 95백분위 또는 |residual z| ≥ 2 (총 23명)</x:v>
      </x:c>
      <x:c r="G8" s="117" t="str">
        <x:v>검토 대상 — 거리 95백분위 또는 |residual z| ≥ 2 (총 23명)</x:v>
      </x:c>
      <x:c r="H8" s="117" t="str">
        <x:v>검토 대상 — 거리 95백분위 또는 |residual z| ≥ 2 (총 23명)</x:v>
      </x:c>
      <x:c r="I8" s="117" t="str">
        <x:v>검토 대상 — 거리 95백분위 또는 |residual z| ≥ 2 (총 23명)</x:v>
      </x:c>
      <x:c r="J8" s="117" t="str">
        <x:v>검토 대상 — 거리 95백분위 또는 |residual z| ≥ 2 (총 23명)</x:v>
      </x:c>
      <x:c r="K8" s="117" t="str">
        <x:v>검토 대상 — 거리 95백분위 또는 |residual z| ≥ 2 (총 23명)</x:v>
      </x:c>
      <x:c r="L8" s="117" t="str">
        <x:v>검토 대상 — 거리 95백분위 또는 |residual z| ≥ 2 (총 23명)</x:v>
      </x:c>
      <x:c r="M8" s="36" t="str">
        <x:v>검토 대상 — 거리 95백분위 또는 |residual z| ≥ 2 (총 23명)</x:v>
      </x:c>
      <x:c r="N8" s="36" t="str">
        <x:v>검토 대상 — 거리 95백분위 또는 |residual z| ≥ 2 (총 23명)</x:v>
      </x:c>
    </x:row>
    <x:row r="9" ht="30" customHeight="1">
      <x:c r="A9" s="48" t="str">
        <x:v>선수</x:v>
      </x:c>
      <x:c r="B9" s="49" t="str">
        <x:v>팀</x:v>
      </x:c>
      <x:c r="C9" s="124" t="str">
        <x:v>투구 수</x:v>
      </x:c>
      <x:c r="D9" s="124" t="str">
        <x:v>SA</x:v>
      </x:c>
      <x:c r="E9" s="124" t="str">
        <x:v>ZA</x:v>
      </x:c>
      <x:c r="F9" s="124" t="str">
        <x:v>DV/100</x:v>
      </x:c>
      <x:c r="G9" s="124" t="str">
        <x:v>군집</x:v>
      </x:c>
      <x:c r="H9" s="124" t="str">
        <x:v>거리</x:v>
      </x:c>
      <x:c r="I9" s="124" t="str">
        <x:v>거리 이상치</x:v>
      </x:c>
      <x:c r="J9" s="124" t="str">
        <x:v>Z resid</x:v>
      </x:c>
      <x:c r="K9" s="124" t="str">
        <x:v>O resid</x:v>
      </x:c>
      <x:c r="L9" s="124" t="str">
        <x:v>Heart resid</x:v>
      </x:c>
      <x:c r="M9" s="49" t="str">
        <x:v>Meatball resid</x:v>
      </x:c>
      <x:c r="N9" s="50" t="str">
        <x:v>Waste resid</x:v>
      </x:c>
    </x:row>
    <x:row r="10">
      <x:c r="A10" s="53" t="str">
        <x:v>윤도현</x:v>
      </x:c>
      <x:c r="B10" s="53" t="str">
        <x:v>KIA</x:v>
      </x:c>
      <x:c r="C10" s="101" t="n">
        <x:v>304</x:v>
      </x:c>
      <x:c r="D10" s="101" t="n">
        <x:v>12.632098</x:v>
      </x:c>
      <x:c r="E10" s="101" t="n">
        <x:v>-1.958669</x:v>
      </x:c>
      <x:c r="F10" s="101" t="n">
        <x:v>4.588863</x:v>
      </x:c>
      <x:c r="G10" s="101" t="n">
        <x:v>1</x:v>
      </x:c>
      <x:c r="H10" s="101" t="n">
        <x:v>4.956019</x:v>
      </x:c>
      <x:c r="I10" s="129" t="b">
        <x:v>1</x:v>
      </x:c>
      <x:c r="J10" s="101" t="n">
        <x:v>13.285536</x:v>
      </x:c>
      <x:c r="K10" s="101" t="n">
        <x:v>15.479418</x:v>
      </x:c>
      <x:c r="L10" s="101" t="n">
        <x:v>9.543805</x:v>
      </x:c>
      <x:c r="M10" s="53" t="n">
        <x:v>11.100982</x:v>
      </x:c>
      <x:c r="N10" s="53" t="n">
        <x:v>14.595233</x:v>
      </x:c>
    </x:row>
    <x:row r="11">
      <x:c r="A11" s="54" t="str">
        <x:v>아데를린</x:v>
      </x:c>
      <x:c r="B11" s="54" t="str">
        <x:v>KIA</x:v>
      </x:c>
      <x:c r="C11" s="54" t="n">
        <x:v>464</x:v>
      </x:c>
      <x:c r="D11" s="54" t="n">
        <x:v>15.769236</x:v>
      </x:c>
      <x:c r="E11" s="54" t="n">
        <x:v>-6.631497</x:v>
      </x:c>
      <x:c r="F11" s="54" t="n">
        <x:v>3.993927</x:v>
      </x:c>
      <x:c r="G11" s="54" t="n">
        <x:v>1</x:v>
      </x:c>
      <x:c r="H11" s="54" t="n">
        <x:v>4.859641</x:v>
      </x:c>
      <x:c r="I11" s="108" t="b">
        <x:v>1</x:v>
      </x:c>
      <x:c r="J11" s="54" t="n">
        <x:v>18.246746</x:v>
      </x:c>
      <x:c r="K11" s="54" t="n">
        <x:v>13.401146</x:v>
      </x:c>
      <x:c r="L11" s="54" t="n">
        <x:v>14.60552</x:v>
      </x:c>
      <x:c r="M11" s="54" t="n">
        <x:v>11.176242</x:v>
      </x:c>
      <x:c r="N11" s="54" t="n">
        <x:v>10.521029</x:v>
      </x:c>
    </x:row>
    <x:row r="12">
      <x:c r="A12" s="54" t="str">
        <x:v>하주석</x:v>
      </x:c>
      <x:c r="B12" s="54" t="str">
        <x:v>HAN · KIA</x:v>
      </x:c>
      <x:c r="C12" s="54" t="n">
        <x:v>628</x:v>
      </x:c>
      <x:c r="D12" s="54" t="n">
        <x:v>12.64621</x:v>
      </x:c>
      <x:c r="E12" s="54" t="n">
        <x:v>0.47408</x:v>
      </x:c>
      <x:c r="F12" s="54" t="n">
        <x:v>6.006854</x:v>
      </x:c>
      <x:c r="G12" s="54" t="n">
        <x:v>1</x:v>
      </x:c>
      <x:c r="H12" s="54" t="n">
        <x:v>4.728329</x:v>
      </x:c>
      <x:c r="I12" s="108" t="b">
        <x:v>1</x:v>
      </x:c>
      <x:c r="J12" s="54" t="n">
        <x:v>15.470328</x:v>
      </x:c>
      <x:c r="K12" s="54" t="n">
        <x:v>8.021969</x:v>
      </x:c>
      <x:c r="L12" s="54" t="n">
        <x:v>14.928432</x:v>
      </x:c>
      <x:c r="M12" s="54" t="n">
        <x:v>26.528463</x:v>
      </x:c>
      <x:c r="N12" s="54" t="n">
        <x:v>5.17468</x:v>
      </x:c>
    </x:row>
    <x:row r="13">
      <x:c r="A13" s="54" t="str">
        <x:v>장성우</x:v>
      </x:c>
      <x:c r="B13" s="54" t="str">
        <x:v>KT</x:v>
      </x:c>
      <x:c r="C13" s="54" t="n">
        <x:v>1008</x:v>
      </x:c>
      <x:c r="D13" s="54" t="n">
        <x:v>-15.51113</x:v>
      </x:c>
      <x:c r="E13" s="54" t="n">
        <x:v>0.329321</x:v>
      </x:c>
      <x:c r="F13" s="54" t="n">
        <x:v>7.147352</x:v>
      </x:c>
      <x:c r="G13" s="54" t="n">
        <x:v>2</x:v>
      </x:c>
      <x:c r="H13" s="54" t="n">
        <x:v>3.505074</x:v>
      </x:c>
      <x:c r="I13" s="108" t="b">
        <x:v>1</x:v>
      </x:c>
      <x:c r="J13" s="54" t="n">
        <x:v>-13.981293</x:v>
      </x:c>
      <x:c r="K13" s="54" t="n">
        <x:v>-11.907571</x:v>
      </x:c>
      <x:c r="L13" s="54" t="n">
        <x:v>-12.691957</x:v>
      </x:c>
      <x:c r="M13" s="54" t="n">
        <x:v>-9.077019</x:v>
      </x:c>
      <x:c r="N13" s="54" t="n">
        <x:v>-8.197968</x:v>
      </x:c>
    </x:row>
    <x:row r="14">
      <x:c r="A14" s="54" t="str">
        <x:v>이정훈</x:v>
      </x:c>
      <x:c r="B14" s="54" t="str">
        <x:v>KT</x:v>
      </x:c>
      <x:c r="C14" s="54" t="n">
        <x:v>302</x:v>
      </x:c>
      <x:c r="D14" s="54" t="n">
        <x:v>-9.758917</x:v>
      </x:c>
      <x:c r="E14" s="54" t="n">
        <x:v>1.291973</x:v>
      </x:c>
      <x:c r="F14" s="54" t="n">
        <x:v>7.277882</x:v>
      </x:c>
      <x:c r="G14" s="54" t="n">
        <x:v>2</x:v>
      </x:c>
      <x:c r="H14" s="54" t="n">
        <x:v>3.489895</x:v>
      </x:c>
      <x:c r="I14" s="108" t="b">
        <x:v>1</x:v>
      </x:c>
      <x:c r="J14" s="54" t="n">
        <x:v>-13.312431</x:v>
      </x:c>
      <x:c r="K14" s="54" t="n">
        <x:v>-11.442489</x:v>
      </x:c>
      <x:c r="L14" s="54" t="n">
        <x:v>-7.96033</x:v>
      </x:c>
      <x:c r="M14" s="54" t="n">
        <x:v>0.311368</x:v>
      </x:c>
      <x:c r="N14" s="54" t="n">
        <x:v>-4.035864</x:v>
      </x:c>
    </x:row>
    <x:row r="15">
      <x:c r="A15" s="54" t="str">
        <x:v>권희동</x:v>
      </x:c>
      <x:c r="B15" s="54" t="str">
        <x:v>NC</x:v>
      </x:c>
      <x:c r="C15" s="54" t="n">
        <x:v>990</x:v>
      </x:c>
      <x:c r="D15" s="54" t="n">
        <x:v>-16.20771</x:v>
      </x:c>
      <x:c r="E15" s="54" t="n">
        <x:v>-2.544884</x:v>
      </x:c>
      <x:c r="F15" s="54" t="n">
        <x:v>7.223707</x:v>
      </x:c>
      <x:c r="G15" s="54" t="n">
        <x:v>2</x:v>
      </x:c>
      <x:c r="H15" s="54" t="n">
        <x:v>3.451702</x:v>
      </x:c>
      <x:c r="I15" s="108" t="b">
        <x:v>1</x:v>
      </x:c>
      <x:c r="J15" s="54" t="n">
        <x:v>-12.090707</x:v>
      </x:c>
      <x:c r="K15" s="54" t="n">
        <x:v>-14.732248</x:v>
      </x:c>
      <x:c r="L15" s="54" t="n">
        <x:v>-12.395664</x:v>
      </x:c>
      <x:c r="M15" s="54" t="n">
        <x:v>-6.312394</x:v>
      </x:c>
      <x:c r="N15" s="54" t="n">
        <x:v>-7.444639</x:v>
      </x:c>
    </x:row>
    <x:row r="16">
      <x:c r="A16" s="54" t="str">
        <x:v>류승민</x:v>
      </x:c>
      <x:c r="B16" s="54" t="str">
        <x:v>SAM · DOO</x:v>
      </x:c>
      <x:c r="C16" s="54" t="n">
        <x:v>350</x:v>
      </x:c>
      <x:c r="D16" s="54" t="n">
        <x:v>1.688262</x:v>
      </x:c>
      <x:c r="E16" s="54" t="n">
        <x:v>-2.269133</x:v>
      </x:c>
      <x:c r="F16" s="54" t="n">
        <x:v>5.711323</x:v>
      </x:c>
      <x:c r="G16" s="54" t="n">
        <x:v>1</x:v>
      </x:c>
      <x:c r="H16" s="54" t="n">
        <x:v>2.912571</x:v>
      </x:c>
      <x:c r="I16" s="108" t="b">
        <x:v>1</x:v>
      </x:c>
      <x:c r="J16" s="54" t="n">
        <x:v>-0.405233</x:v>
      </x:c>
      <x:c r="K16" s="54" t="n">
        <x:v>1.785282</x:v>
      </x:c>
      <x:c r="L16" s="54" t="n">
        <x:v>-0.117861</x:v>
      </x:c>
      <x:c r="M16" s="54" t="n">
        <x:v>-5.753038</x:v>
      </x:c>
      <x:c r="N16" s="54" t="n">
        <x:v>9.875221</x:v>
      </x:c>
    </x:row>
    <x:row r="17">
      <x:c r="A17" s="54" t="str">
        <x:v>홍창기</x:v>
      </x:c>
      <x:c r="B17" s="54" t="str">
        <x:v>LG</x:v>
      </x:c>
      <x:c r="C17" s="54" t="n">
        <x:v>2053</x:v>
      </x:c>
      <x:c r="D17" s="54" t="n">
        <x:v>-13.330882</x:v>
      </x:c>
      <x:c r="E17" s="54" t="n">
        <x:v>1.079838</x:v>
      </x:c>
      <x:c r="F17" s="54" t="n">
        <x:v>7.625226</x:v>
      </x:c>
      <x:c r="G17" s="54" t="n">
        <x:v>2</x:v>
      </x:c>
      <x:c r="H17" s="54" t="n">
        <x:v>2.903492</x:v>
      </x:c>
      <x:c r="I17" s="108" t="b">
        <x:v>1</x:v>
      </x:c>
      <x:c r="J17" s="54" t="n">
        <x:v>-9.527422</x:v>
      </x:c>
      <x:c r="K17" s="54" t="n">
        <x:v>-14.907988</x:v>
      </x:c>
      <x:c r="L17" s="54" t="n">
        <x:v>-7.190831</x:v>
      </x:c>
      <x:c r="M17" s="54" t="n">
        <x:v>-1.323312</x:v>
      </x:c>
      <x:c r="N17" s="54" t="n">
        <x:v>-5.214259</x:v>
      </x:c>
    </x:row>
    <x:row r="18">
      <x:c r="A18" s="54" t="str">
        <x:v>조수행</x:v>
      </x:c>
      <x:c r="B18" s="54" t="str">
        <x:v>DOO</x:v>
      </x:c>
      <x:c r="C18" s="54" t="n">
        <x:v>613</x:v>
      </x:c>
      <x:c r="D18" s="54" t="n">
        <x:v>-6.293565</x:v>
      </x:c>
      <x:c r="E18" s="54" t="n">
        <x:v>3.921525</x:v>
      </x:c>
      <x:c r="F18" s="54" t="n">
        <x:v>7.560359</x:v>
      </x:c>
      <x:c r="G18" s="54" t="n">
        <x:v>2</x:v>
      </x:c>
      <x:c r="H18" s="54" t="n">
        <x:v>2.822322</x:v>
      </x:c>
      <x:c r="I18" s="108" t="b">
        <x:v>0</x:v>
      </x:c>
      <x:c r="J18" s="54" t="n">
        <x:v>-10.025713</x:v>
      </x:c>
      <x:c r="K18" s="54" t="n">
        <x:v>-11.692172</x:v>
      </x:c>
      <x:c r="L18" s="54" t="n">
        <x:v>-11.003559</x:v>
      </x:c>
      <x:c r="M18" s="54" t="n">
        <x:v>-15.744486</x:v>
      </x:c>
      <x:c r="N18" s="54" t="n">
        <x:v>-4.164406</x:v>
      </x:c>
    </x:row>
    <x:row r="19">
      <x:c r="A19" s="54" t="str">
        <x:v>박준순</x:v>
      </x:c>
      <x:c r="B19" s="54" t="str">
        <x:v>DOO</x:v>
      </x:c>
      <x:c r="C19" s="54" t="n">
        <x:v>1301</x:v>
      </x:c>
      <x:c r="D19" s="54" t="n">
        <x:v>11.475193</x:v>
      </x:c>
      <x:c r="E19" s="54" t="n">
        <x:v>-1.867856</x:v>
      </x:c>
      <x:c r="F19" s="54" t="n">
        <x:v>4.863814</x:v>
      </x:c>
      <x:c r="G19" s="54" t="n">
        <x:v>1</x:v>
      </x:c>
      <x:c r="H19" s="54" t="n">
        <x:v>2.801019</x:v>
      </x:c>
      <x:c r="I19" s="108" t="b">
        <x:v>0</x:v>
      </x:c>
      <x:c r="J19" s="54" t="n">
        <x:v>12.010993</x:v>
      </x:c>
      <x:c r="K19" s="54" t="n">
        <x:v>10.355654</x:v>
      </x:c>
      <x:c r="L19" s="54" t="n">
        <x:v>11.345431</x:v>
      </x:c>
      <x:c r="M19" s="54" t="n">
        <x:v>7.791242</x:v>
      </x:c>
      <x:c r="N19" s="54" t="n">
        <x:v>0.942008</x:v>
      </x:c>
    </x:row>
    <x:row r="20">
      <x:c r="A20" s="54" t="str">
        <x:v>최인호</x:v>
      </x:c>
      <x:c r="B20" s="54" t="str">
        <x:v>HAN</x:v>
      </x:c>
      <x:c r="C20" s="54" t="n">
        <x:v>387</x:v>
      </x:c>
      <x:c r="D20" s="54" t="n">
        <x:v>0.632109</x:v>
      </x:c>
      <x:c r="E20" s="54" t="n">
        <x:v>-2.966303</x:v>
      </x:c>
      <x:c r="F20" s="54" t="n">
        <x:v>5.426762</x:v>
      </x:c>
      <x:c r="G20" s="54" t="n">
        <x:v>1</x:v>
      </x:c>
      <x:c r="H20" s="54" t="n">
        <x:v>2.774081</x:v>
      </x:c>
      <x:c r="I20" s="108" t="b">
        <x:v>0</x:v>
      </x:c>
      <x:c r="J20" s="54" t="n">
        <x:v>0.69898</x:v>
      </x:c>
      <x:c r="K20" s="54" t="n">
        <x:v>-2.720824</x:v>
      </x:c>
      <x:c r="L20" s="54" t="n">
        <x:v>12.383043</x:v>
      </x:c>
      <x:c r="M20" s="54" t="n">
        <x:v>2.018417</x:v>
      </x:c>
      <x:c r="N20" s="54" t="n">
        <x:v>0.896716</x:v>
      </x:c>
    </x:row>
    <x:row r="21">
      <x:c r="A21" s="54" t="str">
        <x:v>나성범</x:v>
      </x:c>
      <x:c r="B21" s="54" t="str">
        <x:v>KIA</x:v>
      </x:c>
      <x:c r="C21" s="54" t="n">
        <x:v>1785</x:v>
      </x:c>
      <x:c r="D21" s="54" t="n">
        <x:v>8.764955</x:v>
      </x:c>
      <x:c r="E21" s="54" t="n">
        <x:v>5.101016</x:v>
      </x:c>
      <x:c r="F21" s="54" t="n">
        <x:v>6.483873</x:v>
      </x:c>
      <x:c r="G21" s="54" t="n">
        <x:v>1</x:v>
      </x:c>
      <x:c r="H21" s="54" t="n">
        <x:v>2.746983</x:v>
      </x:c>
      <x:c r="I21" s="108" t="b">
        <x:v>0</x:v>
      </x:c>
      <x:c r="J21" s="54" t="n">
        <x:v>8.876566</x:v>
      </x:c>
      <x:c r="K21" s="54" t="n">
        <x:v>6.853133</x:v>
      </x:c>
      <x:c r="L21" s="54" t="n">
        <x:v>9.639238</x:v>
      </x:c>
      <x:c r="M21" s="54" t="n">
        <x:v>12.303737</x:v>
      </x:c>
      <x:c r="N21" s="54" t="n">
        <x:v>8.547896</x:v>
      </x:c>
    </x:row>
    <x:row r="22">
      <x:c r="A22" s="54" t="str">
        <x:v>김상수</x:v>
      </x:c>
      <x:c r="B22" s="54" t="str">
        <x:v>KT</x:v>
      </x:c>
      <x:c r="C22" s="54" t="n">
        <x:v>1648</x:v>
      </x:c>
      <x:c r="D22" s="54" t="n">
        <x:v>-10.022994</x:v>
      </x:c>
      <x:c r="E22" s="54" t="n">
        <x:v>-3.412048</x:v>
      </x:c>
      <x:c r="F22" s="54" t="n">
        <x:v>6.971037</x:v>
      </x:c>
      <x:c r="G22" s="54" t="n">
        <x:v>2</x:v>
      </x:c>
      <x:c r="H22" s="54" t="n">
        <x:v>2.737812</x:v>
      </x:c>
      <x:c r="I22" s="108" t="b">
        <x:v>0</x:v>
      </x:c>
      <x:c r="J22" s="54" t="n">
        <x:v>-8.662413</x:v>
      </x:c>
      <x:c r="K22" s="54" t="n">
        <x:v>-8.853034</x:v>
      </x:c>
      <x:c r="L22" s="54" t="n">
        <x:v>-9.953664</x:v>
      </x:c>
      <x:c r="M22" s="54" t="n">
        <x:v>-16.779556</x:v>
      </x:c>
      <x:c r="N22" s="54" t="n">
        <x:v>-7.031388</x:v>
      </x:c>
    </x:row>
    <x:row r="23">
      <x:c r="A23" s="54" t="str">
        <x:v>양석환</x:v>
      </x:c>
      <x:c r="B23" s="54" t="str">
        <x:v>DOO</x:v>
      </x:c>
      <x:c r="C23" s="54" t="n">
        <x:v>437</x:v>
      </x:c>
      <x:c r="D23" s="54" t="n">
        <x:v>9.429506</x:v>
      </x:c>
      <x:c r="E23" s="54" t="n">
        <x:v>-3.348993</x:v>
      </x:c>
      <x:c r="F23" s="54" t="n">
        <x:v>4.744012</x:v>
      </x:c>
      <x:c r="G23" s="54" t="n">
        <x:v>1</x:v>
      </x:c>
      <x:c r="H23" s="54" t="n">
        <x:v>2.701886</x:v>
      </x:c>
      <x:c r="I23" s="108" t="b">
        <x:v>0</x:v>
      </x:c>
      <x:c r="J23" s="54" t="n">
        <x:v>10.385151</x:v>
      </x:c>
      <x:c r="K23" s="54" t="n">
        <x:v>10.494699</x:v>
      </x:c>
      <x:c r="L23" s="54" t="n">
        <x:v>7.480183</x:v>
      </x:c>
      <x:c r="M23" s="54" t="n">
        <x:v>7.217522</x:v>
      </x:c>
      <x:c r="N23" s="54" t="n">
        <x:v>4.699481</x:v>
      </x:c>
    </x:row>
    <x:row r="24">
      <x:c r="A24" s="54" t="str">
        <x:v>장두성</x:v>
      </x:c>
      <x:c r="B24" s="54" t="str">
        <x:v>LOT</x:v>
      </x:c>
      <x:c r="C24" s="54" t="n">
        <x:v>661</x:v>
      </x:c>
      <x:c r="D24" s="54" t="n">
        <x:v>8.870179</x:v>
      </x:c>
      <x:c r="E24" s="54" t="n">
        <x:v>-4.614059</x:v>
      </x:c>
      <x:c r="F24" s="54" t="n">
        <x:v>4.509636</x:v>
      </x:c>
      <x:c r="G24" s="54" t="n">
        <x:v>1</x:v>
      </x:c>
      <x:c r="H24" s="54" t="n">
        <x:v>2.619774</x:v>
      </x:c>
      <x:c r="I24" s="108" t="b">
        <x:v>0</x:v>
      </x:c>
      <x:c r="J24" s="54" t="n">
        <x:v>8.925778</x:v>
      </x:c>
      <x:c r="K24" s="54" t="n">
        <x:v>6.287329</x:v>
      </x:c>
      <x:c r="L24" s="54" t="n">
        <x:v>7.180855</x:v>
      </x:c>
      <x:c r="M24" s="54" t="n">
        <x:v>12.360918</x:v>
      </x:c>
      <x:c r="N24" s="54" t="n">
        <x:v>9.189039</x:v>
      </x:c>
    </x:row>
    <x:row r="25">
      <x:c r="A25" s="54" t="str">
        <x:v>안현민</x:v>
      </x:c>
      <x:c r="B25" s="54" t="str">
        <x:v>KT</x:v>
      </x:c>
      <x:c r="C25" s="54" t="n">
        <x:v>1233</x:v>
      </x:c>
      <x:c r="D25" s="54" t="n">
        <x:v>-10.573461</x:v>
      </x:c>
      <x:c r="E25" s="54" t="n">
        <x:v>0.949073</x:v>
      </x:c>
      <x:c r="F25" s="54" t="n">
        <x:v>7.884489</x:v>
      </x:c>
      <x:c r="G25" s="54" t="n">
        <x:v>2</x:v>
      </x:c>
      <x:c r="H25" s="54" t="n">
        <x:v>2.611118</x:v>
      </x:c>
      <x:c r="I25" s="108" t="b">
        <x:v>0</x:v>
      </x:c>
      <x:c r="J25" s="54" t="n">
        <x:v>-11.204936</x:v>
      </x:c>
      <x:c r="K25" s="54" t="n">
        <x:v>-8.511144</x:v>
      </x:c>
      <x:c r="L25" s="54" t="n">
        <x:v>-12.857257</x:v>
      </x:c>
      <x:c r="M25" s="54" t="n">
        <x:v>-10.289478</x:v>
      </x:c>
      <x:c r="N25" s="54" t="n">
        <x:v>-5.851616</x:v>
      </x:c>
    </x:row>
    <x:row r="26">
      <x:c r="A26" s="54" t="str">
        <x:v>레이예스</x:v>
      </x:c>
      <x:c r="B26" s="54" t="str">
        <x:v>LOT</x:v>
      </x:c>
      <x:c r="C26" s="54" t="n">
        <x:v>1870</x:v>
      </x:c>
      <x:c r="D26" s="54" t="n">
        <x:v>10.20813</x:v>
      </x:c>
      <x:c r="E26" s="54" t="n">
        <x:v>-0.588692</x:v>
      </x:c>
      <x:c r="F26" s="54" t="n">
        <x:v>5.539883</x:v>
      </x:c>
      <x:c r="G26" s="54" t="n">
        <x:v>1</x:v>
      </x:c>
      <x:c r="H26" s="54" t="n">
        <x:v>2.529702</x:v>
      </x:c>
      <x:c r="I26" s="108" t="b">
        <x:v>0</x:v>
      </x:c>
      <x:c r="J26" s="54" t="n">
        <x:v>11.176385</x:v>
      </x:c>
      <x:c r="K26" s="54" t="n">
        <x:v>8.435039</x:v>
      </x:c>
      <x:c r="L26" s="54" t="n">
        <x:v>7.54668</x:v>
      </x:c>
      <x:c r="M26" s="54" t="n">
        <x:v>11.145673</x:v>
      </x:c>
      <x:c r="N26" s="54" t="n">
        <x:v>2.454638</x:v>
      </x:c>
    </x:row>
    <x:row r="27">
      <x:c r="A27" s="54" t="str">
        <x:v>노진혁</x:v>
      </x:c>
      <x:c r="B27" s="54" t="str">
        <x:v>LOT</x:v>
      </x:c>
      <x:c r="C27" s="54" t="n">
        <x:v>826</x:v>
      </x:c>
      <x:c r="D27" s="54" t="n">
        <x:v>0.721591</x:v>
      </x:c>
      <x:c r="E27" s="54" t="n">
        <x:v>3.291302</x:v>
      </x:c>
      <x:c r="F27" s="54" t="n">
        <x:v>6.999488</x:v>
      </x:c>
      <x:c r="G27" s="54" t="n">
        <x:v>2</x:v>
      </x:c>
      <x:c r="H27" s="54" t="n">
        <x:v>2.495325</x:v>
      </x:c>
      <x:c r="I27" s="108" t="b">
        <x:v>0</x:v>
      </x:c>
      <x:c r="J27" s="54" t="n">
        <x:v>1.273586</x:v>
      </x:c>
      <x:c r="K27" s="54" t="n">
        <x:v>-1.605563</x:v>
      </x:c>
      <x:c r="L27" s="54" t="n">
        <x:v>-2.293834</x:v>
      </x:c>
      <x:c r="M27" s="54" t="n">
        <x:v>-15.399653</x:v>
      </x:c>
      <x:c r="N27" s="54" t="n">
        <x:v>2.044383</x:v>
      </x:c>
    </x:row>
    <x:row r="28">
      <x:c r="A28" s="54" t="str">
        <x:v>양우현</x:v>
      </x:c>
      <x:c r="B28" s="54" t="str">
        <x:v>SAM</x:v>
      </x:c>
      <x:c r="C28" s="54" t="n">
        <x:v>412</x:v>
      </x:c>
      <x:c r="D28" s="54" t="n">
        <x:v>5.499594</x:v>
      </x:c>
      <x:c r="E28" s="54" t="n">
        <x:v>-3.612892</x:v>
      </x:c>
      <x:c r="F28" s="54" t="n">
        <x:v>4.630097</x:v>
      </x:c>
      <x:c r="G28" s="54" t="n">
        <x:v>1</x:v>
      </x:c>
      <x:c r="H28" s="54" t="n">
        <x:v>2.435114</x:v>
      </x:c>
      <x:c r="I28" s="108" t="b">
        <x:v>0</x:v>
      </x:c>
      <x:c r="J28" s="54" t="n">
        <x:v>2.149605</x:v>
      </x:c>
      <x:c r="K28" s="54" t="n">
        <x:v>4.418124</x:v>
      </x:c>
      <x:c r="L28" s="54" t="n">
        <x:v>8.574752</x:v>
      </x:c>
      <x:c r="M28" s="54" t="n">
        <x:v>5.687149</x:v>
      </x:c>
      <x:c r="N28" s="54" t="n">
        <x:v>9.217777</x:v>
      </x:c>
    </x:row>
    <x:row r="29">
      <x:c r="A29" s="54" t="str">
        <x:v>윤준호</x:v>
      </x:c>
      <x:c r="B29" s="54" t="str">
        <x:v>DOO</x:v>
      </x:c>
      <x:c r="C29" s="54" t="n">
        <x:v>736</x:v>
      </x:c>
      <x:c r="D29" s="54" t="n">
        <x:v>0.562151</x:v>
      </x:c>
      <x:c r="E29" s="54" t="n">
        <x:v>-3.918072</x:v>
      </x:c>
      <x:c r="F29" s="54" t="n">
        <x:v>5.433571</x:v>
      </x:c>
      <x:c r="G29" s="54" t="n">
        <x:v>1</x:v>
      </x:c>
      <x:c r="H29" s="54" t="n">
        <x:v>2.293057</x:v>
      </x:c>
      <x:c r="I29" s="108" t="b">
        <x:v>0</x:v>
      </x:c>
      <x:c r="J29" s="54" t="n">
        <x:v>4.636914</x:v>
      </x:c>
      <x:c r="K29" s="54" t="n">
        <x:v>1.892696</x:v>
      </x:c>
      <x:c r="L29" s="54" t="n">
        <x:v>6.38447</x:v>
      </x:c>
      <x:c r="M29" s="54" t="n">
        <x:v>17.274886</x:v>
      </x:c>
      <x:c r="N29" s="54" t="n">
        <x:v>-1.935738</x:v>
      </x:c>
    </x:row>
    <x:row r="30">
      <x:c r="A30" s="54" t="str">
        <x:v>나승엽</x:v>
      </x:c>
      <x:c r="B30" s="54" t="str">
        <x:v>LOT</x:v>
      </x:c>
      <x:c r="C30" s="54" t="n">
        <x:v>1247</x:v>
      </x:c>
      <x:c r="D30" s="54" t="n">
        <x:v>-6.38048</x:v>
      </x:c>
      <x:c r="E30" s="54" t="n">
        <x:v>0.645295</x:v>
      </x:c>
      <x:c r="F30" s="54" t="n">
        <x:v>6.559062</x:v>
      </x:c>
      <x:c r="G30" s="54" t="n">
        <x:v>2</x:v>
      </x:c>
      <x:c r="H30" s="54" t="n">
        <x:v>2.186226</x:v>
      </x:c>
      <x:c r="I30" s="108" t="b">
        <x:v>0</x:v>
      </x:c>
      <x:c r="J30" s="54" t="n">
        <x:v>-8.329819</x:v>
      </x:c>
      <x:c r="K30" s="54" t="n">
        <x:v>-6.263784</x:v>
      </x:c>
      <x:c r="L30" s="54" t="n">
        <x:v>-7.218922</x:v>
      </x:c>
      <x:c r="M30" s="54" t="n">
        <x:v>-12.280536</x:v>
      </x:c>
      <x:c r="N30" s="54" t="n">
        <x:v>-7.963666</x:v>
      </x:c>
    </x:row>
    <x:row r="31">
      <x:c r="A31" s="54" t="str">
        <x:v>이주헌</x:v>
      </x:c>
      <x:c r="B31" s="54" t="str">
        <x:v>LG</x:v>
      </x:c>
      <x:c r="C31" s="54" t="n">
        <x:v>440</x:v>
      </x:c>
      <x:c r="D31" s="54" t="n">
        <x:v>6.8765</x:v>
      </x:c>
      <x:c r="E31" s="54" t="n">
        <x:v>2.592777</x:v>
      </x:c>
      <x:c r="F31" s="54" t="n">
        <x:v>4.662626</x:v>
      </x:c>
      <x:c r="G31" s="54" t="n">
        <x:v>1</x:v>
      </x:c>
      <x:c r="H31" s="54" t="n">
        <x:v>2.146121</x:v>
      </x:c>
      <x:c r="I31" s="108" t="b">
        <x:v>0</x:v>
      </x:c>
      <x:c r="J31" s="54" t="n">
        <x:v>3.907974</x:v>
      </x:c>
      <x:c r="K31" s="54" t="n">
        <x:v>11.997036</x:v>
      </x:c>
      <x:c r="L31" s="54" t="n">
        <x:v>5.614068</x:v>
      </x:c>
      <x:c r="M31" s="54" t="n">
        <x:v>10.472435</x:v>
      </x:c>
      <x:c r="N31" s="54" t="n">
        <x:v>5.480435</x:v>
      </x:c>
    </x:row>
    <x:row r="32">
      <x:c r="A32" s="55" t="str">
        <x:v>신재인</x:v>
      </x:c>
      <x:c r="B32" s="55" t="str">
        <x:v>NC</x:v>
      </x:c>
      <x:c r="C32" s="55" t="n">
        <x:v>469</x:v>
      </x:c>
      <x:c r="D32" s="55" t="n">
        <x:v>-7.584355</x:v>
      </x:c>
      <x:c r="E32" s="55" t="n">
        <x:v>-0.451745</x:v>
      </x:c>
      <x:c r="F32" s="55" t="n">
        <x:v>6.174216</x:v>
      </x:c>
      <x:c r="G32" s="55" t="n">
        <x:v>2</x:v>
      </x:c>
      <x:c r="H32" s="55" t="n">
        <x:v>1.942739</x:v>
      </x:c>
      <x:c r="I32" s="109" t="b">
        <x:v>0</x:v>
      </x:c>
      <x:c r="J32" s="55" t="n">
        <x:v>-11.66587</x:v>
      </x:c>
      <x:c r="K32" s="55" t="n">
        <x:v>-6.649624</x:v>
      </x:c>
      <x:c r="L32" s="55" t="n">
        <x:v>-10.045906</x:v>
      </x:c>
      <x:c r="M32" s="55" t="n">
        <x:v>-3.34383</x:v>
      </x:c>
      <x:c r="N32" s="55" t="n">
        <x:v>-1.084838</x:v>
      </x:c>
    </x:row>
  </x:sheetData>
  <x:mergeCells>
    <x:mergeCell ref="A1:N2"/>
    <x:mergeCell ref="A8:N8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30" customHeight="1">
      <x:c r="A1" s="3" t="str">
        <x:v>주요 관계 산점도 — 회귀계수는 Regressions 시트 참조</x:v>
      </x:c>
      <x:c r="B1" s="3" t="str">
        <x:v>주요 관계 산점도 — 회귀계수는 Regressions 시트 참조</x:v>
      </x:c>
      <x:c r="C1" s="3" t="str">
        <x:v>주요 관계 산점도 — 회귀계수는 Regressions 시트 참조</x:v>
      </x:c>
      <x:c r="D1" s="3" t="str">
        <x:v>주요 관계 산점도 — 회귀계수는 Regressions 시트 참조</x:v>
      </x:c>
      <x:c r="E1" s="3" t="str">
        <x:v>주요 관계 산점도 — 회귀계수는 Regressions 시트 참조</x:v>
      </x:c>
      <x:c r="F1" s="3" t="str">
        <x:v>주요 관계 산점도 — 회귀계수는 Regressions 시트 참조</x:v>
      </x:c>
      <x:c r="G1" s="3" t="str">
        <x:v>주요 관계 산점도 — 회귀계수는 Regressions 시트 참조</x:v>
      </x:c>
      <x:c r="H1" s="3" t="str">
        <x:v>주요 관계 산점도 — 회귀계수는 Regressions 시트 참조</x:v>
      </x:c>
      <x:c r="I1" s="3" t="str">
        <x:v>주요 관계 산점도 — 회귀계수는 Regressions 시트 참조</x:v>
      </x:c>
      <x:c r="J1" s="3" t="str">
        <x:v>주요 관계 산점도 — 회귀계수는 Regressions 시트 참조</x:v>
      </x:c>
      <x:c r="K1" s="3" t="str">
        <x:v>주요 관계 산점도 — 회귀계수는 Regressions 시트 참조</x:v>
      </x:c>
      <x:c r="L1" s="3" t="str">
        <x:v>주요 관계 산점도 — 회귀계수는 Regressions 시트 참조</x:v>
      </x:c>
      <x:c r="M1" s="3" t="str">
        <x:v>주요 관계 산점도 — 회귀계수는 Regressions 시트 참조</x:v>
      </x:c>
      <x:c r="N1" s="3" t="str">
        <x:v>주요 관계 산점도 — 회귀계수는 Regressions 시트 참조</x:v>
      </x:c>
      <x:c r="O1" s="3" t="str">
        <x:v>주요 관계 산점도 — 회귀계수는 Regressions 시트 참조</x:v>
      </x:c>
      <x:c r="P1" s="3" t="str">
        <x:v>주요 관계 산점도 — 회귀계수는 Regressions 시트 참조</x:v>
      </x:c>
      <x:c r="Q1" s="3" t="str">
        <x:v>주요 관계 산점도 — 회귀계수는 Regressions 시트 참조</x:v>
      </x:c>
    </x:row>
    <x:row r="44" ht="30" customHeight="1">
      <x:c r="A44" s="48" t="str">
        <x:v>ZA Raw</x:v>
      </x:c>
      <x:c r="B44" s="49" t="str">
        <x:v>Z−O Swing%</x:v>
      </x:c>
      <x:c r="C44" s="49" t="str">
        <x:v>SA</x:v>
      </x:c>
      <x:c r="D44" s="49" t="str">
        <x:v>Swing%</x:v>
      </x:c>
      <x:c r="E44" s="49" t="str">
        <x:v>ZA Raw (DV)</x:v>
      </x:c>
      <x:c r="F44" s="49" t="str">
        <x:v>DV/100</x:v>
      </x:c>
      <x:c r="G44" s="49" t="str">
        <x:v>SA (DV)</x:v>
      </x:c>
      <x:c r="H44" s="50" t="str">
        <x:v>DV/100 (SA)</x:v>
      </x:c>
    </x:row>
    <x:row r="45">
      <x:c r="A45" s="53" t="n">
        <x:v>0.054999</x:v>
      </x:c>
      <x:c r="B45" s="53" t="n">
        <x:v>35.198412</x:v>
      </x:c>
      <x:c r="C45" s="53" t="n">
        <x:v>-5.111516</x:v>
      </x:c>
      <x:c r="D45" s="53" t="n">
        <x:v>41.856233</x:v>
      </x:c>
      <x:c r="E45" s="53" t="n">
        <x:v>0.054999</x:v>
      </x:c>
      <x:c r="F45" s="53" t="n">
        <x:v>6.498016</x:v>
      </x:c>
      <x:c r="G45" s="53" t="n">
        <x:v>-5.111516</x:v>
      </x:c>
      <x:c r="H45" s="53" t="n">
        <x:v>6.498016</x:v>
      </x:c>
    </x:row>
    <x:row r="46">
      <x:c r="A46" s="54" t="n">
        <x:v>-3.389163</x:v>
      </x:c>
      <x:c r="B46" s="54" t="n">
        <x:v>27.743127</x:v>
      </x:c>
      <x:c r="C46" s="54" t="n">
        <x:v>-1.641781</x:v>
      </x:c>
      <x:c r="D46" s="54" t="n">
        <x:v>41.210526</x:v>
      </x:c>
      <x:c r="E46" s="54" t="n">
        <x:v>-3.389163</x:v>
      </x:c>
      <x:c r="F46" s="54" t="n">
        <x:v>5.586775</x:v>
      </x:c>
      <x:c r="G46" s="54" t="n">
        <x:v>-1.641781</x:v>
      </x:c>
      <x:c r="H46" s="54" t="n">
        <x:v>5.586775</x:v>
      </x:c>
    </x:row>
    <x:row r="47">
      <x:c r="A47" s="54" t="n">
        <x:v>0.274345</x:v>
      </x:c>
      <x:c r="B47" s="54" t="n">
        <x:v>33.063116</x:v>
      </x:c>
      <x:c r="C47" s="54" t="n">
        <x:v>3.159555</x:v>
      </x:c>
      <x:c r="D47" s="54" t="n">
        <x:v>49.633252</x:v>
      </x:c>
      <x:c r="E47" s="54" t="n">
        <x:v>0.274345</x:v>
      </x:c>
      <x:c r="F47" s="54" t="n">
        <x:v>5.53748</x:v>
      </x:c>
      <x:c r="G47" s="54" t="n">
        <x:v>3.159555</x:v>
      </x:c>
      <x:c r="H47" s="54" t="n">
        <x:v>5.53748</x:v>
      </x:c>
    </x:row>
    <x:row r="48">
      <x:c r="A48" s="54" t="n">
        <x:v>-0.000592</x:v>
      </x:c>
      <x:c r="B48" s="54" t="n">
        <x:v>30.822897</x:v>
      </x:c>
      <x:c r="C48" s="54" t="n">
        <x:v>6.129953</x:v>
      </x:c>
      <x:c r="D48" s="54" t="n">
        <x:v>51.282051</x:v>
      </x:c>
      <x:c r="E48" s="54" t="n">
        <x:v>-0.000592</x:v>
      </x:c>
      <x:c r="F48" s="54" t="n">
        <x:v>4.510405</x:v>
      </x:c>
      <x:c r="G48" s="54" t="n">
        <x:v>6.129953</x:v>
      </x:c>
      <x:c r="H48" s="54" t="n">
        <x:v>4.510405</x:v>
      </x:c>
    </x:row>
    <x:row r="49">
      <x:c r="A49" s="54" t="n">
        <x:v>-2.644728</x:v>
      </x:c>
      <x:c r="B49" s="54" t="n">
        <x:v>31.605003</x:v>
      </x:c>
      <x:c r="C49" s="54" t="n">
        <x:v>-4.976695</x:v>
      </x:c>
      <x:c r="D49" s="54" t="n">
        <x:v>40.42838</x:v>
      </x:c>
      <x:c r="E49" s="54" t="n">
        <x:v>-2.644728</x:v>
      </x:c>
      <x:c r="F49" s="54" t="n">
        <x:v>5.720838</x:v>
      </x:c>
      <x:c r="G49" s="54" t="n">
        <x:v>-4.976695</x:v>
      </x:c>
      <x:c r="H49" s="54" t="n">
        <x:v>5.720838</x:v>
      </x:c>
    </x:row>
    <x:row r="50">
      <x:c r="A50" s="54" t="n">
        <x:v>0.352649</x:v>
      </x:c>
      <x:c r="B50" s="54" t="n">
        <x:v>39.077554</x:v>
      </x:c>
      <x:c r="C50" s="54" t="n">
        <x:v>3.407832</x:v>
      </x:c>
      <x:c r="D50" s="54" t="n">
        <x:v>50.324374</x:v>
      </x:c>
      <x:c r="E50" s="54" t="n">
        <x:v>0.352649</x:v>
      </x:c>
      <x:c r="F50" s="54" t="n">
        <x:v>6.173968</x:v>
      </x:c>
      <x:c r="G50" s="54" t="n">
        <x:v>3.407832</x:v>
      </x:c>
      <x:c r="H50" s="54" t="n">
        <x:v>6.173968</x:v>
      </x:c>
    </x:row>
    <x:row r="51">
      <x:c r="A51" s="54" t="n">
        <x:v>3.029522</x:v>
      </x:c>
      <x:c r="B51" s="54" t="n">
        <x:v>38.034657</x:v>
      </x:c>
      <x:c r="C51" s="54" t="n">
        <x:v>0.636933</x:v>
      </x:c>
      <x:c r="D51" s="54" t="n">
        <x:v>43.961927</x:v>
      </x:c>
      <x:c r="E51" s="54" t="n">
        <x:v>3.029522</x:v>
      </x:c>
      <x:c r="F51" s="54" t="n">
        <x:v>7.405988</x:v>
      </x:c>
      <x:c r="G51" s="54" t="n">
        <x:v>0.636933</x:v>
      </x:c>
      <x:c r="H51" s="54" t="n">
        <x:v>7.405988</x:v>
      </x:c>
    </x:row>
    <x:row r="52">
      <x:c r="A52" s="54" t="n">
        <x:v>0.075878</x:v>
      </x:c>
      <x:c r="B52" s="54" t="n">
        <x:v>38.655817</x:v>
      </x:c>
      <x:c r="C52" s="54" t="n">
        <x:v>-0.99639</x:v>
      </x:c>
      <x:c r="D52" s="54" t="n">
        <x:v>44.742729</x:v>
      </x:c>
      <x:c r="E52" s="54" t="n">
        <x:v>0.075878</x:v>
      </x:c>
      <x:c r="F52" s="54" t="n">
        <x:v>6.836782</x:v>
      </x:c>
      <x:c r="G52" s="54" t="n">
        <x:v>-0.99639</x:v>
      </x:c>
      <x:c r="H52" s="54" t="n">
        <x:v>6.836782</x:v>
      </x:c>
    </x:row>
    <x:row r="53">
      <x:c r="A53" s="54" t="n">
        <x:v>-5.55316</x:v>
      </x:c>
      <x:c r="B53" s="54" t="n">
        <x:v>21.465863</x:v>
      </x:c>
      <x:c r="C53" s="54" t="n">
        <x:v>-2.392349</x:v>
      </x:c>
      <x:c r="D53" s="54" t="n">
        <x:v>43.603412</x:v>
      </x:c>
      <x:c r="E53" s="54" t="n">
        <x:v>-5.55316</x:v>
      </x:c>
      <x:c r="F53" s="54" t="n">
        <x:v>4.397368</x:v>
      </x:c>
      <x:c r="G53" s="54" t="n">
        <x:v>-2.392349</x:v>
      </x:c>
      <x:c r="H53" s="54" t="n">
        <x:v>4.397368</x:v>
      </x:c>
    </x:row>
    <x:row r="54">
      <x:c r="A54" s="54" t="n">
        <x:v>-2.544884</x:v>
      </x:c>
      <x:c r="B54" s="54" t="n">
        <x:v>33.281842</x:v>
      </x:c>
      <x:c r="C54" s="54" t="n">
        <x:v>-16.20771</x:v>
      </x:c>
      <x:c r="D54" s="54" t="n">
        <x:v>32.020202</x:v>
      </x:c>
      <x:c r="E54" s="54" t="n">
        <x:v>-2.544884</x:v>
      </x:c>
      <x:c r="F54" s="54" t="n">
        <x:v>7.223707</x:v>
      </x:c>
      <x:c r="G54" s="54" t="n">
        <x:v>-16.20771</x:v>
      </x:c>
      <x:c r="H54" s="54" t="n">
        <x:v>7.223707</x:v>
      </x:c>
    </x:row>
    <x:row r="55">
      <x:c r="A55" s="54" t="n">
        <x:v>-1.862751</x:v>
      </x:c>
      <x:c r="B55" s="54" t="n">
        <x:v>31.424744</x:v>
      </x:c>
      <x:c r="C55" s="54" t="n">
        <x:v>3.468932</x:v>
      </x:c>
      <x:c r="D55" s="54" t="n">
        <x:v>49.114441</x:v>
      </x:c>
      <x:c r="E55" s="54" t="n">
        <x:v>-1.862751</x:v>
      </x:c>
      <x:c r="F55" s="54" t="n">
        <x:v>6.041642</x:v>
      </x:c>
      <x:c r="G55" s="54" t="n">
        <x:v>3.468932</x:v>
      </x:c>
      <x:c r="H55" s="54" t="n">
        <x:v>6.041642</x:v>
      </x:c>
    </x:row>
    <x:row r="56">
      <x:c r="A56" s="54" t="n">
        <x:v>-2.456562</x:v>
      </x:c>
      <x:c r="B56" s="54" t="n">
        <x:v>33.742621</x:v>
      </x:c>
      <x:c r="C56" s="54" t="n">
        <x:v>-5.085271</x:v>
      </x:c>
      <x:c r="D56" s="54" t="n">
        <x:v>41.31016</x:v>
      </x:c>
      <x:c r="E56" s="54" t="n">
        <x:v>-2.456562</x:v>
      </x:c>
      <x:c r="F56" s="54" t="n">
        <x:v>6.547259</x:v>
      </x:c>
      <x:c r="G56" s="54" t="n">
        <x:v>-5.085271</x:v>
      </x:c>
      <x:c r="H56" s="54" t="n">
        <x:v>6.547259</x:v>
      </x:c>
    </x:row>
    <x:row r="57">
      <x:c r="A57" s="54" t="n">
        <x:v>2.780751</x:v>
      </x:c>
      <x:c r="B57" s="54" t="n">
        <x:v>41.73386</x:v>
      </x:c>
      <x:c r="C57" s="54" t="n">
        <x:v>4.075844</x:v>
      </x:c>
      <x:c r="D57" s="54" t="n">
        <x:v>49.869452</x:v>
      </x:c>
      <x:c r="E57" s="54" t="n">
        <x:v>2.780751</x:v>
      </x:c>
      <x:c r="F57" s="54" t="n">
        <x:v>5.059184</x:v>
      </x:c>
      <x:c r="G57" s="54" t="n">
        <x:v>4.075844</x:v>
      </x:c>
      <x:c r="H57" s="54" t="n">
        <x:v>5.059184</x:v>
      </x:c>
    </x:row>
    <x:row r="58">
      <x:c r="A58" s="54" t="n">
        <x:v>6.504004</x:v>
      </x:c>
      <x:c r="B58" s="54" t="n">
        <x:v>44.045104</x:v>
      </x:c>
      <x:c r="C58" s="54" t="n">
        <x:v>0.454297</x:v>
      </x:c>
      <x:c r="D58" s="54" t="n">
        <x:v>43.553459</x:v>
      </x:c>
      <x:c r="E58" s="54" t="n">
        <x:v>6.504004</x:v>
      </x:c>
      <x:c r="F58" s="54" t="n">
        <x:v>6.782493</x:v>
      </x:c>
      <x:c r="G58" s="54" t="n">
        <x:v>0.454297</x:v>
      </x:c>
      <x:c r="H58" s="54" t="n">
        <x:v>6.782493</x:v>
      </x:c>
    </x:row>
    <x:row r="59">
      <x:c r="A59" s="54" t="n">
        <x:v>2.916791</x:v>
      </x:c>
      <x:c r="B59" s="54" t="n">
        <x:v>41.036415</x:v>
      </x:c>
      <x:c r="C59" s="54" t="n">
        <x:v>-0.875979</x:v>
      </x:c>
      <x:c r="D59" s="54" t="n">
        <x:v>43.953488</x:v>
      </x:c>
      <x:c r="E59" s="54" t="n">
        <x:v>2.916791</x:v>
      </x:c>
      <x:c r="F59" s="54" t="n">
        <x:v>6.353278</x:v>
      </x:c>
      <x:c r="G59" s="54" t="n">
        <x:v>-0.875979</x:v>
      </x:c>
      <x:c r="H59" s="54" t="n">
        <x:v>6.353278</x:v>
      </x:c>
    </x:row>
    <x:row r="60">
      <x:c r="A60" s="54" t="n">
        <x:v>-0.193289</x:v>
      </x:c>
      <x:c r="B60" s="54" t="n">
        <x:v>36.373498</x:v>
      </x:c>
      <x:c r="C60" s="54" t="n">
        <x:v>-3.534675</x:v>
      </x:c>
      <x:c r="D60" s="54" t="n">
        <x:v>41.073583</x:v>
      </x:c>
      <x:c r="E60" s="54" t="n">
        <x:v>-0.193289</x:v>
      </x:c>
      <x:c r="F60" s="54" t="n">
        <x:v>6.130577</x:v>
      </x:c>
      <x:c r="G60" s="54" t="n">
        <x:v>-3.534675</x:v>
      </x:c>
      <x:c r="H60" s="54" t="n">
        <x:v>6.130577</x:v>
      </x:c>
    </x:row>
    <x:row r="61">
      <x:c r="A61" s="54" t="n">
        <x:v>-0.667818</x:v>
      </x:c>
      <x:c r="B61" s="54" t="n">
        <x:v>36.329503</x:v>
      </x:c>
      <x:c r="C61" s="54" t="n">
        <x:v>-2.453124</x:v>
      </x:c>
      <x:c r="D61" s="54" t="n">
        <x:v>41.730475</x:v>
      </x:c>
      <x:c r="E61" s="54" t="n">
        <x:v>-0.667818</x:v>
      </x:c>
      <x:c r="F61" s="54" t="n">
        <x:v>6.589016</x:v>
      </x:c>
      <x:c r="G61" s="54" t="n">
        <x:v>-2.453124</x:v>
      </x:c>
      <x:c r="H61" s="54" t="n">
        <x:v>6.589016</x:v>
      </x:c>
    </x:row>
    <x:row r="62">
      <x:c r="A62" s="54" t="n">
        <x:v>-3.412048</x:v>
      </x:c>
      <x:c r="B62" s="54" t="n">
        <x:v>29.155265</x:v>
      </x:c>
      <x:c r="C62" s="54" t="n">
        <x:v>-10.022994</x:v>
      </x:c>
      <x:c r="D62" s="54" t="n">
        <x:v>36.043689</x:v>
      </x:c>
      <x:c r="E62" s="54" t="n">
        <x:v>-3.412048</x:v>
      </x:c>
      <x:c r="F62" s="54" t="n">
        <x:v>6.971037</x:v>
      </x:c>
      <x:c r="G62" s="54" t="n">
        <x:v>-10.022994</x:v>
      </x:c>
      <x:c r="H62" s="54" t="n">
        <x:v>6.971037</x:v>
      </x:c>
    </x:row>
    <x:row r="63">
      <x:c r="A63" s="54" t="n">
        <x:v>-0.371151</x:v>
      </x:c>
      <x:c r="B63" s="54" t="n">
        <x:v>34.304541</x:v>
      </x:c>
      <x:c r="C63" s="54" t="n">
        <x:v>-7.716011</x:v>
      </x:c>
      <x:c r="D63" s="54" t="n">
        <x:v>37.917808</x:v>
      </x:c>
      <x:c r="E63" s="54" t="n">
        <x:v>-0.371151</x:v>
      </x:c>
      <x:c r="F63" s="54" t="n">
        <x:v>7.108532</x:v>
      </x:c>
      <x:c r="G63" s="54" t="n">
        <x:v>-7.716011</x:v>
      </x:c>
      <x:c r="H63" s="54" t="n">
        <x:v>7.108532</x:v>
      </x:c>
    </x:row>
    <x:row r="64">
      <x:c r="A64" s="54" t="n">
        <x:v>-0.099999</x:v>
      </x:c>
      <x:c r="B64" s="54" t="n">
        <x:v>34.579896</x:v>
      </x:c>
      <x:c r="C64" s="54" t="n">
        <x:v>-4.904183</x:v>
      </x:c>
      <x:c r="D64" s="54" t="n">
        <x:v>40.374787</x:v>
      </x:c>
      <x:c r="E64" s="54" t="n">
        <x:v>-0.099999</x:v>
      </x:c>
      <x:c r="F64" s="54" t="n">
        <x:v>7.303452</x:v>
      </x:c>
      <x:c r="G64" s="54" t="n">
        <x:v>-4.904183</x:v>
      </x:c>
      <x:c r="H64" s="54" t="n">
        <x:v>7.303452</x:v>
      </x:c>
    </x:row>
    <x:row r="65">
      <x:c r="A65" s="54" t="n">
        <x:v>1.389131</x:v>
      </x:c>
      <x:c r="B65" s="54" t="n">
        <x:v>40.362554</x:v>
      </x:c>
      <x:c r="C65" s="54" t="n">
        <x:v>3.819731</x:v>
      </x:c>
      <x:c r="D65" s="54" t="n">
        <x:v>43.551797</x:v>
      </x:c>
      <x:c r="E65" s="54" t="n">
        <x:v>1.389131</x:v>
      </x:c>
      <x:c r="F65" s="54" t="n">
        <x:v>6.211297</x:v>
      </x:c>
      <x:c r="G65" s="54" t="n">
        <x:v>3.819731</x:v>
      </x:c>
      <x:c r="H65" s="54" t="n">
        <x:v>6.211297</x:v>
      </x:c>
    </x:row>
    <x:row r="66">
      <x:c r="A66" s="54" t="n">
        <x:v>-0.420933</x:v>
      </x:c>
      <x:c r="B66" s="54" t="n">
        <x:v>32.557319</x:v>
      </x:c>
      <x:c r="C66" s="54" t="n">
        <x:v>6.163502</x:v>
      </x:c>
      <x:c r="D66" s="54" t="n">
        <x:v>51.821192</x:v>
      </x:c>
      <x:c r="E66" s="54" t="n">
        <x:v>-0.420933</x:v>
      </x:c>
      <x:c r="F66" s="54" t="n">
        <x:v>5.211158</x:v>
      </x:c>
      <x:c r="G66" s="54" t="n">
        <x:v>6.163502</x:v>
      </x:c>
      <x:c r="H66" s="54" t="n">
        <x:v>5.211158</x:v>
      </x:c>
    </x:row>
    <x:row r="67">
      <x:c r="A67" s="54" t="n">
        <x:v>-1.695418</x:v>
      </x:c>
      <x:c r="B67" s="54" t="n">
        <x:v>35.189585</x:v>
      </x:c>
      <x:c r="C67" s="54" t="n">
        <x:v>-0.847553</x:v>
      </x:c>
      <x:c r="D67" s="54" t="n">
        <x:v>43.037975</x:v>
      </x:c>
      <x:c r="E67" s="54" t="n">
        <x:v>-1.695418</x:v>
      </x:c>
      <x:c r="F67" s="54" t="n">
        <x:v>6.297161</x:v>
      </x:c>
      <x:c r="G67" s="54" t="n">
        <x:v>-0.847553</x:v>
      </x:c>
      <x:c r="H67" s="54" t="n">
        <x:v>6.297161</x:v>
      </x:c>
    </x:row>
    <x:row r="68">
      <x:c r="A68" s="54" t="n">
        <x:v>2.187813</x:v>
      </x:c>
      <x:c r="B68" s="54" t="n">
        <x:v>39.879939</x:v>
      </x:c>
      <x:c r="C68" s="54" t="n">
        <x:v>-1.748235</x:v>
      </x:c>
      <x:c r="D68" s="54" t="n">
        <x:v>42.575342</x:v>
      </x:c>
      <x:c r="E68" s="54" t="n">
        <x:v>2.187813</x:v>
      </x:c>
      <x:c r="F68" s="54" t="n">
        <x:v>6.871705</x:v>
      </x:c>
      <x:c r="G68" s="54" t="n">
        <x:v>-1.748235</x:v>
      </x:c>
      <x:c r="H68" s="54" t="n">
        <x:v>6.871705</x:v>
      </x:c>
    </x:row>
    <x:row r="69">
      <x:c r="A69" s="54" t="n">
        <x:v>4.148653</x:v>
      </x:c>
      <x:c r="B69" s="54" t="n">
        <x:v>46.744607</x:v>
      </x:c>
      <x:c r="C69" s="54" t="n">
        <x:v>-0.634647</x:v>
      </x:c>
      <x:c r="D69" s="54" t="n">
        <x:v>44.776119</x:v>
      </x:c>
      <x:c r="E69" s="54" t="n">
        <x:v>4.148653</x:v>
      </x:c>
      <x:c r="F69" s="54" t="n">
        <x:v>6.64339</x:v>
      </x:c>
      <x:c r="G69" s="54" t="n">
        <x:v>-0.634647</x:v>
      </x:c>
      <x:c r="H69" s="54" t="n">
        <x:v>6.64339</x:v>
      </x:c>
    </x:row>
    <x:row r="70">
      <x:c r="A70" s="54" t="n">
        <x:v>-1.972726</x:v>
      </x:c>
      <x:c r="B70" s="54" t="n">
        <x:v>33.189171</x:v>
      </x:c>
      <x:c r="C70" s="54" t="n">
        <x:v>-3.525444</x:v>
      </x:c>
      <x:c r="D70" s="54" t="n">
        <x:v>37.291066</x:v>
      </x:c>
      <x:c r="E70" s="54" t="n">
        <x:v>-1.972726</x:v>
      </x:c>
      <x:c r="F70" s="54" t="n">
        <x:v>6.649914</x:v>
      </x:c>
      <x:c r="G70" s="54" t="n">
        <x:v>-3.525444</x:v>
      </x:c>
      <x:c r="H70" s="54" t="n">
        <x:v>6.649914</x:v>
      </x:c>
    </x:row>
    <x:row r="71">
      <x:c r="A71" s="54" t="n">
        <x:v>-7.277884</x:v>
      </x:c>
      <x:c r="B71" s="54" t="n">
        <x:v>16.478873</x:v>
      </x:c>
      <x:c r="C71" s="54" t="n">
        <x:v>-5.672193</x:v>
      </x:c>
      <x:c r="D71" s="54" t="n">
        <x:v>39.43662</x:v>
      </x:c>
      <x:c r="E71" s="54" t="n">
        <x:v>-7.277884</x:v>
      </x:c>
      <x:c r="F71" s="54" t="n">
        <x:v>5.233946</x:v>
      </x:c>
      <x:c r="G71" s="54" t="n">
        <x:v>-5.672193</x:v>
      </x:c>
      <x:c r="H71" s="54" t="n">
        <x:v>5.233946</x:v>
      </x:c>
    </x:row>
    <x:row r="72">
      <x:c r="A72" s="54" t="n">
        <x:v>-0.225004</x:v>
      </x:c>
      <x:c r="B72" s="54" t="n">
        <x:v>36.522156</x:v>
      </x:c>
      <x:c r="C72" s="54" t="n">
        <x:v>1.371822</x:v>
      </x:c>
      <x:c r="D72" s="54" t="n">
        <x:v>45.675266</x:v>
      </x:c>
      <x:c r="E72" s="54" t="n">
        <x:v>-0.225004</x:v>
      </x:c>
      <x:c r="F72" s="54" t="n">
        <x:v>5.571571</x:v>
      </x:c>
      <x:c r="G72" s="54" t="n">
        <x:v>1.371822</x:v>
      </x:c>
      <x:c r="H72" s="54" t="n">
        <x:v>5.571571</x:v>
      </x:c>
    </x:row>
    <x:row r="73">
      <x:c r="A73" s="54" t="n">
        <x:v>-1.403931</x:v>
      </x:c>
      <x:c r="B73" s="54" t="n">
        <x:v>34.918826</x:v>
      </x:c>
      <x:c r="C73" s="54" t="n">
        <x:v>-4.452993</x:v>
      </x:c>
      <x:c r="D73" s="54" t="n">
        <x:v>41.325536</x:v>
      </x:c>
      <x:c r="E73" s="54" t="n">
        <x:v>-1.403931</x:v>
      </x:c>
      <x:c r="F73" s="54" t="n">
        <x:v>7.535446</x:v>
      </x:c>
      <x:c r="G73" s="54" t="n">
        <x:v>-4.452993</x:v>
      </x:c>
      <x:c r="H73" s="54" t="n">
        <x:v>7.535446</x:v>
      </x:c>
    </x:row>
    <x:row r="74">
      <x:c r="A74" s="54" t="n">
        <x:v>1.575756</x:v>
      </x:c>
      <x:c r="B74" s="54" t="n">
        <x:v>37.064403</x:v>
      </x:c>
      <x:c r="C74" s="54" t="n">
        <x:v>-0.762679</x:v>
      </x:c>
      <x:c r="D74" s="54" t="n">
        <x:v>42.694889</x:v>
      </x:c>
      <x:c r="E74" s="54" t="n">
        <x:v>1.575756</x:v>
      </x:c>
      <x:c r="F74" s="54" t="n">
        <x:v>6.707846</x:v>
      </x:c>
      <x:c r="G74" s="54" t="n">
        <x:v>-0.762679</x:v>
      </x:c>
      <x:c r="H74" s="54" t="n">
        <x:v>6.707846</x:v>
      </x:c>
    </x:row>
    <x:row r="75">
      <x:c r="A75" s="54" t="n">
        <x:v>4.170549</x:v>
      </x:c>
      <x:c r="B75" s="54" t="n">
        <x:v>42.323055</x:v>
      </x:c>
      <x:c r="C75" s="54" t="n">
        <x:v>0.371887</x:v>
      </x:c>
      <x:c r="D75" s="54" t="n">
        <x:v>46.028037</x:v>
      </x:c>
      <x:c r="E75" s="54" t="n">
        <x:v>4.170549</x:v>
      </x:c>
      <x:c r="F75" s="54" t="n">
        <x:v>7.197827</x:v>
      </x:c>
      <x:c r="G75" s="54" t="n">
        <x:v>0.371887</x:v>
      </x:c>
      <x:c r="H75" s="54" t="n">
        <x:v>7.197827</x:v>
      </x:c>
    </x:row>
    <x:row r="76">
      <x:c r="A76" s="54" t="n">
        <x:v>-1.614215</x:v>
      </x:c>
      <x:c r="B76" s="54" t="n">
        <x:v>31.755953</x:v>
      </x:c>
      <x:c r="C76" s="54" t="n">
        <x:v>0.814052</x:v>
      </x:c>
      <x:c r="D76" s="54" t="n">
        <x:v>48.58412</x:v>
      </x:c>
      <x:c r="E76" s="54" t="n">
        <x:v>-1.614215</x:v>
      </x:c>
      <x:c r="F76" s="54" t="n">
        <x:v>5.226777</x:v>
      </x:c>
      <x:c r="G76" s="54" t="n">
        <x:v>0.814052</x:v>
      </x:c>
      <x:c r="H76" s="54" t="n">
        <x:v>5.226777</x:v>
      </x:c>
    </x:row>
    <x:row r="77">
      <x:c r="A77" s="54" t="n">
        <x:v>2.873772</x:v>
      </x:c>
      <x:c r="B77" s="54" t="n">
        <x:v>42.203148</x:v>
      </x:c>
      <x:c r="C77" s="54" t="n">
        <x:v>-1.409506</x:v>
      </x:c>
      <x:c r="D77" s="54" t="n">
        <x:v>44.16476</x:v>
      </x:c>
      <x:c r="E77" s="54" t="n">
        <x:v>2.873772</x:v>
      </x:c>
      <x:c r="F77" s="54" t="n">
        <x:v>7.016045</x:v>
      </x:c>
      <x:c r="G77" s="54" t="n">
        <x:v>-1.409506</x:v>
      </x:c>
      <x:c r="H77" s="54" t="n">
        <x:v>7.016045</x:v>
      </x:c>
    </x:row>
    <x:row r="78">
      <x:c r="A78" s="54" t="n">
        <x:v>5.101016</x:v>
      </x:c>
      <x:c r="B78" s="54" t="n">
        <x:v>47.438224</x:v>
      </x:c>
      <x:c r="C78" s="54" t="n">
        <x:v>8.764955</x:v>
      </x:c>
      <x:c r="D78" s="54" t="n">
        <x:v>51.876751</x:v>
      </x:c>
      <x:c r="E78" s="54" t="n">
        <x:v>5.101016</x:v>
      </x:c>
      <x:c r="F78" s="54" t="n">
        <x:v>6.483873</x:v>
      </x:c>
      <x:c r="G78" s="54" t="n">
        <x:v>8.764955</x:v>
      </x:c>
      <x:c r="H78" s="54" t="n">
        <x:v>6.483873</x:v>
      </x:c>
    </x:row>
    <x:row r="79">
      <x:c r="A79" s="54" t="n">
        <x:v>0.645295</x:v>
      </x:c>
      <x:c r="B79" s="54" t="n">
        <x:v>34.738781</x:v>
      </x:c>
      <x:c r="C79" s="54" t="n">
        <x:v>-6.38048</x:v>
      </x:c>
      <x:c r="D79" s="54" t="n">
        <x:v>38.251804</x:v>
      </x:c>
      <x:c r="E79" s="54" t="n">
        <x:v>0.645295</x:v>
      </x:c>
      <x:c r="F79" s="54" t="n">
        <x:v>6.559062</x:v>
      </x:c>
      <x:c r="G79" s="54" t="n">
        <x:v>-6.38048</x:v>
      </x:c>
      <x:c r="H79" s="54" t="n">
        <x:v>6.559062</x:v>
      </x:c>
    </x:row>
    <x:row r="80">
      <x:c r="A80" s="54" t="n">
        <x:v>4.014689</x:v>
      </x:c>
      <x:c r="B80" s="54" t="n">
        <x:v>42.364824</x:v>
      </x:c>
      <x:c r="C80" s="54" t="n">
        <x:v>0.341805</x:v>
      </x:c>
      <x:c r="D80" s="54" t="n">
        <x:v>45.841889</x:v>
      </x:c>
      <x:c r="E80" s="54" t="n">
        <x:v>4.014689</x:v>
      </x:c>
      <x:c r="F80" s="54" t="n">
        <x:v>6.903593</x:v>
      </x:c>
      <x:c r="G80" s="54" t="n">
        <x:v>0.341805</x:v>
      </x:c>
      <x:c r="H80" s="54" t="n">
        <x:v>6.903593</x:v>
      </x:c>
    </x:row>
    <x:row r="81">
      <x:c r="A81" s="54" t="n">
        <x:v>3.291302</x:v>
      </x:c>
      <x:c r="B81" s="54" t="n">
        <x:v>44.796954</x:v>
      </x:c>
      <x:c r="C81" s="54" t="n">
        <x:v>0.721591</x:v>
      </x:c>
      <x:c r="D81" s="54" t="n">
        <x:v>46.368039</x:v>
      </x:c>
      <x:c r="E81" s="54" t="n">
        <x:v>3.291302</x:v>
      </x:c>
      <x:c r="F81" s="54" t="n">
        <x:v>6.999488</x:v>
      </x:c>
      <x:c r="G81" s="54" t="n">
        <x:v>0.721591</x:v>
      </x:c>
      <x:c r="H81" s="54" t="n">
        <x:v>6.999488</x:v>
      </x:c>
    </x:row>
    <x:row r="82">
      <x:c r="A82" s="54" t="n">
        <x:v>0.949147</x:v>
      </x:c>
      <x:c r="B82" s="54" t="n">
        <x:v>37.054507</x:v>
      </x:c>
      <x:c r="C82" s="54" t="n">
        <x:v>7.632079</x:v>
      </x:c>
      <x:c r="D82" s="54" t="n">
        <x:v>53.832335</x:v>
      </x:c>
      <x:c r="E82" s="54" t="n">
        <x:v>0.949147</x:v>
      </x:c>
      <x:c r="F82" s="54" t="n">
        <x:v>6.120156</x:v>
      </x:c>
      <x:c r="G82" s="54" t="n">
        <x:v>7.632079</x:v>
      </x:c>
      <x:c r="H82" s="54" t="n">
        <x:v>6.120156</x:v>
      </x:c>
    </x:row>
    <x:row r="83">
      <x:c r="A83" s="54" t="n">
        <x:v>4.262412</x:v>
      </x:c>
      <x:c r="B83" s="54" t="n">
        <x:v>43.254864</x:v>
      </x:c>
      <x:c r="C83" s="54" t="n">
        <x:v>6.3296</x:v>
      </x:c>
      <x:c r="D83" s="54" t="n">
        <x:v>51.632653</x:v>
      </x:c>
      <x:c r="E83" s="54" t="n">
        <x:v>4.262412</x:v>
      </x:c>
      <x:c r="F83" s="54" t="n">
        <x:v>6.552008</x:v>
      </x:c>
      <x:c r="G83" s="54" t="n">
        <x:v>6.3296</x:v>
      </x:c>
      <x:c r="H83" s="54" t="n">
        <x:v>6.552008</x:v>
      </x:c>
    </x:row>
    <x:row r="84">
      <x:c r="A84" s="54" t="n">
        <x:v>1.192607</x:v>
      </x:c>
      <x:c r="B84" s="54" t="n">
        <x:v>37.274611</x:v>
      </x:c>
      <x:c r="C84" s="54" t="n">
        <x:v>-6.016883</x:v>
      </x:c>
      <x:c r="D84" s="54" t="n">
        <x:v>37.026239</x:v>
      </x:c>
      <x:c r="E84" s="54" t="n">
        <x:v>1.192607</x:v>
      </x:c>
      <x:c r="F84" s="54" t="n">
        <x:v>6.014062</x:v>
      </x:c>
      <x:c r="G84" s="54" t="n">
        <x:v>-6.016883</x:v>
      </x:c>
      <x:c r="H84" s="54" t="n">
        <x:v>6.014062</x:v>
      </x:c>
    </x:row>
    <x:row r="85">
      <x:c r="A85" s="54" t="n">
        <x:v>-2.713983</x:v>
      </x:c>
      <x:c r="B85" s="54" t="n">
        <x:v>31.014642</x:v>
      </x:c>
      <x:c r="C85" s="54" t="n">
        <x:v>2.238129</x:v>
      </x:c>
      <x:c r="D85" s="54" t="n">
        <x:v>43.202417</x:v>
      </x:c>
      <x:c r="E85" s="54" t="n">
        <x:v>-2.713983</x:v>
      </x:c>
      <x:c r="F85" s="54" t="n">
        <x:v>5.89751</x:v>
      </x:c>
      <x:c r="G85" s="54" t="n">
        <x:v>2.238129</x:v>
      </x:c>
      <x:c r="H85" s="54" t="n">
        <x:v>5.89751</x:v>
      </x:c>
    </x:row>
    <x:row r="86">
      <x:c r="A86" s="54" t="n">
        <x:v>-0.588692</x:v>
      </x:c>
      <x:c r="B86" s="54" t="n">
        <x:v>37.161678</x:v>
      </x:c>
      <x:c r="C86" s="54" t="n">
        <x:v>10.20813</x:v>
      </x:c>
      <x:c r="D86" s="54" t="n">
        <x:v>53.15508</x:v>
      </x:c>
      <x:c r="E86" s="54" t="n">
        <x:v>-0.588692</x:v>
      </x:c>
      <x:c r="F86" s="54" t="n">
        <x:v>5.539883</x:v>
      </x:c>
      <x:c r="G86" s="54" t="n">
        <x:v>10.20813</x:v>
      </x:c>
      <x:c r="H86" s="54" t="n">
        <x:v>5.539883</x:v>
      </x:c>
    </x:row>
    <x:row r="87">
      <x:c r="A87" s="54" t="n">
        <x:v>-2.269133</x:v>
      </x:c>
      <x:c r="B87" s="54" t="n">
        <x:v>28.982631</x:v>
      </x:c>
      <x:c r="C87" s="54" t="n">
        <x:v>1.688262</x:v>
      </x:c>
      <x:c r="D87" s="54" t="n">
        <x:v>45.142857</x:v>
      </x:c>
      <x:c r="E87" s="54" t="n">
        <x:v>-2.269133</x:v>
      </x:c>
      <x:c r="F87" s="54" t="n">
        <x:v>5.711323</x:v>
      </x:c>
      <x:c r="G87" s="54" t="n">
        <x:v>1.688262</x:v>
      </x:c>
      <x:c r="H87" s="54" t="n">
        <x:v>5.711323</x:v>
      </x:c>
    </x:row>
    <x:row r="88">
      <x:c r="A88" s="54" t="n">
        <x:v>2.722202</x:v>
      </x:c>
      <x:c r="B88" s="54" t="n">
        <x:v>43.809763</x:v>
      </x:c>
      <x:c r="C88" s="54" t="n">
        <x:v>-1.837605</x:v>
      </x:c>
      <x:c r="D88" s="54" t="n">
        <x:v>42.111237</x:v>
      </x:c>
      <x:c r="E88" s="54" t="n">
        <x:v>2.722202</x:v>
      </x:c>
      <x:c r="F88" s="54" t="n">
        <x:v>7.715803</x:v>
      </x:c>
      <x:c r="G88" s="54" t="n">
        <x:v>-1.837605</x:v>
      </x:c>
      <x:c r="H88" s="54" t="n">
        <x:v>7.715803</x:v>
      </x:c>
    </x:row>
    <x:row r="89">
      <x:c r="A89" s="54" t="n">
        <x:v>0.740316</x:v>
      </x:c>
      <x:c r="B89" s="54" t="n">
        <x:v>37.249276</x:v>
      </x:c>
      <x:c r="C89" s="54" t="n">
        <x:v>3.399425</x:v>
      </x:c>
      <x:c r="D89" s="54" t="n">
        <x:v>49.321267</x:v>
      </x:c>
      <x:c r="E89" s="54" t="n">
        <x:v>0.740316</x:v>
      </x:c>
      <x:c r="F89" s="54" t="n">
        <x:v>6.644702</x:v>
      </x:c>
      <x:c r="G89" s="54" t="n">
        <x:v>3.399425</x:v>
      </x:c>
      <x:c r="H89" s="54" t="n">
        <x:v>6.644702</x:v>
      </x:c>
    </x:row>
    <x:row r="90">
      <x:c r="A90" s="54" t="n">
        <x:v>1.869698</x:v>
      </x:c>
      <x:c r="B90" s="54" t="n">
        <x:v>38.987828</x:v>
      </x:c>
      <x:c r="C90" s="54" t="n">
        <x:v>-3.85526</x:v>
      </x:c>
      <x:c r="D90" s="54" t="n">
        <x:v>40.463576</x:v>
      </x:c>
      <x:c r="E90" s="54" t="n">
        <x:v>1.869698</x:v>
      </x:c>
      <x:c r="F90" s="54" t="n">
        <x:v>6.925803</x:v>
      </x:c>
      <x:c r="G90" s="54" t="n">
        <x:v>-3.85526</x:v>
      </x:c>
      <x:c r="H90" s="54" t="n">
        <x:v>6.925803</x:v>
      </x:c>
    </x:row>
    <x:row r="91">
      <x:c r="A91" s="54" t="n">
        <x:v>1.169262</x:v>
      </x:c>
      <x:c r="B91" s="54" t="n">
        <x:v>37.85302</x:v>
      </x:c>
      <x:c r="C91" s="54" t="n">
        <x:v>1.184293</x:v>
      </x:c>
      <x:c r="D91" s="54" t="n">
        <x:v>44.469526</x:v>
      </x:c>
      <x:c r="E91" s="54" t="n">
        <x:v>1.169262</x:v>
      </x:c>
      <x:c r="F91" s="54" t="n">
        <x:v>6.290927</x:v>
      </x:c>
      <x:c r="G91" s="54" t="n">
        <x:v>1.184293</x:v>
      </x:c>
      <x:c r="H91" s="54" t="n">
        <x:v>6.290927</x:v>
      </x:c>
    </x:row>
    <x:row r="92">
      <x:c r="A92" s="54" t="n">
        <x:v>1.30801</x:v>
      </x:c>
      <x:c r="B92" s="54" t="n">
        <x:v>35.950835</x:v>
      </x:c>
      <x:c r="C92" s="54" t="n">
        <x:v>-3.212786</x:v>
      </x:c>
      <x:c r="D92" s="54" t="n">
        <x:v>43.615935</x:v>
      </x:c>
      <x:c r="E92" s="54" t="n">
        <x:v>1.30801</x:v>
      </x:c>
      <x:c r="F92" s="54" t="n">
        <x:v>6.322896</x:v>
      </x:c>
      <x:c r="G92" s="54" t="n">
        <x:v>-3.212786</x:v>
      </x:c>
      <x:c r="H92" s="54" t="n">
        <x:v>6.322896</x:v>
      </x:c>
    </x:row>
    <x:row r="93">
      <x:c r="A93" s="54" t="n">
        <x:v>3.16065</x:v>
      </x:c>
      <x:c r="B93" s="54" t="n">
        <x:v>43.271216</x:v>
      </x:c>
      <x:c r="C93" s="54" t="n">
        <x:v>1.83238</x:v>
      </x:c>
      <x:c r="D93" s="54" t="n">
        <x:v>43.628736</x:v>
      </x:c>
      <x:c r="E93" s="54" t="n">
        <x:v>3.16065</x:v>
      </x:c>
      <x:c r="F93" s="54" t="n">
        <x:v>7.373568</x:v>
      </x:c>
      <x:c r="G93" s="54" t="n">
        <x:v>1.83238</x:v>
      </x:c>
      <x:c r="H93" s="54" t="n">
        <x:v>7.373568</x:v>
      </x:c>
    </x:row>
    <x:row r="94">
      <x:c r="A94" s="54" t="n">
        <x:v>6.606401</x:v>
      </x:c>
      <x:c r="B94" s="54" t="n">
        <x:v>48.114176</x:v>
      </x:c>
      <x:c r="C94" s="54" t="n">
        <x:v>3.366831</x:v>
      </x:c>
      <x:c r="D94" s="54" t="n">
        <x:v>47.265871</x:v>
      </x:c>
      <x:c r="E94" s="54" t="n">
        <x:v>6.606401</x:v>
      </x:c>
      <x:c r="F94" s="54" t="n">
        <x:v>7.495069</x:v>
      </x:c>
      <x:c r="G94" s="54" t="n">
        <x:v>3.366831</x:v>
      </x:c>
      <x:c r="H94" s="54" t="n">
        <x:v>7.495069</x:v>
      </x:c>
    </x:row>
    <x:row r="95">
      <x:c r="A95" s="54" t="n">
        <x:v>5.119768</x:v>
      </x:c>
      <x:c r="B95" s="54" t="n">
        <x:v>44.388164</x:v>
      </x:c>
      <x:c r="C95" s="54" t="n">
        <x:v>2.83555</x:v>
      </x:c>
      <x:c r="D95" s="54" t="n">
        <x:v>46.521739</x:v>
      </x:c>
      <x:c r="E95" s="54" t="n">
        <x:v>5.119768</x:v>
      </x:c>
      <x:c r="F95" s="54" t="n">
        <x:v>7.242552</x:v>
      </x:c>
      <x:c r="G95" s="54" t="n">
        <x:v>2.83555</x:v>
      </x:c>
      <x:c r="H95" s="54" t="n">
        <x:v>7.242552</x:v>
      </x:c>
    </x:row>
    <x:row r="96">
      <x:c r="A96" s="54" t="n">
        <x:v>-1.746902</x:v>
      </x:c>
      <x:c r="B96" s="54" t="n">
        <x:v>33.454665</x:v>
      </x:c>
      <x:c r="C96" s="54" t="n">
        <x:v>-1.527222</x:v>
      </x:c>
      <x:c r="D96" s="54" t="n">
        <x:v>44.793153</x:v>
      </x:c>
      <x:c r="E96" s="54" t="n">
        <x:v>-1.746902</x:v>
      </x:c>
      <x:c r="F96" s="54" t="n">
        <x:v>5.822911</x:v>
      </x:c>
      <x:c r="G96" s="54" t="n">
        <x:v>-1.527222</x:v>
      </x:c>
      <x:c r="H96" s="54" t="n">
        <x:v>5.822911</x:v>
      </x:c>
    </x:row>
    <x:row r="97">
      <x:c r="A97" s="54" t="n">
        <x:v>2.377299</x:v>
      </x:c>
      <x:c r="B97" s="54" t="n">
        <x:v>39.75397</x:v>
      </x:c>
      <x:c r="C97" s="54" t="n">
        <x:v>-2.394945</x:v>
      </x:c>
      <x:c r="D97" s="54" t="n">
        <x:v>41.351194</x:v>
      </x:c>
      <x:c r="E97" s="54" t="n">
        <x:v>2.377299</x:v>
      </x:c>
      <x:c r="F97" s="54" t="n">
        <x:v>6.779077</x:v>
      </x:c>
      <x:c r="G97" s="54" t="n">
        <x:v>-2.394945</x:v>
      </x:c>
      <x:c r="H97" s="54" t="n">
        <x:v>6.779077</x:v>
      </x:c>
    </x:row>
    <x:row r="98">
      <x:c r="A98" s="54" t="n">
        <x:v>3.67461</x:v>
      </x:c>
      <x:c r="B98" s="54" t="n">
        <x:v>47.068516</x:v>
      </x:c>
      <x:c r="C98" s="54" t="n">
        <x:v>3.055057</x:v>
      </x:c>
      <x:c r="D98" s="54" t="n">
        <x:v>46.557971</x:v>
      </x:c>
      <x:c r="E98" s="54" t="n">
        <x:v>3.67461</x:v>
      </x:c>
      <x:c r="F98" s="54" t="n">
        <x:v>7.13425</x:v>
      </x:c>
      <x:c r="G98" s="54" t="n">
        <x:v>3.055057</x:v>
      </x:c>
      <x:c r="H98" s="54" t="n">
        <x:v>7.13425</x:v>
      </x:c>
    </x:row>
    <x:row r="99">
      <x:c r="A99" s="54" t="n">
        <x:v>-2.409285</x:v>
      </x:c>
      <x:c r="B99" s="54" t="n">
        <x:v>32.430159</x:v>
      </x:c>
      <x:c r="C99" s="54" t="n">
        <x:v>-8.602484</x:v>
      </x:c>
      <x:c r="D99" s="54" t="n">
        <x:v>35.663082</x:v>
      </x:c>
      <x:c r="E99" s="54" t="n">
        <x:v>-2.409285</x:v>
      </x:c>
      <x:c r="F99" s="54" t="n">
        <x:v>6.615577</x:v>
      </x:c>
      <x:c r="G99" s="54" t="n">
        <x:v>-8.602484</x:v>
      </x:c>
      <x:c r="H99" s="54" t="n">
        <x:v>6.615577</x:v>
      </x:c>
    </x:row>
    <x:row r="100">
      <x:c r="A100" s="54" t="n">
        <x:v>3.335926</x:v>
      </x:c>
      <x:c r="B100" s="54" t="n">
        <x:v>42.869267</x:v>
      </x:c>
      <x:c r="C100" s="54" t="n">
        <x:v>-0.439625</x:v>
      </x:c>
      <x:c r="D100" s="54" t="n">
        <x:v>43.059019</x:v>
      </x:c>
      <x:c r="E100" s="54" t="n">
        <x:v>3.335926</x:v>
      </x:c>
      <x:c r="F100" s="54" t="n">
        <x:v>8.18912</x:v>
      </x:c>
      <x:c r="G100" s="54" t="n">
        <x:v>-0.439625</x:v>
      </x:c>
      <x:c r="H100" s="54" t="n">
        <x:v>8.18912</x:v>
      </x:c>
    </x:row>
    <x:row r="101">
      <x:c r="A101" s="54" t="n">
        <x:v>1.522329</x:v>
      </x:c>
      <x:c r="B101" s="54" t="n">
        <x:v>36.944322</x:v>
      </x:c>
      <x:c r="C101" s="54" t="n">
        <x:v>1.184613</x:v>
      </x:c>
      <x:c r="D101" s="54" t="n">
        <x:v>48.148148</x:v>
      </x:c>
      <x:c r="E101" s="54" t="n">
        <x:v>1.522329</x:v>
      </x:c>
      <x:c r="F101" s="54" t="n">
        <x:v>5.676178</x:v>
      </x:c>
      <x:c r="G101" s="54" t="n">
        <x:v>1.184613</x:v>
      </x:c>
      <x:c r="H101" s="54" t="n">
        <x:v>5.676178</x:v>
      </x:c>
    </x:row>
    <x:row r="102">
      <x:c r="A102" s="54" t="n">
        <x:v>1.052309</x:v>
      </x:c>
      <x:c r="B102" s="54" t="n">
        <x:v>35.843562</x:v>
      </x:c>
      <x:c r="C102" s="54" t="n">
        <x:v>3.165207</x:v>
      </x:c>
      <x:c r="D102" s="54" t="n">
        <x:v>47.835498</x:v>
      </x:c>
      <x:c r="E102" s="54" t="n">
        <x:v>1.052309</x:v>
      </x:c>
      <x:c r="F102" s="54" t="n">
        <x:v>6.350147</x:v>
      </x:c>
      <x:c r="G102" s="54" t="n">
        <x:v>3.165207</x:v>
      </x:c>
      <x:c r="H102" s="54" t="n">
        <x:v>6.350147</x:v>
      </x:c>
    </x:row>
    <x:row r="103">
      <x:c r="A103" s="54" t="n">
        <x:v>-1.833796</x:v>
      </x:c>
      <x:c r="B103" s="54" t="n">
        <x:v>31.572796</x:v>
      </x:c>
      <x:c r="C103" s="54" t="n">
        <x:v>10.263729</x:v>
      </x:c>
      <x:c r="D103" s="54" t="n">
        <x:v>52.915633</x:v>
      </x:c>
      <x:c r="E103" s="54" t="n">
        <x:v>-1.833796</x:v>
      </x:c>
      <x:c r="F103" s="54" t="n">
        <x:v>4.353627</x:v>
      </x:c>
      <x:c r="G103" s="54" t="n">
        <x:v>10.263729</x:v>
      </x:c>
      <x:c r="H103" s="54" t="n">
        <x:v>4.353627</x:v>
      </x:c>
    </x:row>
    <x:row r="104">
      <x:c r="A104" s="54" t="n">
        <x:v>0.912819</x:v>
      </x:c>
      <x:c r="B104" s="54" t="n">
        <x:v>42.662693</x:v>
      </x:c>
      <x:c r="C104" s="54" t="n">
        <x:v>-3.037283</x:v>
      </x:c>
      <x:c r="D104" s="54" t="n">
        <x:v>37.57764</x:v>
      </x:c>
      <x:c r="E104" s="54" t="n">
        <x:v>0.912819</x:v>
      </x:c>
      <x:c r="F104" s="54" t="n">
        <x:v>7.028081</x:v>
      </x:c>
      <x:c r="G104" s="54" t="n">
        <x:v>-3.037283</x:v>
      </x:c>
      <x:c r="H104" s="54" t="n">
        <x:v>7.028081</x:v>
      </x:c>
    </x:row>
    <x:row r="105">
      <x:c r="A105" s="54" t="n">
        <x:v>-1.474386</x:v>
      </x:c>
      <x:c r="B105" s="54" t="n">
        <x:v>31.81346</x:v>
      </x:c>
      <x:c r="C105" s="54" t="n">
        <x:v>-5.73506</x:v>
      </x:c>
      <x:c r="D105" s="54" t="n">
        <x:v>39.402174</x:v>
      </x:c>
      <x:c r="E105" s="54" t="n">
        <x:v>-1.474386</x:v>
      </x:c>
      <x:c r="F105" s="54" t="n">
        <x:v>5.83365</x:v>
      </x:c>
      <x:c r="G105" s="54" t="n">
        <x:v>-5.73506</x:v>
      </x:c>
      <x:c r="H105" s="54" t="n">
        <x:v>5.83365</x:v>
      </x:c>
    </x:row>
    <x:row r="106">
      <x:c r="A106" s="54" t="n">
        <x:v>-1.867856</x:v>
      </x:c>
      <x:c r="B106" s="54" t="n">
        <x:v>33.603889</x:v>
      </x:c>
      <x:c r="C106" s="54" t="n">
        <x:v>11.475193</x:v>
      </x:c>
      <x:c r="D106" s="54" t="n">
        <x:v>55.111453</x:v>
      </x:c>
      <x:c r="E106" s="54" t="n">
        <x:v>-1.867856</x:v>
      </x:c>
      <x:c r="F106" s="54" t="n">
        <x:v>4.863814</x:v>
      </x:c>
      <x:c r="G106" s="54" t="n">
        <x:v>11.475193</x:v>
      </x:c>
      <x:c r="H106" s="54" t="n">
        <x:v>4.863814</x:v>
      </x:c>
    </x:row>
    <x:row r="107">
      <x:c r="A107" s="54" t="n">
        <x:v>0.460243</x:v>
      </x:c>
      <x:c r="B107" s="54" t="n">
        <x:v>38.695022</x:v>
      </x:c>
      <x:c r="C107" s="54" t="n">
        <x:v>-3.717698</x:v>
      </x:c>
      <x:c r="D107" s="54" t="n">
        <x:v>44.464128</x:v>
      </x:c>
      <x:c r="E107" s="54" t="n">
        <x:v>0.460243</x:v>
      </x:c>
      <x:c r="F107" s="54" t="n">
        <x:v>6.927353</x:v>
      </x:c>
      <x:c r="G107" s="54" t="n">
        <x:v>-3.717698</x:v>
      </x:c>
      <x:c r="H107" s="54" t="n">
        <x:v>6.927353</x:v>
      </x:c>
    </x:row>
    <x:row r="108">
      <x:c r="A108" s="54" t="n">
        <x:v>0.931555</x:v>
      </x:c>
      <x:c r="B108" s="54" t="n">
        <x:v>34.880109</x:v>
      </x:c>
      <x:c r="C108" s="54" t="n">
        <x:v>-0.134081</x:v>
      </x:c>
      <x:c r="D108" s="54" t="n">
        <x:v>45.351044</x:v>
      </x:c>
      <x:c r="E108" s="54" t="n">
        <x:v>0.931555</x:v>
      </x:c>
      <x:c r="F108" s="54" t="n">
        <x:v>6.062001</x:v>
      </x:c>
      <x:c r="G108" s="54" t="n">
        <x:v>-0.134081</x:v>
      </x:c>
      <x:c r="H108" s="54" t="n">
        <x:v>6.062001</x:v>
      </x:c>
    </x:row>
    <x:row r="109">
      <x:c r="A109" s="54" t="n">
        <x:v>-0.869831</x:v>
      </x:c>
      <x:c r="B109" s="54" t="n">
        <x:v>32.676983</x:v>
      </x:c>
      <x:c r="C109" s="54" t="n">
        <x:v>-3.235687</x:v>
      </x:c>
      <x:c r="D109" s="54" t="n">
        <x:v>42.50503</x:v>
      </x:c>
      <x:c r="E109" s="54" t="n">
        <x:v>-0.869831</x:v>
      </x:c>
      <x:c r="F109" s="54" t="n">
        <x:v>6.395185</x:v>
      </x:c>
      <x:c r="G109" s="54" t="n">
        <x:v>-3.235687</x:v>
      </x:c>
      <x:c r="H109" s="54" t="n">
        <x:v>6.395185</x:v>
      </x:c>
    </x:row>
    <x:row r="110">
      <x:c r="A110" s="54" t="n">
        <x:v>-2.728257</x:v>
      </x:c>
      <x:c r="B110" s="54" t="n">
        <x:v>33.890398</x:v>
      </x:c>
      <x:c r="C110" s="54" t="n">
        <x:v>-3.814309</x:v>
      </x:c>
      <x:c r="D110" s="54" t="n">
        <x:v>41.06383</x:v>
      </x:c>
      <x:c r="E110" s="54" t="n">
        <x:v>-2.728257</x:v>
      </x:c>
      <x:c r="F110" s="54" t="n">
        <x:v>6.842444</x:v>
      </x:c>
      <x:c r="G110" s="54" t="n">
        <x:v>-3.814309</x:v>
      </x:c>
      <x:c r="H110" s="54" t="n">
        <x:v>6.842444</x:v>
      </x:c>
    </x:row>
    <x:row r="111">
      <x:c r="A111" s="54" t="n">
        <x:v>-2.226148</x:v>
      </x:c>
      <x:c r="B111" s="54" t="n">
        <x:v>32.198935</x:v>
      </x:c>
      <x:c r="C111" s="54" t="n">
        <x:v>0.864731</x:v>
      </x:c>
      <x:c r="D111" s="54" t="n">
        <x:v>48.341232</x:v>
      </x:c>
      <x:c r="E111" s="54" t="n">
        <x:v>-2.226148</x:v>
      </x:c>
      <x:c r="F111" s="54" t="n">
        <x:v>5.682962</x:v>
      </x:c>
      <x:c r="G111" s="54" t="n">
        <x:v>0.864731</x:v>
      </x:c>
      <x:c r="H111" s="54" t="n">
        <x:v>5.682962</x:v>
      </x:c>
    </x:row>
    <x:row r="112">
      <x:c r="A112" s="54" t="n">
        <x:v>1.365529</x:v>
      </x:c>
      <x:c r="B112" s="54" t="n">
        <x:v>39.220291</x:v>
      </x:c>
      <x:c r="C112" s="54" t="n">
        <x:v>4.214344</x:v>
      </x:c>
      <x:c r="D112" s="54" t="n">
        <x:v>46.688207</x:v>
      </x:c>
      <x:c r="E112" s="54" t="n">
        <x:v>1.365529</x:v>
      </x:c>
      <x:c r="F112" s="54" t="n">
        <x:v>5.703959</x:v>
      </x:c>
      <x:c r="G112" s="54" t="n">
        <x:v>4.214344</x:v>
      </x:c>
      <x:c r="H112" s="54" t="n">
        <x:v>5.703959</x:v>
      </x:c>
    </x:row>
    <x:row r="113">
      <x:c r="A113" s="54" t="n">
        <x:v>0.503615</x:v>
      </x:c>
      <x:c r="B113" s="54" t="n">
        <x:v>33.407037</x:v>
      </x:c>
      <x:c r="C113" s="54" t="n">
        <x:v>1.231811</x:v>
      </x:c>
      <x:c r="D113" s="54" t="n">
        <x:v>46.210721</x:v>
      </x:c>
      <x:c r="E113" s="54" t="n">
        <x:v>0.503615</x:v>
      </x:c>
      <x:c r="F113" s="54" t="n">
        <x:v>5.956381</x:v>
      </x:c>
      <x:c r="G113" s="54" t="n">
        <x:v>1.231811</x:v>
      </x:c>
      <x:c r="H113" s="54" t="n">
        <x:v>5.956381</x:v>
      </x:c>
    </x:row>
    <x:row r="114">
      <x:c r="A114" s="54" t="n">
        <x:v>-1.572952</x:v>
      </x:c>
      <x:c r="B114" s="54" t="n">
        <x:v>31.415245</x:v>
      </x:c>
      <x:c r="C114" s="54" t="n">
        <x:v>-6.406538</x:v>
      </x:c>
      <x:c r="D114" s="54" t="n">
        <x:v>35.799207</x:v>
      </x:c>
      <x:c r="E114" s="54" t="n">
        <x:v>-1.572952</x:v>
      </x:c>
      <x:c r="F114" s="54" t="n">
        <x:v>6.711702</x:v>
      </x:c>
      <x:c r="G114" s="54" t="n">
        <x:v>-6.406538</x:v>
      </x:c>
      <x:c r="H114" s="54" t="n">
        <x:v>6.711702</x:v>
      </x:c>
    </x:row>
    <x:row r="115">
      <x:c r="A115" s="54" t="n">
        <x:v>-2.139365</x:v>
      </x:c>
      <x:c r="B115" s="54" t="n">
        <x:v>31.340649</x:v>
      </x:c>
      <x:c r="C115" s="54" t="n">
        <x:v>5.983788</x:v>
      </x:c>
      <x:c r="D115" s="54" t="n">
        <x:v>52.233677</x:v>
      </x:c>
      <x:c r="E115" s="54" t="n">
        <x:v>-2.139365</x:v>
      </x:c>
      <x:c r="F115" s="54" t="n">
        <x:v>5.361192</x:v>
      </x:c>
      <x:c r="G115" s="54" t="n">
        <x:v>5.983788</x:v>
      </x:c>
      <x:c r="H115" s="54" t="n">
        <x:v>5.361192</x:v>
      </x:c>
    </x:row>
    <x:row r="116">
      <x:c r="A116" s="54" t="n">
        <x:v>3.62422</x:v>
      </x:c>
      <x:c r="B116" s="54" t="n">
        <x:v>44.161206</x:v>
      </x:c>
      <x:c r="C116" s="54" t="n">
        <x:v>3.649533</x:v>
      </x:c>
      <x:c r="D116" s="54" t="n">
        <x:v>45.251397</x:v>
      </x:c>
      <x:c r="E116" s="54" t="n">
        <x:v>3.62422</x:v>
      </x:c>
      <x:c r="F116" s="54" t="n">
        <x:v>6.636969</x:v>
      </x:c>
      <x:c r="G116" s="54" t="n">
        <x:v>3.649533</x:v>
      </x:c>
      <x:c r="H116" s="54" t="n">
        <x:v>6.636969</x:v>
      </x:c>
    </x:row>
    <x:row r="117">
      <x:c r="A117" s="54" t="n">
        <x:v>2.63947</x:v>
      </x:c>
      <x:c r="B117" s="54" t="n">
        <x:v>42.641642</x:v>
      </x:c>
      <x:c r="C117" s="54" t="n">
        <x:v>2.4669</x:v>
      </x:c>
      <x:c r="D117" s="54" t="n">
        <x:v>49.748744</x:v>
      </x:c>
      <x:c r="E117" s="54" t="n">
        <x:v>2.63947</x:v>
      </x:c>
      <x:c r="F117" s="54" t="n">
        <x:v>6.916731</x:v>
      </x:c>
      <x:c r="G117" s="54" t="n">
        <x:v>2.4669</x:v>
      </x:c>
      <x:c r="H117" s="54" t="n">
        <x:v>6.916731</x:v>
      </x:c>
    </x:row>
    <x:row r="118">
      <x:c r="A118" s="54" t="n">
        <x:v>-2.511404</x:v>
      </x:c>
      <x:c r="B118" s="54" t="n">
        <x:v>33.370495</x:v>
      </x:c>
      <x:c r="C118" s="54" t="n">
        <x:v>-2.202465</x:v>
      </x:c>
      <x:c r="D118" s="54" t="n">
        <x:v>41.846154</x:v>
      </x:c>
      <x:c r="E118" s="54" t="n">
        <x:v>-2.511404</x:v>
      </x:c>
      <x:c r="F118" s="54" t="n">
        <x:v>6.468782</x:v>
      </x:c>
      <x:c r="G118" s="54" t="n">
        <x:v>-2.202465</x:v>
      </x:c>
      <x:c r="H118" s="54" t="n">
        <x:v>6.468782</x:v>
      </x:c>
    </x:row>
    <x:row r="119">
      <x:c r="A119" s="54" t="n">
        <x:v>-2.530945</x:v>
      </x:c>
      <x:c r="B119" s="54" t="n">
        <x:v>30.514706</x:v>
      </x:c>
      <x:c r="C119" s="54" t="n">
        <x:v>6.744128</x:v>
      </x:c>
      <x:c r="D119" s="54" t="n">
        <x:v>50.308642</x:v>
      </x:c>
      <x:c r="E119" s="54" t="n">
        <x:v>-2.530945</x:v>
      </x:c>
      <x:c r="F119" s="54" t="n">
        <x:v>4.955552</x:v>
      </x:c>
      <x:c r="G119" s="54" t="n">
        <x:v>6.744128</x:v>
      </x:c>
      <x:c r="H119" s="54" t="n">
        <x:v>4.955552</x:v>
      </x:c>
    </x:row>
    <x:row r="120">
      <x:c r="A120" s="54" t="n">
        <x:v>4.71596</x:v>
      </x:c>
      <x:c r="B120" s="54" t="n">
        <x:v>44.150821</x:v>
      </x:c>
      <x:c r="C120" s="54" t="n">
        <x:v>0.686807</x:v>
      </x:c>
      <x:c r="D120" s="54" t="n">
        <x:v>46.794872</x:v>
      </x:c>
      <x:c r="E120" s="54" t="n">
        <x:v>4.71596</x:v>
      </x:c>
      <x:c r="F120" s="54" t="n">
        <x:v>6.920849</x:v>
      </x:c>
      <x:c r="G120" s="54" t="n">
        <x:v>0.686807</x:v>
      </x:c>
      <x:c r="H120" s="54" t="n">
        <x:v>6.920849</x:v>
      </x:c>
    </x:row>
    <x:row r="121">
      <x:c r="A121" s="54" t="n">
        <x:v>1.634516</x:v>
      </x:c>
      <x:c r="B121" s="54" t="n">
        <x:v>39.391706</x:v>
      </x:c>
      <x:c r="C121" s="54" t="n">
        <x:v>-4.402289</x:v>
      </x:c>
      <x:c r="D121" s="54" t="n">
        <x:v>38.934426</x:v>
      </x:c>
      <x:c r="E121" s="54" t="n">
        <x:v>1.634516</x:v>
      </x:c>
      <x:c r="F121" s="54" t="n">
        <x:v>6.891032</x:v>
      </x:c>
      <x:c r="G121" s="54" t="n">
        <x:v>-4.402289</x:v>
      </x:c>
      <x:c r="H121" s="54" t="n">
        <x:v>6.891032</x:v>
      </x:c>
    </x:row>
    <x:row r="122">
      <x:c r="A122" s="54" t="n">
        <x:v>-0.451745</x:v>
      </x:c>
      <x:c r="B122" s="54" t="n">
        <x:v>29.668714</x:v>
      </x:c>
      <x:c r="C122" s="54" t="n">
        <x:v>-7.584355</x:v>
      </x:c>
      <x:c r="D122" s="54" t="n">
        <x:v>35.181237</x:v>
      </x:c>
      <x:c r="E122" s="54" t="n">
        <x:v>-0.451745</x:v>
      </x:c>
      <x:c r="F122" s="54" t="n">
        <x:v>6.174216</x:v>
      </x:c>
      <x:c r="G122" s="54" t="n">
        <x:v>-7.584355</x:v>
      </x:c>
      <x:c r="H122" s="54" t="n">
        <x:v>6.174216</x:v>
      </x:c>
    </x:row>
    <x:row r="123">
      <x:c r="A123" s="54" t="n">
        <x:v>-7.493774</x:v>
      </x:c>
      <x:c r="B123" s="54" t="n">
        <x:v>22.1336</x:v>
      </x:c>
      <x:c r="C123" s="54" t="n">
        <x:v>-0.007549</x:v>
      </x:c>
      <x:c r="D123" s="54" t="n">
        <x:v>46.269678</x:v>
      </x:c>
      <x:c r="E123" s="54" t="n">
        <x:v>-7.493774</x:v>
      </x:c>
      <x:c r="F123" s="54" t="n">
        <x:v>5.495075</x:v>
      </x:c>
      <x:c r="G123" s="54" t="n">
        <x:v>-0.007549</x:v>
      </x:c>
      <x:c r="H123" s="54" t="n">
        <x:v>5.495075</x:v>
      </x:c>
    </x:row>
    <x:row r="124">
      <x:c r="A124" s="54" t="n">
        <x:v>-6.631497</x:v>
      </x:c>
      <x:c r="B124" s="54" t="n">
        <x:v>27.589169</x:v>
      </x:c>
      <x:c r="C124" s="54" t="n">
        <x:v>15.769236</x:v>
      </x:c>
      <x:c r="D124" s="54" t="n">
        <x:v>57.758621</x:v>
      </x:c>
      <x:c r="E124" s="54" t="n">
        <x:v>-6.631497</x:v>
      </x:c>
      <x:c r="F124" s="54" t="n">
        <x:v>3.993927</x:v>
      </x:c>
      <x:c r="G124" s="54" t="n">
        <x:v>15.769236</x:v>
      </x:c>
      <x:c r="H124" s="54" t="n">
        <x:v>3.993927</x:v>
      </x:c>
    </x:row>
    <x:row r="125">
      <x:c r="A125" s="54" t="n">
        <x:v>0.914549</x:v>
      </x:c>
      <x:c r="B125" s="54" t="n">
        <x:v>38.529224</x:v>
      </x:c>
      <x:c r="C125" s="54" t="n">
        <x:v>0.825429</x:v>
      </x:c>
      <x:c r="D125" s="54" t="n">
        <x:v>45.828144</x:v>
      </x:c>
      <x:c r="E125" s="54" t="n">
        <x:v>0.914549</x:v>
      </x:c>
      <x:c r="F125" s="54" t="n">
        <x:v>6.181593</x:v>
      </x:c>
      <x:c r="G125" s="54" t="n">
        <x:v>0.825429</x:v>
      </x:c>
      <x:c r="H125" s="54" t="n">
        <x:v>6.181593</x:v>
      </x:c>
    </x:row>
    <x:row r="126">
      <x:c r="A126" s="54" t="n">
        <x:v>0.90272</x:v>
      </x:c>
      <x:c r="B126" s="54" t="n">
        <x:v>36.920247</x:v>
      </x:c>
      <x:c r="C126" s="54" t="n">
        <x:v>6.33161</x:v>
      </x:c>
      <x:c r="D126" s="54" t="n">
        <x:v>49.418154</x:v>
      </x:c>
      <x:c r="E126" s="54" t="n">
        <x:v>0.90272</x:v>
      </x:c>
      <x:c r="F126" s="54" t="n">
        <x:v>5.442752</x:v>
      </x:c>
      <x:c r="G126" s="54" t="n">
        <x:v>6.33161</x:v>
      </x:c>
      <x:c r="H126" s="54" t="n">
        <x:v>5.442752</x:v>
      </x:c>
    </x:row>
    <x:row r="127">
      <x:c r="A127" s="54" t="n">
        <x:v>3.730276</x:v>
      </x:c>
      <x:c r="B127" s="54" t="n">
        <x:v>37.875321</x:v>
      </x:c>
      <x:c r="C127" s="54" t="n">
        <x:v>0.25011</x:v>
      </x:c>
      <x:c r="D127" s="54" t="n">
        <x:v>44.025157</x:v>
      </x:c>
      <x:c r="E127" s="54" t="n">
        <x:v>3.730276</x:v>
      </x:c>
      <x:c r="F127" s="54" t="n">
        <x:v>6.262603</x:v>
      </x:c>
      <x:c r="G127" s="54" t="n">
        <x:v>0.25011</x:v>
      </x:c>
      <x:c r="H127" s="54" t="n">
        <x:v>6.262603</x:v>
      </x:c>
    </x:row>
    <x:row r="128">
      <x:c r="A128" s="54" t="n">
        <x:v>-2.912828</x:v>
      </x:c>
      <x:c r="B128" s="54" t="n">
        <x:v>27.890321</x:v>
      </x:c>
      <x:c r="C128" s="54" t="n">
        <x:v>0.301735</x:v>
      </x:c>
      <x:c r="D128" s="54" t="n">
        <x:v>44.430769</x:v>
      </x:c>
      <x:c r="E128" s="54" t="n">
        <x:v>-2.912828</x:v>
      </x:c>
      <x:c r="F128" s="54" t="n">
        <x:v>6.044795</x:v>
      </x:c>
      <x:c r="G128" s="54" t="n">
        <x:v>0.301735</x:v>
      </x:c>
      <x:c r="H128" s="54" t="n">
        <x:v>6.044795</x:v>
      </x:c>
    </x:row>
    <x:row r="129">
      <x:c r="A129" s="54" t="n">
        <x:v>0.949073</x:v>
      </x:c>
      <x:c r="B129" s="54" t="n">
        <x:v>34.698026</x:v>
      </x:c>
      <x:c r="C129" s="54" t="n">
        <x:v>-10.573461</x:v>
      </x:c>
      <x:c r="D129" s="54" t="n">
        <x:v>34.630981</x:v>
      </x:c>
      <x:c r="E129" s="54" t="n">
        <x:v>0.949073</x:v>
      </x:c>
      <x:c r="F129" s="54" t="n">
        <x:v>7.884489</x:v>
      </x:c>
      <x:c r="G129" s="54" t="n">
        <x:v>-10.573461</x:v>
      </x:c>
      <x:c r="H129" s="54" t="n">
        <x:v>7.884489</x:v>
      </x:c>
    </x:row>
    <x:row r="130">
      <x:c r="A130" s="54" t="n">
        <x:v>-3.348993</x:v>
      </x:c>
      <x:c r="B130" s="54" t="n">
        <x:v>28.976939</x:v>
      </x:c>
      <x:c r="C130" s="54" t="n">
        <x:v>9.429506</x:v>
      </x:c>
      <x:c r="D130" s="54" t="n">
        <x:v>55.83524</x:v>
      </x:c>
      <x:c r="E130" s="54" t="n">
        <x:v>-3.348993</x:v>
      </x:c>
      <x:c r="F130" s="54" t="n">
        <x:v>4.744012</x:v>
      </x:c>
      <x:c r="G130" s="54" t="n">
        <x:v>9.429506</x:v>
      </x:c>
      <x:c r="H130" s="54" t="n">
        <x:v>4.744012</x:v>
      </x:c>
    </x:row>
    <x:row r="131">
      <x:c r="A131" s="54" t="n">
        <x:v>-3.612892</x:v>
      </x:c>
      <x:c r="B131" s="54" t="n">
        <x:v>26.308025</x:v>
      </x:c>
      <x:c r="C131" s="54" t="n">
        <x:v>5.499594</x:v>
      </x:c>
      <x:c r="D131" s="54" t="n">
        <x:v>46.359223</x:v>
      </x:c>
      <x:c r="E131" s="54" t="n">
        <x:v>-3.612892</x:v>
      </x:c>
      <x:c r="F131" s="54" t="n">
        <x:v>4.630097</x:v>
      </x:c>
      <x:c r="G131" s="54" t="n">
        <x:v>5.499594</x:v>
      </x:c>
      <x:c r="H131" s="54" t="n">
        <x:v>4.630097</x:v>
      </x:c>
    </x:row>
    <x:row r="132">
      <x:c r="A132" s="54" t="n">
        <x:v>3.38989</x:v>
      </x:c>
      <x:c r="B132" s="54" t="n">
        <x:v>45.10673</x:v>
      </x:c>
      <x:c r="C132" s="54" t="n">
        <x:v>-0.945259</x:v>
      </x:c>
      <x:c r="D132" s="54" t="n">
        <x:v>42.768362</x:v>
      </x:c>
      <x:c r="E132" s="54" t="n">
        <x:v>3.38989</x:v>
      </x:c>
      <x:c r="F132" s="54" t="n">
        <x:v>7.428148</x:v>
      </x:c>
      <x:c r="G132" s="54" t="n">
        <x:v>-0.945259</x:v>
      </x:c>
      <x:c r="H132" s="54" t="n">
        <x:v>7.428148</x:v>
      </x:c>
    </x:row>
    <x:row r="133">
      <x:c r="A133" s="54" t="n">
        <x:v>-0.905037</x:v>
      </x:c>
      <x:c r="B133" s="54" t="n">
        <x:v>32.447222</x:v>
      </x:c>
      <x:c r="C133" s="54" t="n">
        <x:v>-6.111262</x:v>
      </x:c>
      <x:c r="D133" s="54" t="n">
        <x:v>37.572254</x:v>
      </x:c>
      <x:c r="E133" s="54" t="n">
        <x:v>-0.905037</x:v>
      </x:c>
      <x:c r="F133" s="54" t="n">
        <x:v>7.471644</x:v>
      </x:c>
      <x:c r="G133" s="54" t="n">
        <x:v>-6.111262</x:v>
      </x:c>
      <x:c r="H133" s="54" t="n">
        <x:v>7.471644</x:v>
      </x:c>
    </x:row>
    <x:row r="134">
      <x:c r="A134" s="54" t="n">
        <x:v>5.959846</x:v>
      </x:c>
      <x:c r="B134" s="54" t="n">
        <x:v>46.661254</x:v>
      </x:c>
      <x:c r="C134" s="54" t="n">
        <x:v>12.151973</x:v>
      </x:c>
      <x:c r="D134" s="54" t="n">
        <x:v>54.796512</x:v>
      </x:c>
      <x:c r="E134" s="54" t="n">
        <x:v>5.959846</x:v>
      </x:c>
      <x:c r="F134" s="54" t="n">
        <x:v>5.845645</x:v>
      </x:c>
      <x:c r="G134" s="54" t="n">
        <x:v>12.151973</x:v>
      </x:c>
      <x:c r="H134" s="54" t="n">
        <x:v>5.845645</x:v>
      </x:c>
    </x:row>
    <x:row r="135">
      <x:c r="A135" s="54" t="n">
        <x:v>0.437783</x:v>
      </x:c>
      <x:c r="B135" s="54" t="n">
        <x:v>31.425278</x:v>
      </x:c>
      <x:c r="C135" s="54" t="n">
        <x:v>-7.738317</x:v>
      </x:c>
      <x:c r="D135" s="54" t="n">
        <x:v>37.662338</x:v>
      </x:c>
      <x:c r="E135" s="54" t="n">
        <x:v>0.437783</x:v>
      </x:c>
      <x:c r="F135" s="54" t="n">
        <x:v>6.209473</x:v>
      </x:c>
      <x:c r="G135" s="54" t="n">
        <x:v>-7.738317</x:v>
      </x:c>
      <x:c r="H135" s="54" t="n">
        <x:v>6.209473</x:v>
      </x:c>
    </x:row>
    <x:row r="136">
      <x:c r="A136" s="54" t="n">
        <x:v>5.607505</x:v>
      </x:c>
      <x:c r="B136" s="54" t="n">
        <x:v>47.077514</x:v>
      </x:c>
      <x:c r="C136" s="54" t="n">
        <x:v>0.325134</x:v>
      </x:c>
      <x:c r="D136" s="54" t="n">
        <x:v>47.163121</x:v>
      </x:c>
      <x:c r="E136" s="54" t="n">
        <x:v>5.607505</x:v>
      </x:c>
      <x:c r="F136" s="54" t="n">
        <x:v>7.959456</x:v>
      </x:c>
      <x:c r="G136" s="54" t="n">
        <x:v>0.325134</x:v>
      </x:c>
      <x:c r="H136" s="54" t="n">
        <x:v>7.959456</x:v>
      </x:c>
    </x:row>
    <x:row r="137">
      <x:c r="A137" s="54" t="n">
        <x:v>1.601172</x:v>
      </x:c>
      <x:c r="B137" s="54" t="n">
        <x:v>41.020117</x:v>
      </x:c>
      <x:c r="C137" s="54" t="n">
        <x:v>2.225659</x:v>
      </x:c>
      <x:c r="D137" s="54" t="n">
        <x:v>45.480226</x:v>
      </x:c>
      <x:c r="E137" s="54" t="n">
        <x:v>1.601172</x:v>
      </x:c>
      <x:c r="F137" s="54" t="n">
        <x:v>7.040127</x:v>
      </x:c>
      <x:c r="G137" s="54" t="n">
        <x:v>2.225659</x:v>
      </x:c>
      <x:c r="H137" s="54" t="n">
        <x:v>7.040127</x:v>
      </x:c>
    </x:row>
    <x:row r="138">
      <x:c r="A138" s="54" t="n">
        <x:v>0.113112</x:v>
      </x:c>
      <x:c r="B138" s="54" t="n">
        <x:v>35.002446</x:v>
      </x:c>
      <x:c r="C138" s="54" t="n">
        <x:v>-1.582284</x:v>
      </x:c>
      <x:c r="D138" s="54" t="n">
        <x:v>41.782869</x:v>
      </x:c>
      <x:c r="E138" s="54" t="n">
        <x:v>0.113112</x:v>
      </x:c>
      <x:c r="F138" s="54" t="n">
        <x:v>6.639294</x:v>
      </x:c>
      <x:c r="G138" s="54" t="n">
        <x:v>-1.582284</x:v>
      </x:c>
      <x:c r="H138" s="54" t="n">
        <x:v>6.639294</x:v>
      </x:c>
    </x:row>
    <x:row r="139">
      <x:c r="A139" s="54" t="n">
        <x:v>1.267367</x:v>
      </x:c>
      <x:c r="B139" s="54" t="n">
        <x:v>36.71185</x:v>
      </x:c>
      <x:c r="C139" s="54" t="n">
        <x:v>-1.097565</x:v>
      </x:c>
      <x:c r="D139" s="54" t="n">
        <x:v>43.560058</x:v>
      </x:c>
      <x:c r="E139" s="54" t="n">
        <x:v>1.267367</x:v>
      </x:c>
      <x:c r="F139" s="54" t="n">
        <x:v>6.754086</x:v>
      </x:c>
      <x:c r="G139" s="54" t="n">
        <x:v>-1.097565</x:v>
      </x:c>
      <x:c r="H139" s="54" t="n">
        <x:v>6.754086</x:v>
      </x:c>
    </x:row>
    <x:row r="140">
      <x:c r="A140" s="54" t="n">
        <x:v>0.66108</x:v>
      </x:c>
      <x:c r="B140" s="54" t="n">
        <x:v>36.372995</x:v>
      </x:c>
      <x:c r="C140" s="54" t="n">
        <x:v>-0.084911</x:v>
      </x:c>
      <x:c r="D140" s="54" t="n">
        <x:v>42.857143</x:v>
      </x:c>
      <x:c r="E140" s="54" t="n">
        <x:v>0.66108</x:v>
      </x:c>
      <x:c r="F140" s="54" t="n">
        <x:v>5.93482</x:v>
      </x:c>
      <x:c r="G140" s="54" t="n">
        <x:v>-0.084911</x:v>
      </x:c>
      <x:c r="H140" s="54" t="n">
        <x:v>5.93482</x:v>
      </x:c>
    </x:row>
    <x:row r="141">
      <x:c r="A141" s="54" t="n">
        <x:v>2.272851</x:v>
      </x:c>
      <x:c r="B141" s="54" t="n">
        <x:v>42.081682</x:v>
      </x:c>
      <x:c r="C141" s="54" t="n">
        <x:v>0.213639</x:v>
      </x:c>
      <x:c r="D141" s="54" t="n">
        <x:v>43.65549</x:v>
      </x:c>
      <x:c r="E141" s="54" t="n">
        <x:v>2.272851</x:v>
      </x:c>
      <x:c r="F141" s="54" t="n">
        <x:v>6.493371</x:v>
      </x:c>
      <x:c r="G141" s="54" t="n">
        <x:v>0.213639</x:v>
      </x:c>
      <x:c r="H141" s="54" t="n">
        <x:v>6.493371</x:v>
      </x:c>
    </x:row>
    <x:row r="142">
      <x:c r="A142" s="54" t="n">
        <x:v>1.106477</x:v>
      </x:c>
      <x:c r="B142" s="54" t="n">
        <x:v>37.182648</x:v>
      </x:c>
      <x:c r="C142" s="54" t="n">
        <x:v>3.636255</x:v>
      </x:c>
      <x:c r="D142" s="54" t="n">
        <x:v>50.505051</x:v>
      </x:c>
      <x:c r="E142" s="54" t="n">
        <x:v>1.106477</x:v>
      </x:c>
      <x:c r="F142" s="54" t="n">
        <x:v>5.798349</x:v>
      </x:c>
      <x:c r="G142" s="54" t="n">
        <x:v>3.636255</x:v>
      </x:c>
      <x:c r="H142" s="54" t="n">
        <x:v>5.798349</x:v>
      </x:c>
    </x:row>
    <x:row r="143">
      <x:c r="A143" s="54" t="n">
        <x:v>-2.913469</x:v>
      </x:c>
      <x:c r="B143" s="54" t="n">
        <x:v>27.584889</x:v>
      </x:c>
      <x:c r="C143" s="54" t="n">
        <x:v>1.093605</x:v>
      </x:c>
      <x:c r="D143" s="54" t="n">
        <x:v>46.308725</x:v>
      </x:c>
      <x:c r="E143" s="54" t="n">
        <x:v>-2.913469</x:v>
      </x:c>
      <x:c r="F143" s="54" t="n">
        <x:v>5.03298</x:v>
      </x:c>
      <x:c r="G143" s="54" t="n">
        <x:v>1.093605</x:v>
      </x:c>
      <x:c r="H143" s="54" t="n">
        <x:v>5.03298</x:v>
      </x:c>
    </x:row>
    <x:row r="144">
      <x:c r="A144" s="54" t="n">
        <x:v>-1.958669</x:v>
      </x:c>
      <x:c r="B144" s="54" t="n">
        <x:v>29.579186</x:v>
      </x:c>
      <x:c r="C144" s="54" t="n">
        <x:v>12.632098</x:v>
      </x:c>
      <x:c r="D144" s="54" t="n">
        <x:v>59.210526</x:v>
      </x:c>
      <x:c r="E144" s="54" t="n">
        <x:v>-1.958669</x:v>
      </x:c>
      <x:c r="F144" s="54" t="n">
        <x:v>4.588863</x:v>
      </x:c>
      <x:c r="G144" s="54" t="n">
        <x:v>12.632098</x:v>
      </x:c>
      <x:c r="H144" s="54" t="n">
        <x:v>4.588863</x:v>
      </x:c>
    </x:row>
    <x:row r="145">
      <x:c r="A145" s="54" t="n">
        <x:v>3.517914</x:v>
      </x:c>
      <x:c r="B145" s="54" t="n">
        <x:v>40.63796</x:v>
      </x:c>
      <x:c r="C145" s="54" t="n">
        <x:v>-5.045695</x:v>
      </x:c>
      <x:c r="D145" s="54" t="n">
        <x:v>42.78169</x:v>
      </x:c>
      <x:c r="E145" s="54" t="n">
        <x:v>3.517914</x:v>
      </x:c>
      <x:c r="F145" s="54" t="n">
        <x:v>6.370871</x:v>
      </x:c>
      <x:c r="G145" s="54" t="n">
        <x:v>-5.045695</x:v>
      </x:c>
      <x:c r="H145" s="54" t="n">
        <x:v>6.370871</x:v>
      </x:c>
    </x:row>
    <x:row r="146">
      <x:c r="A146" s="54" t="n">
        <x:v>-3.918072</x:v>
      </x:c>
      <x:c r="B146" s="54" t="n">
        <x:v>30.73105</x:v>
      </x:c>
      <x:c r="C146" s="54" t="n">
        <x:v>0.562151</x:v>
      </x:c>
      <x:c r="D146" s="54" t="n">
        <x:v>47.146739</x:v>
      </x:c>
      <x:c r="E146" s="54" t="n">
        <x:v>-3.918072</x:v>
      </x:c>
      <x:c r="F146" s="54" t="n">
        <x:v>5.433571</x:v>
      </x:c>
      <x:c r="G146" s="54" t="n">
        <x:v>0.562151</x:v>
      </x:c>
      <x:c r="H146" s="54" t="n">
        <x:v>5.433571</x:v>
      </x:c>
    </x:row>
    <x:row r="147">
      <x:c r="A147" s="54" t="n">
        <x:v>-1.129851</x:v>
      </x:c>
      <x:c r="B147" s="54" t="n">
        <x:v>35.473748</x:v>
      </x:c>
      <x:c r="C147" s="54" t="n">
        <x:v>4.330042</x:v>
      </x:c>
      <x:c r="D147" s="54" t="n">
        <x:v>50</x:v>
      </x:c>
      <x:c r="E147" s="54" t="n">
        <x:v>-1.129851</x:v>
      </x:c>
      <x:c r="F147" s="54" t="n">
        <x:v>6.240099</x:v>
      </x:c>
      <x:c r="G147" s="54" t="n">
        <x:v>4.330042</x:v>
      </x:c>
      <x:c r="H147" s="54" t="n">
        <x:v>6.240099</x:v>
      </x:c>
    </x:row>
    <x:row r="148">
      <x:c r="A148" s="54" t="n">
        <x:v>-2.429326</x:v>
      </x:c>
      <x:c r="B148" s="54" t="n">
        <x:v>29.082593</x:v>
      </x:c>
      <x:c r="C148" s="54" t="n">
        <x:v>2.278004</x:v>
      </x:c>
      <x:c r="D148" s="54" t="n">
        <x:v>45.758755</x:v>
      </x:c>
      <x:c r="E148" s="54" t="n">
        <x:v>-2.429326</x:v>
      </x:c>
      <x:c r="F148" s="54" t="n">
        <x:v>5.258705</x:v>
      </x:c>
      <x:c r="G148" s="54" t="n">
        <x:v>2.278004</x:v>
      </x:c>
      <x:c r="H148" s="54" t="n">
        <x:v>5.258705</x:v>
      </x:c>
    </x:row>
    <x:row r="149">
      <x:c r="A149" s="54" t="n">
        <x:v>0.351182</x:v>
      </x:c>
      <x:c r="B149" s="54" t="n">
        <x:v>32.313813</x:v>
      </x:c>
      <x:c r="C149" s="54" t="n">
        <x:v>4.375883</x:v>
      </x:c>
      <x:c r="D149" s="54" t="n">
        <x:v>49.85755</x:v>
      </x:c>
      <x:c r="E149" s="54" t="n">
        <x:v>0.351182</x:v>
      </x:c>
      <x:c r="F149" s="54" t="n">
        <x:v>4.982071</x:v>
      </x:c>
      <x:c r="G149" s="54" t="n">
        <x:v>4.375883</x:v>
      </x:c>
      <x:c r="H149" s="54" t="n">
        <x:v>4.982071</x:v>
      </x:c>
    </x:row>
    <x:row r="150">
      <x:c r="A150" s="54" t="n">
        <x:v>-0.888501</x:v>
      </x:c>
      <x:c r="B150" s="54" t="n">
        <x:v>31.531408</x:v>
      </x:c>
      <x:c r="C150" s="54" t="n">
        <x:v>-3.190727</x:v>
      </x:c>
      <x:c r="D150" s="54" t="n">
        <x:v>43.663912</x:v>
      </x:c>
      <x:c r="E150" s="54" t="n">
        <x:v>-0.888501</x:v>
      </x:c>
      <x:c r="F150" s="54" t="n">
        <x:v>5.104999</x:v>
      </x:c>
      <x:c r="G150" s="54" t="n">
        <x:v>-3.190727</x:v>
      </x:c>
      <x:c r="H150" s="54" t="n">
        <x:v>5.104999</x:v>
      </x:c>
    </x:row>
    <x:row r="151">
      <x:c r="A151" s="54" t="n">
        <x:v>4.20889</x:v>
      </x:c>
      <x:c r="B151" s="54" t="n">
        <x:v>45.564679</x:v>
      </x:c>
      <x:c r="C151" s="54" t="n">
        <x:v>0.122345</x:v>
      </x:c>
      <x:c r="D151" s="54" t="n">
        <x:v>45.772947</x:v>
      </x:c>
      <x:c r="E151" s="54" t="n">
        <x:v>4.20889</x:v>
      </x:c>
      <x:c r="F151" s="54" t="n">
        <x:v>7.402451</x:v>
      </x:c>
      <x:c r="G151" s="54" t="n">
        <x:v>0.122345</x:v>
      </x:c>
      <x:c r="H151" s="54" t="n">
        <x:v>7.402451</x:v>
      </x:c>
    </x:row>
    <x:row r="152">
      <x:c r="A152" s="54" t="n">
        <x:v>-1.672822</x:v>
      </x:c>
      <x:c r="B152" s="54" t="n">
        <x:v>34.962744</x:v>
      </x:c>
      <x:c r="C152" s="54" t="n">
        <x:v>-0.223571</x:v>
      </x:c>
      <x:c r="D152" s="54" t="n">
        <x:v>45.816733</x:v>
      </x:c>
      <x:c r="E152" s="54" t="n">
        <x:v>-1.672822</x:v>
      </x:c>
      <x:c r="F152" s="54" t="n">
        <x:v>5.807938</x:v>
      </x:c>
      <x:c r="G152" s="54" t="n">
        <x:v>-0.223571</x:v>
      </x:c>
      <x:c r="H152" s="54" t="n">
        <x:v>5.807938</x:v>
      </x:c>
    </x:row>
    <x:row r="153">
      <x:c r="A153" s="54" t="n">
        <x:v>4.730493</x:v>
      </x:c>
      <x:c r="B153" s="54" t="n">
        <x:v>45.582209</x:v>
      </x:c>
      <x:c r="C153" s="54" t="n">
        <x:v>2.831271</x:v>
      </x:c>
      <x:c r="D153" s="54" t="n">
        <x:v>48.762376</x:v>
      </x:c>
      <x:c r="E153" s="54" t="n">
        <x:v>4.730493</x:v>
      </x:c>
      <x:c r="F153" s="54" t="n">
        <x:v>6.945638</x:v>
      </x:c>
      <x:c r="G153" s="54" t="n">
        <x:v>2.831271</x:v>
      </x:c>
      <x:c r="H153" s="54" t="n">
        <x:v>6.945638</x:v>
      </x:c>
    </x:row>
    <x:row r="154">
      <x:c r="A154" s="54" t="n">
        <x:v>0.344452</x:v>
      </x:c>
      <x:c r="B154" s="54" t="n">
        <x:v>39.533519</x:v>
      </x:c>
      <x:c r="C154" s="54" t="n">
        <x:v>-8.593883</x:v>
      </x:c>
      <x:c r="D154" s="54" t="n">
        <x:v>37.011033</x:v>
      </x:c>
      <x:c r="E154" s="54" t="n">
        <x:v>0.344452</x:v>
      </x:c>
      <x:c r="F154" s="54" t="n">
        <x:v>7.310008</x:v>
      </x:c>
      <x:c r="G154" s="54" t="n">
        <x:v>-8.593883</x:v>
      </x:c>
      <x:c r="H154" s="54" t="n">
        <x:v>7.310008</x:v>
      </x:c>
    </x:row>
    <x:row r="155">
      <x:c r="A155" s="54" t="n">
        <x:v>1.291973</x:v>
      </x:c>
      <x:c r="B155" s="54" t="n">
        <x:v>36.184477</x:v>
      </x:c>
      <x:c r="C155" s="54" t="n">
        <x:v>-9.758917</x:v>
      </x:c>
      <x:c r="D155" s="54" t="n">
        <x:v>31.788079</x:v>
      </x:c>
      <x:c r="E155" s="54" t="n">
        <x:v>1.291973</x:v>
      </x:c>
      <x:c r="F155" s="54" t="n">
        <x:v>7.277882</x:v>
      </x:c>
      <x:c r="G155" s="54" t="n">
        <x:v>-9.758917</x:v>
      </x:c>
      <x:c r="H155" s="54" t="n">
        <x:v>7.277882</x:v>
      </x:c>
    </x:row>
    <x:row r="156">
      <x:c r="A156" s="54" t="n">
        <x:v>2.592777</x:v>
      </x:c>
      <x:c r="B156" s="54" t="n">
        <x:v>32.478954</x:v>
      </x:c>
      <x:c r="C156" s="54" t="n">
        <x:v>6.8765</x:v>
      </x:c>
      <x:c r="D156" s="54" t="n">
        <x:v>53.636364</x:v>
      </x:c>
      <x:c r="E156" s="54" t="n">
        <x:v>2.592777</x:v>
      </x:c>
      <x:c r="F156" s="54" t="n">
        <x:v>4.662626</x:v>
      </x:c>
      <x:c r="G156" s="54" t="n">
        <x:v>6.8765</x:v>
      </x:c>
      <x:c r="H156" s="54" t="n">
        <x:v>4.662626</x:v>
      </x:c>
    </x:row>
    <x:row r="157">
      <x:c r="A157" s="54" t="n">
        <x:v>3.226417</x:v>
      </x:c>
      <x:c r="B157" s="54" t="n">
        <x:v>40.960351</x:v>
      </x:c>
      <x:c r="C157" s="54" t="n">
        <x:v>5.288898</x:v>
      </x:c>
      <x:c r="D157" s="54" t="n">
        <x:v>51.308901</x:v>
      </x:c>
      <x:c r="E157" s="54" t="n">
        <x:v>3.226417</x:v>
      </x:c>
      <x:c r="F157" s="54" t="n">
        <x:v>5.145039</x:v>
      </x:c>
      <x:c r="G157" s="54" t="n">
        <x:v>5.288898</x:v>
      </x:c>
      <x:c r="H157" s="54" t="n">
        <x:v>5.145039</x:v>
      </x:c>
    </x:row>
    <x:row r="158">
      <x:c r="A158" s="54" t="n">
        <x:v>-8.469747</x:v>
      </x:c>
      <x:c r="B158" s="54" t="n">
        <x:v>15.930229</x:v>
      </x:c>
      <x:c r="C158" s="54" t="n">
        <x:v>4.116225</x:v>
      </x:c>
      <x:c r="D158" s="54" t="n">
        <x:v>47.976879</x:v>
      </x:c>
      <x:c r="E158" s="54" t="n">
        <x:v>-8.469747</x:v>
      </x:c>
      <x:c r="F158" s="54" t="n">
        <x:v>4.047687</x:v>
      </x:c>
      <x:c r="G158" s="54" t="n">
        <x:v>4.116225</x:v>
      </x:c>
      <x:c r="H158" s="54" t="n">
        <x:v>4.047687</x:v>
      </x:c>
    </x:row>
    <x:row r="159">
      <x:c r="A159" s="54" t="n">
        <x:v>-1.881908</x:v>
      </x:c>
      <x:c r="B159" s="54" t="n">
        <x:v>27.574982</x:v>
      </x:c>
      <x:c r="C159" s="54" t="n">
        <x:v>-4.884513</x:v>
      </x:c>
      <x:c r="D159" s="54" t="n">
        <x:v>41.363636</x:v>
      </x:c>
      <x:c r="E159" s="54" t="n">
        <x:v>-1.881908</x:v>
      </x:c>
      <x:c r="F159" s="54" t="n">
        <x:v>6.885144</x:v>
      </x:c>
      <x:c r="G159" s="54" t="n">
        <x:v>-4.884513</x:v>
      </x:c>
      <x:c r="H159" s="54" t="n">
        <x:v>6.885144</x:v>
      </x:c>
    </x:row>
    <x:row r="160">
      <x:c r="A160" s="54" t="n">
        <x:v>2.401692</x:v>
      </x:c>
      <x:c r="B160" s="54" t="n">
        <x:v>39.732836</x:v>
      </x:c>
      <x:c r="C160" s="54" t="n">
        <x:v>-0.089742</x:v>
      </x:c>
      <x:c r="D160" s="54" t="n">
        <x:v>45.963542</x:v>
      </x:c>
      <x:c r="E160" s="54" t="n">
        <x:v>2.401692</x:v>
      </x:c>
      <x:c r="F160" s="54" t="n">
        <x:v>6.853191</x:v>
      </x:c>
      <x:c r="G160" s="54" t="n">
        <x:v>-0.089742</x:v>
      </x:c>
      <x:c r="H160" s="54" t="n">
        <x:v>6.853191</x:v>
      </x:c>
    </x:row>
    <x:row r="161">
      <x:c r="A161" s="54" t="n">
        <x:v>-1.920984</x:v>
      </x:c>
      <x:c r="B161" s="54" t="n">
        <x:v>33.707754</x:v>
      </x:c>
      <x:c r="C161" s="54" t="n">
        <x:v>9.853336</x:v>
      </x:c>
      <x:c r="D161" s="54" t="n">
        <x:v>53.347065</x:v>
      </x:c>
      <x:c r="E161" s="54" t="n">
        <x:v>-1.920984</x:v>
      </x:c>
      <x:c r="F161" s="54" t="n">
        <x:v>4.886705</x:v>
      </x:c>
      <x:c r="G161" s="54" t="n">
        <x:v>9.853336</x:v>
      </x:c>
      <x:c r="H161" s="54" t="n">
        <x:v>4.886705</x:v>
      </x:c>
    </x:row>
    <x:row r="162">
      <x:c r="A162" s="54" t="n">
        <x:v>-0.911488</x:v>
      </x:c>
      <x:c r="B162" s="54" t="n">
        <x:v>34.726522</x:v>
      </x:c>
      <x:c r="C162" s="54" t="n">
        <x:v>-2.476332</x:v>
      </x:c>
      <x:c r="D162" s="54" t="n">
        <x:v>42.136499</x:v>
      </x:c>
      <x:c r="E162" s="54" t="n">
        <x:v>-0.911488</x:v>
      </x:c>
      <x:c r="F162" s="54" t="n">
        <x:v>6.487824</x:v>
      </x:c>
      <x:c r="G162" s="54" t="n">
        <x:v>-2.476332</x:v>
      </x:c>
      <x:c r="H162" s="54" t="n">
        <x:v>6.487824</x:v>
      </x:c>
    </x:row>
    <x:row r="163">
      <x:c r="A163" s="54" t="n">
        <x:v>-4.614059</x:v>
      </x:c>
      <x:c r="B163" s="54" t="n">
        <x:v>29.280397</x:v>
      </x:c>
      <x:c r="C163" s="54" t="n">
        <x:v>8.870179</x:v>
      </x:c>
      <x:c r="D163" s="54" t="n">
        <x:v>52.193646</x:v>
      </x:c>
      <x:c r="E163" s="54" t="n">
        <x:v>-4.614059</x:v>
      </x:c>
      <x:c r="F163" s="54" t="n">
        <x:v>4.509636</x:v>
      </x:c>
      <x:c r="G163" s="54" t="n">
        <x:v>8.870179</x:v>
      </x:c>
      <x:c r="H163" s="54" t="n">
        <x:v>4.509636</x:v>
      </x:c>
    </x:row>
    <x:row r="164">
      <x:c r="A164" s="54" t="n">
        <x:v>0.329321</x:v>
      </x:c>
      <x:c r="B164" s="54" t="n">
        <x:v>34.120525</x:v>
      </x:c>
      <x:c r="C164" s="54" t="n">
        <x:v>-15.51113</x:v>
      </x:c>
      <x:c r="D164" s="54" t="n">
        <x:v>31.746032</x:v>
      </x:c>
      <x:c r="E164" s="54" t="n">
        <x:v>0.329321</x:v>
      </x:c>
      <x:c r="F164" s="54" t="n">
        <x:v>7.147352</x:v>
      </x:c>
      <x:c r="G164" s="54" t="n">
        <x:v>-15.51113</x:v>
      </x:c>
      <x:c r="H164" s="54" t="n">
        <x:v>7.147352</x:v>
      </x:c>
    </x:row>
    <x:row r="165">
      <x:c r="A165" s="54" t="n">
        <x:v>-0.772782</x:v>
      </x:c>
      <x:c r="B165" s="54" t="n">
        <x:v>31.376904</x:v>
      </x:c>
      <x:c r="C165" s="54" t="n">
        <x:v>-5.58327</x:v>
      </x:c>
      <x:c r="D165" s="54" t="n">
        <x:v>40.359897</x:v>
      </x:c>
      <x:c r="E165" s="54" t="n">
        <x:v>-0.772782</x:v>
      </x:c>
      <x:c r="F165" s="54" t="n">
        <x:v>5.961785</x:v>
      </x:c>
      <x:c r="G165" s="54" t="n">
        <x:v>-5.58327</x:v>
      </x:c>
      <x:c r="H165" s="54" t="n">
        <x:v>5.961785</x:v>
      </x:c>
    </x:row>
    <x:row r="166">
      <x:c r="A166" s="54" t="n">
        <x:v>0.229085</x:v>
      </x:c>
      <x:c r="B166" s="54" t="n">
        <x:v>33.875537</x:v>
      </x:c>
      <x:c r="C166" s="54" t="n">
        <x:v>4.976249</x:v>
      </x:c>
      <x:c r="D166" s="54" t="n">
        <x:v>50.539084</x:v>
      </x:c>
      <x:c r="E166" s="54" t="n">
        <x:v>0.229085</x:v>
      </x:c>
      <x:c r="F166" s="54" t="n">
        <x:v>5.901555</x:v>
      </x:c>
      <x:c r="G166" s="54" t="n">
        <x:v>4.976249</x:v>
      </x:c>
      <x:c r="H166" s="54" t="n">
        <x:v>5.901555</x:v>
      </x:c>
    </x:row>
    <x:row r="167">
      <x:c r="A167" s="54" t="n">
        <x:v>2.546038</x:v>
      </x:c>
      <x:c r="B167" s="54" t="n">
        <x:v>40.376135</x:v>
      </x:c>
      <x:c r="C167" s="54" t="n">
        <x:v>-4.074789</x:v>
      </x:c>
      <x:c r="D167" s="54" t="n">
        <x:v>41.11349</x:v>
      </x:c>
      <x:c r="E167" s="54" t="n">
        <x:v>2.546038</x:v>
      </x:c>
      <x:c r="F167" s="54" t="n">
        <x:v>6.348272</x:v>
      </x:c>
      <x:c r="G167" s="54" t="n">
        <x:v>-4.074789</x:v>
      </x:c>
      <x:c r="H167" s="54" t="n">
        <x:v>6.348272</x:v>
      </x:c>
    </x:row>
    <x:row r="168">
      <x:c r="A168" s="54" t="n">
        <x:v>2.849748</x:v>
      </x:c>
      <x:c r="B168" s="54" t="n">
        <x:v>39.832339</x:v>
      </x:c>
      <x:c r="C168" s="54" t="n">
        <x:v>-1.517402</x:v>
      </x:c>
      <x:c r="D168" s="54" t="n">
        <x:v>44.216418</x:v>
      </x:c>
      <x:c r="E168" s="54" t="n">
        <x:v>2.849748</x:v>
      </x:c>
      <x:c r="F168" s="54" t="n">
        <x:v>6.417322</x:v>
      </x:c>
      <x:c r="G168" s="54" t="n">
        <x:v>-1.517402</x:v>
      </x:c>
      <x:c r="H168" s="54" t="n">
        <x:v>6.417322</x:v>
      </x:c>
    </x:row>
    <x:row r="169">
      <x:c r="A169" s="54" t="n">
        <x:v>0.989579</x:v>
      </x:c>
      <x:c r="B169" s="54" t="n">
        <x:v>34.161124</x:v>
      </x:c>
      <x:c r="C169" s="54" t="n">
        <x:v>3.20472</x:v>
      </x:c>
      <x:c r="D169" s="54" t="n">
        <x:v>48.648649</x:v>
      </x:c>
      <x:c r="E169" s="54" t="n">
        <x:v>0.989579</x:v>
      </x:c>
      <x:c r="F169" s="54" t="n">
        <x:v>5.491108</x:v>
      </x:c>
      <x:c r="G169" s="54" t="n">
        <x:v>3.20472</x:v>
      </x:c>
      <x:c r="H169" s="54" t="n">
        <x:v>5.491108</x:v>
      </x:c>
    </x:row>
    <x:row r="170">
      <x:c r="A170" s="54" t="n">
        <x:v>0.778492</x:v>
      </x:c>
      <x:c r="B170" s="54" t="n">
        <x:v>37.440838</x:v>
      </x:c>
      <x:c r="C170" s="54" t="n">
        <x:v>-0.142625</x:v>
      </x:c>
      <x:c r="D170" s="54" t="n">
        <x:v>42.560359</x:v>
      </x:c>
      <x:c r="E170" s="54" t="n">
        <x:v>0.778492</x:v>
      </x:c>
      <x:c r="F170" s="54" t="n">
        <x:v>6.453737</x:v>
      </x:c>
      <x:c r="G170" s="54" t="n">
        <x:v>-0.142625</x:v>
      </x:c>
      <x:c r="H170" s="54" t="n">
        <x:v>6.453737</x:v>
      </x:c>
    </x:row>
    <x:row r="171">
      <x:c r="A171" s="54" t="n">
        <x:v>-0.622649</x:v>
      </x:c>
      <x:c r="B171" s="54" t="n">
        <x:v>35.955509</x:v>
      </x:c>
      <x:c r="C171" s="54" t="n">
        <x:v>-3.124312</x:v>
      </x:c>
      <x:c r="D171" s="54" t="n">
        <x:v>40.662651</x:v>
      </x:c>
      <x:c r="E171" s="54" t="n">
        <x:v>-0.622649</x:v>
      </x:c>
      <x:c r="F171" s="54" t="n">
        <x:v>6.338271</x:v>
      </x:c>
      <x:c r="G171" s="54" t="n">
        <x:v>-3.124312</x:v>
      </x:c>
      <x:c r="H171" s="54" t="n">
        <x:v>6.338271</x:v>
      </x:c>
    </x:row>
    <x:row r="172">
      <x:c r="A172" s="54" t="n">
        <x:v>-1.331001</x:v>
      </x:c>
      <x:c r="B172" s="54" t="n">
        <x:v>33.699382</x:v>
      </x:c>
      <x:c r="C172" s="54" t="n">
        <x:v>3.264492</x:v>
      </x:c>
      <x:c r="D172" s="54" t="n">
        <x:v>46.788991</x:v>
      </x:c>
      <x:c r="E172" s="54" t="n">
        <x:v>-1.331001</x:v>
      </x:c>
      <x:c r="F172" s="54" t="n">
        <x:v>6.508421</x:v>
      </x:c>
      <x:c r="G172" s="54" t="n">
        <x:v>3.264492</x:v>
      </x:c>
      <x:c r="H172" s="54" t="n">
        <x:v>6.508421</x:v>
      </x:c>
    </x:row>
    <x:row r="173">
      <x:c r="A173" s="54" t="n">
        <x:v>3.921525</x:v>
      </x:c>
      <x:c r="B173" s="54" t="n">
        <x:v>44.80207</x:v>
      </x:c>
      <x:c r="C173" s="54" t="n">
        <x:v>-6.293565</x:v>
      </x:c>
      <x:c r="D173" s="54" t="n">
        <x:v>36.541599</x:v>
      </x:c>
      <x:c r="E173" s="54" t="n">
        <x:v>3.921525</x:v>
      </x:c>
      <x:c r="F173" s="54" t="n">
        <x:v>7.560359</x:v>
      </x:c>
      <x:c r="G173" s="54" t="n">
        <x:v>-6.293565</x:v>
      </x:c>
      <x:c r="H173" s="54" t="n">
        <x:v>7.560359</x:v>
      </x:c>
    </x:row>
    <x:row r="174">
      <x:c r="A174" s="54" t="n">
        <x:v>3.459536</x:v>
      </x:c>
      <x:c r="B174" s="54" t="n">
        <x:v>39.0808</x:v>
      </x:c>
      <x:c r="C174" s="54" t="n">
        <x:v>5.906734</x:v>
      </x:c>
      <x:c r="D174" s="54" t="n">
        <x:v>52.137469</x:v>
      </x:c>
      <x:c r="E174" s="54" t="n">
        <x:v>3.459536</x:v>
      </x:c>
      <x:c r="F174" s="54" t="n">
        <x:v>6.097375</x:v>
      </x:c>
      <x:c r="G174" s="54" t="n">
        <x:v>5.906734</x:v>
      </x:c>
      <x:c r="H174" s="54" t="n">
        <x:v>6.097375</x:v>
      </x:c>
    </x:row>
    <x:row r="175">
      <x:c r="A175" s="54" t="n">
        <x:v>-2.305084</x:v>
      </x:c>
      <x:c r="B175" s="54" t="n">
        <x:v>23.938747</x:v>
      </x:c>
      <x:c r="C175" s="54" t="n">
        <x:v>1.545041</x:v>
      </x:c>
      <x:c r="D175" s="54" t="n">
        <x:v>46.226415</x:v>
      </x:c>
      <x:c r="E175" s="54" t="n">
        <x:v>-2.305084</x:v>
      </x:c>
      <x:c r="F175" s="54" t="n">
        <x:v>5.792436</x:v>
      </x:c>
      <x:c r="G175" s="54" t="n">
        <x:v>1.545041</x:v>
      </x:c>
      <x:c r="H175" s="54" t="n">
        <x:v>5.792436</x:v>
      </x:c>
    </x:row>
    <x:row r="176">
      <x:c r="A176" s="54" t="n">
        <x:v>1.120051</x:v>
      </x:c>
      <x:c r="B176" s="54" t="n">
        <x:v>34.629099</x:v>
      </x:c>
      <x:c r="C176" s="54" t="n">
        <x:v>4.61318</x:v>
      </x:c>
      <x:c r="D176" s="54" t="n">
        <x:v>49.701314</x:v>
      </x:c>
      <x:c r="E176" s="54" t="n">
        <x:v>1.120051</x:v>
      </x:c>
      <x:c r="F176" s="54" t="n">
        <x:v>5.27226</x:v>
      </x:c>
      <x:c r="G176" s="54" t="n">
        <x:v>4.61318</x:v>
      </x:c>
      <x:c r="H176" s="54" t="n">
        <x:v>5.27226</x:v>
      </x:c>
    </x:row>
    <x:row r="177">
      <x:c r="A177" s="54" t="n">
        <x:v>-1.627634</x:v>
      </x:c>
      <x:c r="B177" s="54" t="n">
        <x:v>29.7086</x:v>
      </x:c>
      <x:c r="C177" s="54" t="n">
        <x:v>4.299496</x:v>
      </x:c>
      <x:c r="D177" s="54" t="n">
        <x:v>49.103139</x:v>
      </x:c>
      <x:c r="E177" s="54" t="n">
        <x:v>-1.627634</x:v>
      </x:c>
      <x:c r="F177" s="54" t="n">
        <x:v>5.50884</x:v>
      </x:c>
      <x:c r="G177" s="54" t="n">
        <x:v>4.299496</x:v>
      </x:c>
      <x:c r="H177" s="54" t="n">
        <x:v>5.50884</x:v>
      </x:c>
    </x:row>
    <x:row r="178">
      <x:c r="A178" s="54" t="n">
        <x:v>0.900643</x:v>
      </x:c>
      <x:c r="B178" s="54" t="n">
        <x:v>36.116312</x:v>
      </x:c>
      <x:c r="C178" s="54" t="n">
        <x:v>0.541081</x:v>
      </x:c>
      <x:c r="D178" s="54" t="n">
        <x:v>42.335025</x:v>
      </x:c>
      <x:c r="E178" s="54" t="n">
        <x:v>0.900643</x:v>
      </x:c>
      <x:c r="F178" s="54" t="n">
        <x:v>6.167982</x:v>
      </x:c>
      <x:c r="G178" s="54" t="n">
        <x:v>0.541081</x:v>
      </x:c>
      <x:c r="H178" s="54" t="n">
        <x:v>6.167982</x:v>
      </x:c>
    </x:row>
    <x:row r="179">
      <x:c r="A179" s="54" t="n">
        <x:v>-2.966303</x:v>
      </x:c>
      <x:c r="B179" s="54" t="n">
        <x:v>33.245779</x:v>
      </x:c>
      <x:c r="C179" s="54" t="n">
        <x:v>0.632109</x:v>
      </x:c>
      <x:c r="D179" s="54" t="n">
        <x:v>43.927649</x:v>
      </x:c>
      <x:c r="E179" s="54" t="n">
        <x:v>-2.966303</x:v>
      </x:c>
      <x:c r="F179" s="54" t="n">
        <x:v>5.426762</x:v>
      </x:c>
      <x:c r="G179" s="54" t="n">
        <x:v>0.632109</x:v>
      </x:c>
      <x:c r="H179" s="54" t="n">
        <x:v>5.426762</x:v>
      </x:c>
    </x:row>
    <x:row r="180">
      <x:c r="A180" s="54" t="n">
        <x:v>-3.714829</x:v>
      </x:c>
      <x:c r="B180" s="54" t="n">
        <x:v>31.762373</x:v>
      </x:c>
      <x:c r="C180" s="54" t="n">
        <x:v>-6.794847</x:v>
      </x:c>
      <x:c r="D180" s="54" t="n">
        <x:v>43.292683</x:v>
      </x:c>
      <x:c r="E180" s="54" t="n">
        <x:v>-3.714829</x:v>
      </x:c>
      <x:c r="F180" s="54" t="n">
        <x:v>6.601833</x:v>
      </x:c>
      <x:c r="G180" s="54" t="n">
        <x:v>-6.794847</x:v>
      </x:c>
      <x:c r="H180" s="54" t="n">
        <x:v>6.601833</x:v>
      </x:c>
    </x:row>
    <x:row r="181">
      <x:c r="A181" s="54" t="n">
        <x:v>3.94665</x:v>
      </x:c>
      <x:c r="B181" s="54" t="n">
        <x:v>44.817714</x:v>
      </x:c>
      <x:c r="C181" s="54" t="n">
        <x:v>-0.192022</x:v>
      </x:c>
      <x:c r="D181" s="54" t="n">
        <x:v>45.676998</x:v>
      </x:c>
      <x:c r="E181" s="54" t="n">
        <x:v>3.94665</x:v>
      </x:c>
      <x:c r="F181" s="54" t="n">
        <x:v>7.360237</x:v>
      </x:c>
      <x:c r="G181" s="54" t="n">
        <x:v>-0.192022</x:v>
      </x:c>
      <x:c r="H181" s="54" t="n">
        <x:v>7.360237</x:v>
      </x:c>
    </x:row>
    <x:row r="182">
      <x:c r="A182" s="54" t="n">
        <x:v>-2.595859</x:v>
      </x:c>
      <x:c r="B182" s="54" t="n">
        <x:v>31.063483</x:v>
      </x:c>
      <x:c r="C182" s="54" t="n">
        <x:v>-3.948593</x:v>
      </x:c>
      <x:c r="D182" s="54" t="n">
        <x:v>40.885417</x:v>
      </x:c>
      <x:c r="E182" s="54" t="n">
        <x:v>-2.595859</x:v>
      </x:c>
      <x:c r="F182" s="54" t="n">
        <x:v>5.887697</x:v>
      </x:c>
      <x:c r="G182" s="54" t="n">
        <x:v>-3.948593</x:v>
      </x:c>
      <x:c r="H182" s="54" t="n">
        <x:v>5.887697</x:v>
      </x:c>
    </x:row>
    <x:row r="183">
      <x:c r="A183" s="54" t="n">
        <x:v>-2.222022</x:v>
      </x:c>
      <x:c r="B183" s="54" t="n">
        <x:v>30.980853</x:v>
      </x:c>
      <x:c r="C183" s="54" t="n">
        <x:v>-1.795591</x:v>
      </x:c>
      <x:c r="D183" s="54" t="n">
        <x:v>40.711462</x:v>
      </x:c>
      <x:c r="E183" s="54" t="n">
        <x:v>-2.222022</x:v>
      </x:c>
      <x:c r="F183" s="54" t="n">
        <x:v>6.104288</x:v>
      </x:c>
      <x:c r="G183" s="54" t="n">
        <x:v>-1.795591</x:v>
      </x:c>
      <x:c r="H183" s="54" t="n">
        <x:v>6.104288</x:v>
      </x:c>
    </x:row>
    <x:row r="184">
      <x:c r="A184" s="54" t="n">
        <x:v>-2.561515</x:v>
      </x:c>
      <x:c r="B184" s="54" t="n">
        <x:v>30.508098</x:v>
      </x:c>
      <x:c r="C184" s="54" t="n">
        <x:v>-0.384308</x:v>
      </x:c>
      <x:c r="D184" s="54" t="n">
        <x:v>44.652129</x:v>
      </x:c>
      <x:c r="E184" s="54" t="n">
        <x:v>-2.561515</x:v>
      </x:c>
      <x:c r="F184" s="54" t="n">
        <x:v>5.550696</x:v>
      </x:c>
      <x:c r="G184" s="54" t="n">
        <x:v>-0.384308</x:v>
      </x:c>
      <x:c r="H184" s="54" t="n">
        <x:v>5.550696</x:v>
      </x:c>
    </x:row>
    <x:row r="185">
      <x:c r="A185" s="54" t="n">
        <x:v>4.158819</x:v>
      </x:c>
      <x:c r="B185" s="54" t="n">
        <x:v>43.511155</x:v>
      </x:c>
      <x:c r="C185" s="54" t="n">
        <x:v>2.647976</x:v>
      </x:c>
      <x:c r="D185" s="54" t="n">
        <x:v>46.691371</x:v>
      </x:c>
      <x:c r="E185" s="54" t="n">
        <x:v>4.158819</x:v>
      </x:c>
      <x:c r="F185" s="54" t="n">
        <x:v>7.900838</x:v>
      </x:c>
      <x:c r="G185" s="54" t="n">
        <x:v>2.647976</x:v>
      </x:c>
      <x:c r="H185" s="54" t="n">
        <x:v>7.900838</x:v>
      </x:c>
    </x:row>
    <x:row r="186">
      <x:c r="A186" s="54" t="n">
        <x:v>0.453942</x:v>
      </x:c>
      <x:c r="B186" s="54" t="n">
        <x:v>38.354972</x:v>
      </x:c>
      <x:c r="C186" s="54" t="n">
        <x:v>0.04788</x:v>
      </x:c>
      <x:c r="D186" s="54" t="n">
        <x:v>44.940152</x:v>
      </x:c>
      <x:c r="E186" s="54" t="n">
        <x:v>0.453942</x:v>
      </x:c>
      <x:c r="F186" s="54" t="n">
        <x:v>6.51769</x:v>
      </x:c>
      <x:c r="G186" s="54" t="n">
        <x:v>0.04788</x:v>
      </x:c>
      <x:c r="H186" s="54" t="n">
        <x:v>6.51769</x:v>
      </x:c>
    </x:row>
    <x:row r="187">
      <x:c r="A187" s="54" t="n">
        <x:v>3.258426</x:v>
      </x:c>
      <x:c r="B187" s="54" t="n">
        <x:v>38.232059</x:v>
      </x:c>
      <x:c r="C187" s="54" t="n">
        <x:v>1.514579</x:v>
      </x:c>
      <x:c r="D187" s="54" t="n">
        <x:v>45.389436</x:v>
      </x:c>
      <x:c r="E187" s="54" t="n">
        <x:v>3.258426</x:v>
      </x:c>
      <x:c r="F187" s="54" t="n">
        <x:v>6.124333</x:v>
      </x:c>
      <x:c r="G187" s="54" t="n">
        <x:v>1.514579</x:v>
      </x:c>
      <x:c r="H187" s="54" t="n">
        <x:v>6.124333</x:v>
      </x:c>
    </x:row>
    <x:row r="188">
      <x:c r="A188" s="54" t="n">
        <x:v>-4.890771</x:v>
      </x:c>
      <x:c r="B188" s="54" t="n">
        <x:v>28.812296</x:v>
      </x:c>
      <x:c r="C188" s="54" t="n">
        <x:v>8.774258</x:v>
      </x:c>
      <x:c r="D188" s="54" t="n">
        <x:v>50.863558</x:v>
      </x:c>
      <x:c r="E188" s="54" t="n">
        <x:v>-4.890771</x:v>
      </x:c>
      <x:c r="F188" s="54" t="n">
        <x:v>4.212551</x:v>
      </x:c>
      <x:c r="G188" s="54" t="n">
        <x:v>8.774258</x:v>
      </x:c>
      <x:c r="H188" s="54" t="n">
        <x:v>4.212551</x:v>
      </x:c>
    </x:row>
    <x:row r="189">
      <x:c r="A189" s="54" t="n">
        <x:v>3.916739</x:v>
      </x:c>
      <x:c r="B189" s="54" t="n">
        <x:v>46.632323</x:v>
      </x:c>
      <x:c r="C189" s="54" t="n">
        <x:v>1.463401</x:v>
      </x:c>
      <x:c r="D189" s="54" t="n">
        <x:v>44.042232</x:v>
      </x:c>
      <x:c r="E189" s="54" t="n">
        <x:v>3.916739</x:v>
      </x:c>
      <x:c r="F189" s="54" t="n">
        <x:v>7.48136</x:v>
      </x:c>
      <x:c r="G189" s="54" t="n">
        <x:v>1.463401</x:v>
      </x:c>
      <x:c r="H189" s="54" t="n">
        <x:v>7.48136</x:v>
      </x:c>
    </x:row>
    <x:row r="190">
      <x:c r="A190" s="54" t="n">
        <x:v>0.47408</x:v>
      </x:c>
      <x:c r="B190" s="54" t="n">
        <x:v>43.922329</x:v>
      </x:c>
      <x:c r="C190" s="54" t="n">
        <x:v>12.64621</x:v>
      </x:c>
      <x:c r="D190" s="54" t="n">
        <x:v>54.936306</x:v>
      </x:c>
      <x:c r="E190" s="54" t="n">
        <x:v>0.47408</x:v>
      </x:c>
      <x:c r="F190" s="54" t="n">
        <x:v>6.006854</x:v>
      </x:c>
      <x:c r="G190" s="54" t="n">
        <x:v>12.64621</x:v>
      </x:c>
      <x:c r="H190" s="54" t="n">
        <x:v>6.006854</x:v>
      </x:c>
    </x:row>
    <x:row r="191">
      <x:c r="A191" s="54" t="n">
        <x:v>1.156366</x:v>
      </x:c>
      <x:c r="B191" s="54" t="n">
        <x:v>35.927035</x:v>
      </x:c>
      <x:c r="C191" s="54" t="n">
        <x:v>2.678168</x:v>
      </x:c>
      <x:c r="D191" s="54" t="n">
        <x:v>48.096026</x:v>
      </x:c>
      <x:c r="E191" s="54" t="n">
        <x:v>1.156366</x:v>
      </x:c>
      <x:c r="F191" s="54" t="n">
        <x:v>5.616716</x:v>
      </x:c>
      <x:c r="G191" s="54" t="n">
        <x:v>2.678168</x:v>
      </x:c>
      <x:c r="H191" s="54" t="n">
        <x:v>5.616716</x:v>
      </x:c>
    </x:row>
    <x:row r="192">
      <x:c r="A192" s="54" t="n">
        <x:v>4.954603</x:v>
      </x:c>
      <x:c r="B192" s="54" t="n">
        <x:v>45.640244</x:v>
      </x:c>
      <x:c r="C192" s="54" t="n">
        <x:v>7.449454</x:v>
      </x:c>
      <x:c r="D192" s="54" t="n">
        <x:v>51.851852</x:v>
      </x:c>
      <x:c r="E192" s="54" t="n">
        <x:v>4.954603</x:v>
      </x:c>
      <x:c r="F192" s="54" t="n">
        <x:v>5.779111</x:v>
      </x:c>
      <x:c r="G192" s="54" t="n">
        <x:v>7.449454</x:v>
      </x:c>
      <x:c r="H192" s="54" t="n">
        <x:v>5.779111</x:v>
      </x:c>
    </x:row>
    <x:row r="193">
      <x:c r="A193" s="54" t="n">
        <x:v>-0.573662</x:v>
      </x:c>
      <x:c r="B193" s="54" t="n">
        <x:v>34.826786</x:v>
      </x:c>
      <x:c r="C193" s="54" t="n">
        <x:v>-3.447327</x:v>
      </x:c>
      <x:c r="D193" s="54" t="n">
        <x:v>42.857143</x:v>
      </x:c>
      <x:c r="E193" s="54" t="n">
        <x:v>-0.573662</x:v>
      </x:c>
      <x:c r="F193" s="54" t="n">
        <x:v>6.478805</x:v>
      </x:c>
      <x:c r="G193" s="54" t="n">
        <x:v>-3.447327</x:v>
      </x:c>
      <x:c r="H193" s="54" t="n">
        <x:v>6.478805</x:v>
      </x:c>
    </x:row>
    <x:row r="194">
      <x:c r="A194" s="54" t="n">
        <x:v>1.298176</x:v>
      </x:c>
      <x:c r="B194" s="54" t="n">
        <x:v>40.088904</x:v>
      </x:c>
      <x:c r="C194" s="54" t="n">
        <x:v>-0.02194</x:v>
      </x:c>
      <x:c r="D194" s="54" t="n">
        <x:v>43.343195</x:v>
      </x:c>
      <x:c r="E194" s="54" t="n">
        <x:v>1.298176</x:v>
      </x:c>
      <x:c r="F194" s="54" t="n">
        <x:v>6.537656</x:v>
      </x:c>
      <x:c r="G194" s="54" t="n">
        <x:v>-0.02194</x:v>
      </x:c>
      <x:c r="H194" s="54" t="n">
        <x:v>6.537656</x:v>
      </x:c>
    </x:row>
    <x:row r="195">
      <x:c r="A195" s="54" t="n">
        <x:v>0.001558</x:v>
      </x:c>
      <x:c r="B195" s="54" t="n">
        <x:v>39.203851</x:v>
      </x:c>
      <x:c r="C195" s="54" t="n">
        <x:v>-7.554249</x:v>
      </x:c>
      <x:c r="D195" s="54" t="n">
        <x:v>36.545589</x:v>
      </x:c>
      <x:c r="E195" s="54" t="n">
        <x:v>0.001558</x:v>
      </x:c>
      <x:c r="F195" s="54" t="n">
        <x:v>7.330005</x:v>
      </x:c>
      <x:c r="G195" s="54" t="n">
        <x:v>-7.554249</x:v>
      </x:c>
      <x:c r="H195" s="54" t="n">
        <x:v>7.330005</x:v>
      </x:c>
    </x:row>
    <x:row r="196">
      <x:c r="A196" s="54" t="n">
        <x:v>-3.011537</x:v>
      </x:c>
      <x:c r="B196" s="54" t="n">
        <x:v>29.398331</x:v>
      </x:c>
      <x:c r="C196" s="54" t="n">
        <x:v>-7.741802</x:v>
      </x:c>
      <x:c r="D196" s="54" t="n">
        <x:v>38.520408</x:v>
      </x:c>
      <x:c r="E196" s="54" t="n">
        <x:v>-3.011537</x:v>
      </x:c>
      <x:c r="F196" s="54" t="n">
        <x:v>5.855286</x:v>
      </x:c>
      <x:c r="G196" s="54" t="n">
        <x:v>-7.741802</x:v>
      </x:c>
      <x:c r="H196" s="54" t="n">
        <x:v>5.855286</x:v>
      </x:c>
    </x:row>
    <x:row r="197">
      <x:c r="A197" s="54" t="n">
        <x:v>-2.969186</x:v>
      </x:c>
      <x:c r="B197" s="54" t="n">
        <x:v>29.196933</x:v>
      </x:c>
      <x:c r="C197" s="54" t="n">
        <x:v>-5.009666</x:v>
      </x:c>
      <x:c r="D197" s="54" t="n">
        <x:v>39.475983</x:v>
      </x:c>
      <x:c r="E197" s="54" t="n">
        <x:v>-2.969186</x:v>
      </x:c>
      <x:c r="F197" s="54" t="n">
        <x:v>6.078727</x:v>
      </x:c>
      <x:c r="G197" s="54" t="n">
        <x:v>-5.009666</x:v>
      </x:c>
      <x:c r="H197" s="54" t="n">
        <x:v>6.078727</x:v>
      </x:c>
    </x:row>
    <x:row r="198">
      <x:c r="A198" s="54" t="n">
        <x:v>0.719575</x:v>
      </x:c>
      <x:c r="B198" s="54" t="n">
        <x:v>36.582136</x:v>
      </x:c>
      <x:c r="C198" s="54" t="n">
        <x:v>4.602729</x:v>
      </x:c>
      <x:c r="D198" s="54" t="n">
        <x:v>49.681979</x:v>
      </x:c>
      <x:c r="E198" s="54" t="n">
        <x:v>0.719575</x:v>
      </x:c>
      <x:c r="F198" s="54" t="n">
        <x:v>5.944965</x:v>
      </x:c>
      <x:c r="G198" s="54" t="n">
        <x:v>4.602729</x:v>
      </x:c>
      <x:c r="H198" s="54" t="n">
        <x:v>5.944965</x:v>
      </x:c>
    </x:row>
    <x:row r="199">
      <x:c r="A199" s="54" t="n">
        <x:v>1.079838</x:v>
      </x:c>
      <x:c r="B199" s="54" t="n">
        <x:v>43.025067</x:v>
      </x:c>
      <x:c r="C199" s="54" t="n">
        <x:v>-13.330882</x:v>
      </x:c>
      <x:c r="D199" s="54" t="n">
        <x:v>34.778373</x:v>
      </x:c>
      <x:c r="E199" s="54" t="n">
        <x:v>1.079838</x:v>
      </x:c>
      <x:c r="F199" s="54" t="n">
        <x:v>7.625226</x:v>
      </x:c>
      <x:c r="G199" s="54" t="n">
        <x:v>-13.330882</x:v>
      </x:c>
      <x:c r="H199" s="54" t="n">
        <x:v>7.625226</x:v>
      </x:c>
    </x:row>
    <x:row r="200">
      <x:c r="A200" s="54" t="n">
        <x:v>0.736824</x:v>
      </x:c>
      <x:c r="B200" s="54" t="n">
        <x:v>36.855498</x:v>
      </x:c>
      <x:c r="C200" s="54" t="n">
        <x:v>5.617799</x:v>
      </x:c>
      <x:c r="D200" s="54" t="n">
        <x:v>49.591837</x:v>
      </x:c>
      <x:c r="E200" s="54" t="n">
        <x:v>0.736824</x:v>
      </x:c>
      <x:c r="F200" s="54" t="n">
        <x:v>5.586444</x:v>
      </x:c>
      <x:c r="G200" s="54" t="n">
        <x:v>5.617799</x:v>
      </x:c>
      <x:c r="H200" s="54" t="n">
        <x:v>5.586444</x:v>
      </x:c>
    </x:row>
    <x:row r="201">
      <x:c r="A201" s="54" t="n">
        <x:v>1.454437</x:v>
      </x:c>
      <x:c r="B201" s="54" t="n">
        <x:v>42.312998</x:v>
      </x:c>
      <x:c r="C201" s="54" t="n">
        <x:v>2.56367</x:v>
      </x:c>
      <x:c r="D201" s="54" t="n">
        <x:v>46.003899</x:v>
      </x:c>
      <x:c r="E201" s="54" t="n">
        <x:v>1.454437</x:v>
      </x:c>
      <x:c r="F201" s="54" t="n">
        <x:v>6.975149</x:v>
      </x:c>
      <x:c r="G201" s="54" t="n">
        <x:v>2.56367</x:v>
      </x:c>
      <x:c r="H201" s="54" t="n">
        <x:v>6.975149</x:v>
      </x:c>
    </x:row>
    <x:row r="202">
      <x:c r="A202" s="54" t="n">
        <x:v>2.958021</x:v>
      </x:c>
      <x:c r="B202" s="54" t="n">
        <x:v>41.729005</x:v>
      </x:c>
      <x:c r="C202" s="54" t="n">
        <x:v>3.676316</x:v>
      </x:c>
      <x:c r="D202" s="54" t="n">
        <x:v>50.701187</x:v>
      </x:c>
      <x:c r="E202" s="54" t="n">
        <x:v>2.958021</x:v>
      </x:c>
      <x:c r="F202" s="54" t="n">
        <x:v>6.640365</x:v>
      </x:c>
      <x:c r="G202" s="54" t="n">
        <x:v>3.676316</x:v>
      </x:c>
      <x:c r="H202" s="54" t="n">
        <x:v>6.640365</x:v>
      </x:c>
    </x:row>
    <x:row r="203">
      <x:c r="A203" s="55" t="n">
        <x:v>3.974084</x:v>
      </x:c>
      <x:c r="B203" s="55" t="n">
        <x:v>43.198855</x:v>
      </x:c>
      <x:c r="C203" s="55" t="n">
        <x:v>2.59543</x:v>
      </x:c>
      <x:c r="D203" s="55" t="n">
        <x:v>46.068548</x:v>
      </x:c>
      <x:c r="E203" s="55" t="n">
        <x:v>3.974084</x:v>
      </x:c>
      <x:c r="F203" s="55" t="n">
        <x:v>7.019706</x:v>
      </x:c>
      <x:c r="G203" s="55" t="n">
        <x:v>2.59543</x:v>
      </x:c>
      <x:c r="H203" s="55" t="n">
        <x:v>7.019706</x:v>
      </x:c>
    </x:row>
  </x:sheetData>
  <x:mergeCells>
    <x:mergeCell ref="A1:Q1"/>
  </x:mergeCells>
  <x:pageMargins left="0.7" right="0.7" top="0.75" bottom="0.75" header="0.3" footer="0.3"/>
  <x:drawing xmlns:r="http://schemas.openxmlformats.org/officeDocument/2006/relationships" r:id="R6ae779075a3b4e62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05" hidden="0" customWidth="1"/>
  </x:cols>
  <x:sheetData>
    <x:row r="1" ht="30" customHeight="1">
      <x:c r="A1" s="3" t="str">
        <x:v>산식 · 검증 · 한계</x:v>
      </x:c>
      <x:c r="B1" s="3" t="str">
        <x:v>산식 · 검증 · 한계</x:v>
      </x:c>
      <x:c r="C1" s="3" t="str">
        <x:v>산식 · 검증 · 한계</x:v>
      </x:c>
      <x:c r="D1" s="3" t="str">
        <x:v>산식 · 검증 · 한계</x:v>
      </x:c>
      <x:c r="E1" s="3" t="str">
        <x:v>산식 · 검증 · 한계</x:v>
      </x:c>
      <x:c r="F1" s="3" t="str">
        <x:v>산식 · 검증 · 한계</x:v>
      </x:c>
    </x:row>
    <x:row r="2" ht="30" customHeight="1">
      <x:c r="A2" s="3" t="str">
        <x:v>산식 · 검증 · 한계</x:v>
      </x:c>
      <x:c r="B2" s="3" t="str">
        <x:v>산식 · 검증 · 한계</x:v>
      </x:c>
      <x:c r="C2" s="3" t="str">
        <x:v>산식 · 검증 · 한계</x:v>
      </x:c>
      <x:c r="D2" s="3" t="str">
        <x:v>산식 · 검증 · 한계</x:v>
      </x:c>
      <x:c r="E2" s="3" t="str">
        <x:v>산식 · 검증 · 한계</x:v>
      </x:c>
      <x:c r="F2" s="3" t="str">
        <x:v>산식 · 검증 · 한계</x:v>
      </x:c>
    </x:row>
    <x:row r="4" ht="28" customHeight="1">
      <x:c r="A4" s="48" t="str">
        <x:v>구분</x:v>
      </x:c>
      <x:c r="B4" s="50" t="str">
        <x:v>정의 / 계약</x:v>
      </x:c>
    </x:row>
    <x:row r="5" ht="28" customHeight="1">
      <x:c r="A5" s="53" t="str">
        <x:v>데이터 범위</x:v>
      </x:c>
      <x:c r="B5" s="130" t="str">
        <x:v>Visual Baseball 2026 정규시즌, 2026-09-02 경기까지; 180,261구</x:v>
      </x:c>
    </x:row>
    <x:row r="6" ht="28" customHeight="1">
      <x:c r="A6" s="54" t="str">
        <x:v>교차검증</x:v>
      </x:c>
      <x:c r="B6" s="131" t="str">
        <x:v>game_id 기준 5-fold GroupKFold. 표시 확률과 기대값은 모두 out-of-fold.</x:v>
      </x:c>
    </x:row>
    <x:row r="7" ht="28" customHeight="1">
      <x:c r="A7" s="54" t="str">
        <x:v>Movement X</x:v>
      </x:c>
      <x:c r="B7" s="131" t="str">
        <x:v>x_relative, z_relative, balls_before, strikes_before, outs_before, base_state_code_before, velocity_kmh, release_height_cm, pitch_type, batter_stance, stadium</x:v>
      </x:c>
    </x:row>
    <x:row r="8" ht="28" customHeight="1">
      <x:c r="A8" s="54" t="str">
        <x:v>Movement O</x:v>
      </x:c>
      <x:c r="B8" s="131" t="str">
        <x:v>x_relative, z_relative, balls_before, strikes_before, outs_before, base_state_code_before, velocity_kmh, release_height_cm, adjusted_hb_cm, adjusted_ivb_cm, pitch_type, batter_stance, stadium</x:v>
      </x:c>
    </x:row>
    <x:row r="9" ht="28" customHeight="1">
      <x:c r="A9" s="54" t="str">
        <x:v>보정식</x:v>
      </x:c>
      <x:c r="B9" s="131" t="str">
        <x:v>adjusted movement = Visual Baseball measurement + stadium/pitch offset</x:v>
      </x:c>
    </x:row>
    <x:row r="10" ht="28" customHeight="1">
      <x:c r="A10" s="54" t="str">
        <x:v>Swing Aggression</x:v>
      </x:c>
      <x:c r="B10" s="131" t="str">
        <x:v>100 * mean(actual swing indicator - selected OOF expected swing probability); percentage points</x:v>
      </x:c>
    </x:row>
    <x:row r="11" ht="28" customHeight="1">
      <x:c r="A11" s="54" t="str">
        <x:v>ZA Raw</x:v>
      </x:c>
      <x:c r="B11" s="131" t="str">
        <x:v>100 * mean(actual zone-aligned judgment - league expected judgment); percentage points</x:v>
      </x:c>
    </x:row>
    <x:row r="12" ht="28" customHeight="1">
      <x:c r="A12" s="54" t="str">
        <x:v>ZA Percentile</x:v>
      </x:c>
      <x:c r="B12" s="131" t="str">
        <x:v>empirical percentile of ZA Raw among hitters with at least 300 pitches</x:v>
      </x:c>
    </x:row>
    <x:row r="13" ht="28" customHeight="1">
      <x:c r="A13" s="54" t="str">
        <x:v>DV/100</x:v>
      </x:c>
      <x:c r="B13" s="131" t="str">
        <x:v>100 * mean((V_Swing - V_Take) for swings; sign reversed for takes); runs per 100 pitches</x:v>
      </x:c>
    </x:row>
    <x:row r="14" ht="28" customHeight="1">
      <x:c r="A14" s="54" t="str">
        <x:v>pZone</x:v>
      </x:c>
      <x:c r="B14" s="131" t="str">
        <x:v>called strike vs ball/HBP among taken pitches; features: x_relative, z_relative, sz_top, sz_bottom</x:v>
      </x:c>
    </x:row>
    <x:row r="15" ht="28" customHeight="1">
      <x:c r="A15" s="54" t="str">
        <x:v>Meatball</x:v>
      </x:c>
      <x:c r="B15" s="131" t="str">
        <x:v>max(abs(x_relative), abs(z_relative)) &lt;= 1/3</x:v>
      </x:c>
    </x:row>
    <x:row r="16" ht="28" customHeight="1">
      <x:c r="A16" s="54" t="str">
        <x:v>클러스터</x:v>
      </x:c>
      <x:c r="B16" s="131" t="str">
        <x:v>maximum silhouette among k=2..6; selected k=2; 군집은 등급이 아님</x:v>
      </x:c>
    </x:row>
    <x:row r="17" ht="28" customHeight="1">
      <x:c r="A17" s="54" t="str">
        <x:v>추가 보정</x:v>
      </x:c>
      <x:c r="B17" s="131" t="str">
        <x:v>적용하지 않음. 클러스터는 SA 축을 재분리하며 DV joint residual 군집 평균도 거의 0.</x:v>
      </x:c>
    </x:row>
    <x:row r="18" ht="28" customHeight="1">
      <x:c r="A18" s="54" t="str">
        <x:v>한계 1</x:v>
      </x:c>
      <x:c r="B18" s="131" t="str">
        <x:v>Counterfactual action values are observational conditional expectations; unmeasured pitch traits can leave selection bias.</x:v>
      </x:c>
    </x:row>
    <x:row r="19" ht="28" customHeight="1">
      <x:c r="A19" s="54" t="str">
        <x:v>한계 2</x:v>
      </x:c>
      <x:c r="B19" s="131" t="str">
        <x:v>Visual Baseball lacks exit velocity and launch angle, so V_Swing estimates do not condition on contact quality measurements.</x:v>
      </x:c>
    </x:row>
    <x:row r="20" ht="28" customHeight="1">
      <x:c r="A20" s="54" t="str">
        <x:v>한계 3</x:v>
      </x:c>
      <x:c r="B20" s="131" t="str">
        <x:v>Cluster labels diagnose model behavior and are not player grades or adjustment factors.</x:v>
      </x:c>
    </x:row>
    <x:row r="21" ht="28" customHeight="1">
      <x:c r="A21" s="54" t="str">
        <x:v>원자료</x:v>
      </x:c>
      <x:c r="B21" s="131" t="str">
        <x:v>https://visualbaseball.com/schedule#2026</x:v>
      </x:c>
    </x:row>
    <x:row r="22" ht="28" customHeight="1">
      <x:c r="A22" s="55" t="str">
        <x:v>프로젝트</x:v>
      </x:c>
      <x:c r="B22" s="132" t="str">
        <x:v>https://github.com/seoyeonwoo1223/KBO-Savant-Visual-Project</x:v>
      </x:c>
    </x:row>
    <x:row r="23" ht="28" customHeight="1">
      <x:c r="B23" s="133"/>
    </x:row>
    <x:row r="24" ht="28" customHeight="1">
      <x:c r="B24" s="133"/>
    </x:row>
    <x:row r="25" ht="28" customHeight="1">
      <x:c r="B25" s="133"/>
    </x:row>
    <x:row r="26" ht="28" customHeight="1">
      <x:c r="B26" s="133"/>
    </x:row>
    <x:row r="27" ht="28" customHeight="1">
      <x:c r="B27" s="133"/>
    </x:row>
    <x:row r="28" ht="28" customHeight="1">
      <x:c r="B28" s="133"/>
    </x:row>
    <x:row r="29" ht="28" customHeight="1">
      <x:c r="B29" s="133"/>
    </x:row>
    <x:row r="30" ht="28" customHeight="1">
      <x:c r="B30" s="133"/>
    </x:row>
  </x:sheetData>
  <x:mergeCells>
    <x:mergeCell ref="A1:F2"/>
  </x:mergeCells>
  <x:pageMargins left="0.7" right="0.7" top="0.75" bottom="0.75" header="0.3" footer="0.3"/>
</x:worksheet>
</file>