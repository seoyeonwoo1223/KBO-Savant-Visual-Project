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8d7082585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연도별 상수" sheetId="1" r:id="R614aac47f2854c58"/>
    <x:sheet xmlns:r="http://schemas.openxmlformats.org/officeDocument/2006/relationships" name="리그 타자" sheetId="2" r:id="Ra048db7f958742ee"/>
    <x:sheet xmlns:r="http://schemas.openxmlformats.org/officeDocument/2006/relationships" name="리그 투수" sheetId="3" r:id="R8fdb1240464f4592"/>
  </x:sheets>
</x:workbook>
</file>

<file path=xl/sharedStrings.xml><?xml version="1.0" encoding="utf-8"?>
<x:sst xmlns:x="http://schemas.openxmlformats.org/spreadsheetml/2006/main">
  <x:si>
    <x:t xml:space="preserve">Year</x:t>
  </x:si>
  <x:si>
    <x:t xml:space="preserve">잠실</x:t>
  </x:si>
  <x:si>
    <x:t xml:space="preserve">고척</x:t>
  </x:si>
  <x:si>
    <x:t xml:space="preserve">인천</x:t>
  </x:si>
  <x:si>
    <x:t xml:space="preserve">수원</x:t>
  </x:si>
  <x:si>
    <x:t xml:space="preserve">대전</x:t>
  </x:si>
  <x:si>
    <x:t xml:space="preserve">광주</x:t>
  </x:si>
  <x:si>
    <x:t xml:space="preserve">대구</x:t>
  </x:si>
  <x:si>
    <x:t xml:space="preserve">사직</x:t>
  </x:si>
  <x:si>
    <x:t xml:space="preserve">창원</x:t>
  </x:si>
  <x:si>
    <x:t xml:space="preserve">전주</x:t>
  </x:si>
  <x:si>
    <x:t xml:space="preserve">리그</x:t>
  </x:si>
  <x:si>
    <x:t xml:space="preserve">wBB</x:t>
  </x:si>
  <x:si>
    <x:t xml:space="preserve">wHBP</x:t>
  </x:si>
  <x:si>
    <x:t xml:space="preserve">w1B</x:t>
  </x:si>
  <x:si>
    <x:t xml:space="preserve">w2B</x:t>
  </x:si>
  <x:si>
    <x:t xml:space="preserve">w3B</x:t>
  </x:si>
  <x:si>
    <x:t xml:space="preserve">wHR</x:t>
  </x:si>
  <x:si>
    <x:t xml:space="preserve">Scale</x:t>
  </x:si>
  <x:si>
    <x:t xml:space="preserve">R/W</x:t>
  </x:si>
  <x:si>
    <x:t xml:space="preserve">cFIP</x:t>
  </x:si>
  <x:si>
    <x:t xml:space="preserve">R/PA</x:t>
  </x:si>
  <x:si>
    <x:t xml:space="preserve">HR</x:t>
  </x:si>
  <x:si>
    <x:t xml:space="preserve">BB</x:t>
  </x:si>
  <x:si>
    <x:t xml:space="preserve">K</x:t>
  </x:si>
  <x:si>
    <x:t xml:space="preserve">wSB</x:t>
  </x:si>
  <x:si>
    <x:t xml:space="preserve">wCS</x:t>
  </x:si>
  <x:si>
    <x:t xml:space="preserve">Plg</x:t>
  </x:si>
  <x:si>
    <x:t xml:space="preserve">Pos</x:t>
  </x:si>
  <x:si>
    <x:t xml:space="preserve">Pos+</x:t>
  </x:si>
  <x:si>
    <x:t xml:space="preserve">PosAdj</x:t>
  </x:si>
  <x:si>
    <x:t xml:space="preserve">C</x:t>
  </x:si>
  <x:si>
    <x:t xml:space="preserve">1B</x:t>
  </x:si>
  <x:si>
    <x:t xml:space="preserve">2B</x:t>
  </x:si>
  <x:si>
    <x:t xml:space="preserve">3B</x:t>
  </x:si>
  <x:si>
    <x:t xml:space="preserve">SS</x:t>
  </x:si>
  <x:si>
    <x:t xml:space="preserve">LF</x:t>
  </x:si>
  <x:si>
    <x:t xml:space="preserve">CF</x:t>
  </x:si>
  <x:si>
    <x:t xml:space="preserve">RF</x:t>
  </x:si>
  <x:si>
    <x:t xml:space="preserve">DH</x:t>
  </x:si>
  <x:si>
    <x:t xml:space="preserve">P</x:t>
  </x:si>
  <x:si>
    <x:t xml:space="preserve">X</x:t>
  </x:si>
  <x:si>
    <x:t xml:space="preserve">Season</x:t>
  </x:si>
  <x:si>
    <x:t xml:space="preserve">wOBA</x:t>
  </x:si>
  <x:si>
    <x:t xml:space="preserve">PA</x:t>
  </x:si>
  <x:si>
    <x:t xml:space="preserve">AB</x:t>
  </x:si>
  <x:si>
    <x:t xml:space="preserve">R</x:t>
  </x:si>
  <x:si>
    <x:t xml:space="preserve">H</x:t>
  </x:si>
  <x:si>
    <x:t xml:space="preserve">SB</x:t>
  </x:si>
  <x:si>
    <x:t xml:space="preserve">CS</x:t>
  </x:si>
  <x:si>
    <x:t xml:space="preserve">HBP</x:t>
  </x:si>
  <x:si>
    <x:t xml:space="preserve">IB</x:t>
  </x:si>
  <x:si>
    <x:t xml:space="preserve">GDP</x:t>
  </x:si>
  <x:si>
    <x:t xml:space="preserve">SF</x:t>
  </x:si>
  <x:si>
    <x:t xml:space="preserve">BA</x:t>
  </x:si>
  <x:si>
    <x:t xml:space="preserve">OBP</x:t>
  </x:si>
  <x:si>
    <x:t xml:space="preserve">SLG</x:t>
  </x:si>
  <x:si>
    <x:t xml:space="preserve">OPS</x:t>
  </x:si>
  <x:si>
    <x:t xml:space="preserve">G</x:t>
  </x:si>
  <x:si>
    <x:t xml:space="preserve">GS</x:t>
  </x:si>
  <x:si>
    <x:t xml:space="preserve">IP</x:t>
  </x:si>
  <x:si>
    <x:t xml:space="preserve">ER</x:t>
  </x:si>
  <x:si>
    <x:t xml:space="preserve">RA</x:t>
  </x:si>
  <x:si>
    <x:t xml:space="preserve">TBF</x:t>
  </x:si>
  <x:si>
    <x:t xml:space="preserve">ERA</x:t>
  </x:si>
  <x:si>
    <x:t xml:space="preserve">FIP</x:t>
  </x:si>
  <x:si>
    <x:t xml:space="preserve">ra9</x:t>
  </x:si>
  <x:si>
    <x:t xml:space="preserve">BIP</x:t>
  </x:si>
  <x:si>
    <x:t xml:space="preserve">GB</x:t>
  </x:si>
  <x:si>
    <x:t xml:space="preserve">FB</x:t>
  </x:si>
  <x:si>
    <x:t xml:space="preserve">Intercept</x:t>
  </x:si>
  <x:si>
    <x:t xml:space="preserve">HR/FB</x:t>
  </x:si>
  <x:si>
    <x:t xml:space="preserve">GB%</x:t>
  </x:si>
  <x:si>
    <x:t xml:space="preserve">FB%</x:t>
  </x:si>
</x:sst>
</file>

<file path=xl/styles.xml><?xml version="1.0" encoding="utf-8"?>
<x:styleSheet xmlns:x="http://schemas.openxmlformats.org/spreadsheetml/2006/main">
  <x:numFmts count="1">
    <x:numFmt numFmtId="43" formatCode="_-* #,##0.00_-;\-* #,##0.00_-;_-* &quot;-&quot;??_-;_-@_-"/>
  </x:numFmts>
  <x:fonts count="11">
    <x:font>
      <x:sz val="11"/>
      <x:color rgb="FF000000"/>
      <x:name val="맑은 고딕"/>
    </x:font>
    <x:font>
      <x:b/>
      <x:sz val="9"/>
      <x:color rgb="FFFFFFFF"/>
      <x:name val="맑은 고딕"/>
    </x:font>
    <x:font>
      <x:sz val="11"/>
      <x:color rgb="FFFF0000"/>
      <x:name val="맑은 고딕"/>
    </x:font>
    <x:font>
      <x:sz val="10"/>
      <x:color rgb="FF000000"/>
      <x:name val="맑은 고딕"/>
    </x:font>
    <x:font>
      <x:b/>
      <x:sz val="11"/>
      <x:color rgb="FFFFFFFF"/>
      <x:name val="맑은 고딕"/>
    </x:font>
    <x:font>
      <x:b/>
      <x:sz val="9"/>
      <x:color rgb="FFFFFFFF"/>
      <x:name val="맑은 고딕"/>
    </x:font>
    <x:font>
      <x:b/>
      <x:sz val="8"/>
      <x:color rgb="FFFFFFFF"/>
      <x:name val="맑은 고딕"/>
    </x:font>
    <x:font>
      <x:b/>
      <x:sz val="10"/>
      <x:color rgb="FFFFFFFF"/>
      <x:name val="맑은 고딕"/>
    </x:font>
    <x:font>
      <x:b/>
      <x:sz val="8"/>
      <x:color rgb="FFFFFFFF"/>
      <x:name val="맑은 고딕"/>
    </x:font>
    <x:font>
      <x:sz val="11"/>
      <x:color rgb="FF000000"/>
      <x:name val="맑은 고딕"/>
    </x:font>
    <x:font>
      <x:sz val="8"/>
      <x:name val="돋움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2">
    <x:border/>
    <x:border>
      <x:left style="thick">
        <x:color rgb="FFFFFFFF"/>
      </x:left>
      <x:right style="thick">
        <x:color rgb="FFFFFFFF"/>
      </x:right>
      <x:top style="thick">
        <x:color rgb="FFFFFFFF"/>
      </x:top>
      <x:bottom style="thick">
        <x:color rgb="FFFFFFFF"/>
      </x:bottom>
    </x:border>
  </x:borders>
  <x:cellStyleXfs count="2">
    <x:xf numFmtId="0" fontId="0" fillId="0" borderId="0">
      <x:alignment vertical="center"/>
    </x:xf>
    <x:xf numFmtId="43" fontId="9" fillId="0" borderId="0" applyFont="0" applyFill="0" applyBorder="0" applyAlignment="0" applyProtection="0">
      <x:alignment vertical="center"/>
    </x:xf>
  </x:cellStyleXfs>
  <x:cellXfs count="17">
    <x:xf numFmtId="0" fontId="0" fillId="0" borderId="0" xfId="0">
      <x:alignment vertical="center"/>
    </x:xf>
    <x:xf numFmtId="0" fontId="1" fillId="2" borderId="1" xfId="0" applyFont="1" applyFill="1" applyBorder="1">
      <x:alignment vertical="center"/>
    </x:xf>
    <x:xf numFmtId="0" fontId="2" fillId="0" borderId="0" xfId="0" applyFont="1">
      <x:alignment vertical="center"/>
    </x:xf>
    <x:xf numFmtId="0" fontId="3" fillId="0" borderId="0" xfId="0" applyFont="1">
      <x:alignment vertical="center"/>
    </x:xf>
    <x:xf numFmtId="0" fontId="4" fillId="2" borderId="1" xfId="0" applyFont="1" applyFill="1" applyBorder="1">
      <x:alignment vertical="center"/>
    </x:xf>
    <x:xf numFmtId="0" fontId="5" fillId="2" borderId="1" xfId="0" applyFont="1" applyFill="1" applyBorder="1">
      <x:alignment vertical="center"/>
    </x:xf>
    <x:xf numFmtId="0" fontId="6" fillId="2" borderId="1" xfId="0" applyFont="1" applyFill="1" applyBorder="1" applyAlignment="1">
      <x:alignment horizontal="center" vertical="center"/>
    </x:xf>
    <x:xf numFmtId="0" fontId="4" fillId="2" borderId="1" xfId="1" applyFont="1" applyFill="1" applyBorder="1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>
      <x:alignment vertical="center"/>
    </x:xf>
    <x:xf numFmtId="0" fontId="4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12" fontId="0" fillId="0" borderId="0" xfId="0" applyNumberFormat="1" applyAlignment="1">
      <x:alignment horizontal="center" vertical="center"/>
    </x:xf>
    <x:xf numFmtId="12" fontId="4" fillId="2" borderId="1" xfId="0" applyNumberFormat="1" applyFont="1" applyFill="1" applyBorder="1" applyAlignment="1">
      <x:alignment horizontal="center" vertical="center"/>
    </x:xf>
  </x:cellXfs>
  <x:cellStyles count="2">
    <x:cellStyle name="쉼표" xfId="1"/>
    <x:cellStyle name="표준" xfId="0"/>
  </x:cellStyles>
  <x:dxfs count="14">
    <x:dxf>
      <x:fill>
        <x:patternFill>
          <x:bgColor rgb="FF6182D6"/>
        </x:patternFill>
      </x:fill>
    </x:dxf>
    <x:dxf>
      <x:fill>
        <x:patternFill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ont>
        <x:b/>
      </x:font>
    </x:dxf>
    <x:dxf>
      <x:font>
        <x:b/>
      </x:font>
    </x:dxf>
    <x:dxf>
      <x:font>
        <x:b/>
      </x:font>
      <x:border>
        <x:top style="thin">
          <x:color rgb="FF6182D6"/>
        </x:top>
      </x:border>
    </x:dxf>
    <x:dxf>
      <x:font>
        <x:b/>
      </x:font>
      <x:border>
        <x:bottom style="medium">
          <x:color rgb="FF6182D6"/>
        </x:bottom>
      </x:border>
    </x:dxf>
    <x:dxf>
      <x:font>
        <x:color rgb="FF000000"/>
      </x:font>
      <x:border>
        <x:left/>
        <x:right/>
        <x:top style="medium">
          <x:color rgb="FF6182D6"/>
        </x:top>
        <x:bottom style="medium">
          <x:color rgb="FF6182D6"/>
        </x:bottom>
      </x:border>
    </x:dxf>
    <x:dxf>
      <x:fill>
        <x:patternFill>
          <x:bgColor rgb="FFAEBFEA"/>
        </x:patternFill>
      </x:fill>
    </x:dxf>
    <x:dxf>
      <x:fill>
        <x:patternFill>
          <x:bgColor rgb="FFAEBFEA"/>
        </x:patternFill>
      </x:fill>
    </x:dxf>
    <x:dxf>
      <x:font>
        <x:b/>
        <x:color rgb="FFFFFFFF"/>
      </x:font>
      <x:fill>
        <x:patternFill>
          <x:bgColor rgb="FF6182D6"/>
        </x:patternFill>
      </x:fill>
    </x:dxf>
    <x:dxf>
      <x:font>
        <x:b/>
        <x:color rgb="FFFFFFFF"/>
      </x:font>
      <x:fill>
        <x:patternFill>
          <x:bgColor rgb="FF6182D6"/>
        </x:patternFill>
      </x:fill>
    </x:dxf>
    <x:dxf>
      <x:font>
        <x:b/>
        <x:color rgb="FFFFFFFF"/>
      </x:font>
      <x:fill>
        <x:patternFill>
          <x:bgColor rgb="FF6182D6"/>
        </x:patternFill>
      </x:fill>
      <x:border>
        <x:top style="thick">
          <x:color rgb="FFFFFFFF"/>
        </x:top>
      </x:border>
    </x:dxf>
    <x:dxf>
      <x:font>
        <x:b/>
        <x:color rgb="FFFFFFFF"/>
      </x:font>
      <x:fill>
        <x:patternFill>
          <x:bgColor rgb="FF6182D6"/>
        </x:patternFill>
      </x:fill>
      <x:border>
        <x:bottom style="thick">
          <x:color rgb="FFFFFFFF"/>
        </x:bottom>
      </x:border>
    </x:dxf>
    <x:dxf>
      <x:font>
        <x:color rgb="FF000000"/>
      </x:font>
      <x:fill>
        <x:patternFill>
          <x:bgColor rgb="FFD7DFF4"/>
        </x:patternFill>
      </x:fill>
      <x:border>
        <x:left style="thin">
          <x:color rgb="FFFFFFFF"/>
        </x:left>
        <x:right style="thin">
          <x:color rgb="FFFFFFFF"/>
        </x:right>
        <x:top style="thin">
          <x:color rgb="FFFFFFFF"/>
        </x:top>
        <x:bottom style="thin">
          <x:color rgb="FFFFFFFF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1010f586454a1b" /><Relationship Type="http://schemas.openxmlformats.org/officeDocument/2006/relationships/theme" Target="/xl/theme/theme1.xml" Id="R11d50a05717648ec" /><Relationship Type="http://schemas.openxmlformats.org/officeDocument/2006/relationships/sharedStrings" Target="/xl/sharedStrings.xml" Id="R08423bf313cc4f84" /><Relationship Type="http://schemas.openxmlformats.org/officeDocument/2006/relationships/worksheet" Target="/xl/worksheets/sheet1.xml" Id="R614aac47f2854c58" /><Relationship Type="http://schemas.openxmlformats.org/officeDocument/2006/relationships/worksheet" Target="/xl/worksheets/sheet2.xml" Id="Ra048db7f958742ee" /><Relationship Type="http://schemas.openxmlformats.org/officeDocument/2006/relationships/worksheet" Target="/xl/worksheets/sheet3.xml" Id="R8fdb1240464f4592" /></Relationships>
</file>

<file path=xl/theme/theme1.xml><?xml version="1.0" encoding="utf-8"?>
<a:theme xmlns:a="http://schemas.openxmlformats.org/drawingml/2006/main" name="ChatGPT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96875" defaultRowHeight="17.399999618530273"/>
  <x:cols>
    <x:col min="1" max="1" width="4.8984375" style="4" customWidth="1"/>
    <x:col min="2" max="12" width="5.09765625" customWidth="1"/>
    <x:col min="13" max="13" width="4.8984375" style="4" customWidth="1"/>
    <x:col min="14" max="20" width="5" customWidth="1"/>
    <x:col min="21" max="22" width="4.296875" customWidth="1"/>
    <x:col min="23" max="23" width="5" customWidth="1"/>
    <x:col min="24" max="24" width="4.8984375" style="4" customWidth="1"/>
    <x:col min="25" max="30" width="5.09765625" customWidth="1"/>
    <x:col min="31" max="32" width="5.296875" customWidth="1"/>
    <x:col min="33" max="16375" width="5.09765625" customWidth="1"/>
  </x:cols>
  <x:sheetData>
    <x:row r="1" s="7" customFormat="1">
      <x:c r="A1" s="8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7" t="s">
        <x:v>10</x:v>
      </x:c>
      <x:c r="L1" s="7" t="s">
        <x:v>11</x:v>
      </x:c>
      <x:c r="M1" s="8" t="s">
        <x:v>0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17</x:v>
      </x:c>
      <x:c r="T1" s="4" t="s">
        <x:v>18</x:v>
      </x:c>
      <x:c r="U1" s="4" t="s">
        <x:v>19</x:v>
      </x:c>
      <x:c r="V1" s="4" t="s">
        <x:v>20</x:v>
      </x:c>
      <x:c r="W1" s="7" t="s">
        <x:v>21</x:v>
      </x:c>
      <x:c r="X1" s="8" t="s">
        <x:v>0</x:v>
      </x:c>
      <x:c r="Y1" s="4" t="s">
        <x:v>22</x:v>
      </x:c>
      <x:c r="Z1" s="4" t="s">
        <x:v>23</x:v>
      </x:c>
      <x:c r="AA1" s="4" t="s">
        <x:v>24</x:v>
      </x:c>
      <x:c r="AB1" s="1" t="s">
        <x:v>25</x:v>
      </x:c>
      <x:c r="AC1" s="1" t="s">
        <x:v>26</x:v>
      </x:c>
      <x:c r="AD1" s="7" t="s">
        <x:v>27</x:v>
      </x:c>
      <x:c r="AE1" s="9" t="s">
        <x:v>28</x:v>
      </x:c>
      <x:c r="AF1" s="9" t="s">
        <x:v>29</x:v>
      </x:c>
      <x:c r="AG1" s="7" t="s">
        <x:v>30</x:v>
      </x:c>
    </x:row>
    <x:row r="2">
      <x:c r="A2" s="4">
        <x:v>1982</x:v>
      </x:c>
      <x:c r="B2">
        <x:v>1.0309999999999999</x:v>
      </x:c>
      <x:c r="D2">
        <x:v>1.0189999999999999</x:v>
      </x:c>
      <x:c r="F2">
        <x:v>0.91400000000000003</x:v>
      </x:c>
      <x:c r="G2">
        <x:v>1.044</x:v>
      </x:c>
      <x:c r="H2">
        <x:v>1.028</x:v>
      </x:c>
      <x:c r="I2">
        <x:v>1.038</x:v>
      </x:c>
      <x:c r="L2">
        <x:v>1</x:v>
      </x:c>
      <x:c r="M2" s="4">
        <x:v>1982</x:v>
      </x:c>
      <x:c r="N2" t="n">
        <x:f>((('리그 투수'!E2/('리그 투수'!D2*3)+0.14))-(-1*((('리그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타자'!P2)))*(1/((((('리그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타자'!L2-'리그 타자'!N2+'리그 타자'!M2+'리그 타자'!F2))-(-1*((('리그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타자'!P2))))</x:f>
        <x:v>0.7144801215500212</x:v>
      </x:c>
      <x:c r="O2" t="n">
        <x:f>(((('리그 투수'!E2/('리그 투수'!D2*3)+0.14))+0.025)-(-1*((('리그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타자'!P2)))*(1/((((('리그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타자'!L2-'리그 타자'!N2+'리그 타자'!M2+'리그 타자'!F2))-(-1*((('리그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타자'!P2))))</x:f>
        <x:v>0.7478922216504689</x:v>
      </x:c>
      <x:c r="P2" t="n">
        <x:f>(((('리그 투수'!E2/('리그 투수'!D2*3)+0.14))+0.155)-(-1*((('리그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타자'!P2)))*(1/((((('리그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타자'!L2-'리그 타자'!N2+'리그 타자'!M2+'리그 타자'!F2))-(-1*((('리그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타자'!P2))))</x:f>
        <x:v>0.9216351421727978</x:v>
      </x:c>
      <x:c r="Q2" t="n">
        <x:f>((((('리그 투수'!E2/('리그 투수'!D2*3)+0.14))+0.155)+0.3)-(-1*((('리그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타자'!P2)))*(1/((((('리그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타자'!L2-'리그 타자'!N2+'리그 타자'!M2+'리그 타자'!F2))-(-1*((('리그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타자'!P2))))</x:f>
        <x:v>1.3225803433781722</x:v>
      </x:c>
      <x:c r="R2" t="n">
        <x:f>(((((('리그 투수'!E2/('리그 투수'!D2*3)+0.14))+0.155)+0.3)+0.27)-(-1*((('리그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타자'!P2)))*(1/((((('리그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타자'!L2-'리그 타자'!N2+'리그 타자'!M2+'리그 타자'!F2))-(-1*((('리그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타자'!P2))))</x:f>
        <x:v>1.6834310244630093</x:v>
      </x:c>
      <x:c r="S2" t="n">
        <x:f>((1.4)-(-1*((('리그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타자'!P2)))*(1/((((('리그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타자'!L2-'리그 타자'!N2+'리그 타자'!M2+'리그 타자'!F2))-(-1*((('리그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타자'!P2))))</x:f>
        <x:v>2.2064757863271285</x:v>
      </x:c>
      <x:c r="T2" t="n">
        <x:f>1/((((('리그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타자'!L2-'리그 타자'!N2+'리그 타자'!M2+'리그 타자'!F2))-(-1*((('리그 투수'!E2/('리그 투수'!D2*3)+0.14))*('리그 타자'!L2-'리그 타자'!N2)+((('리그 투수'!E2/('리그 투수'!D2*3)+0.14))+0.025)*'리그 타자'!M2+((('리그 투수'!E2/('리그 투수'!D2*3)+0.14))+0.155)*('리그 타자'!F2-'리그 타자'!G2-'리그 타자'!H2-'리그 타자'!I2)+(((('리그 투수'!E2/('리그 투수'!D2*3)+0.14))+0.155)+0.3)*'리그 타자'!G2+((((('리그 투수'!E2/('리그 투수'!D2*3)+0.14))+0.155)+0.3)+0.27)*'리그 타자'!H2+(1.4)*'리그 타자'!I2)/('리그 타자'!D2-'리그 타자'!F2+'리그 타자'!P2)))</x:f>
        <x:v>1.3364840040179145</x:v>
      </x:c>
      <x:c r="U2" t="n">
        <x:f>1.5*('리그 투수'!R2+2)</x:f>
        <x:v>10.214677748157442</x:v>
      </x:c>
      <x:c r="V2" t="n">
        <x:f>((9*'리그 투수'!E2)-(Y2*'리그 투수'!K2)-(Z2*('리그 투수'!L2+'리그 투수'!M2-'리그 투수'!N2))-(AA2*'리그 투수'!O2))/'리그 투수'!D2</x:f>
        <x:v>2.6485573153520465</x:v>
      </x:c>
      <x:c r="W2" t="n">
        <x:f>'리그 타자'!E2/'리그 타자'!C2</x:f>
        <x:v>0.12478031634446397</x:v>
      </x:c>
      <x:c r="X2" s="4">
        <x:v>1982</x:v>
      </x:c>
      <x:c r="Y2">
        <x:v>12</x:v>
      </x:c>
      <x:c r="Z2">
        <x:v>3.2</x:v>
      </x:c>
      <x:c r="AA2">
        <x:v>-2.5</x:v>
      </x:c>
      <x:c r="AB2">
        <x:v>0.2</x:v>
      </x:c>
      <x:c r="AC2">
        <x:v>0.4</x:v>
      </x:c>
      <x:c r="AD2">
        <x:v>0.69199999999999995</x:v>
      </x:c>
      <x:c r="AE2" t="s">
        <x:v>31</x:v>
      </x:c>
      <x:c r="AF2">
        <x:v>90</x:v>
      </x:c>
      <x:c r="AG2">
        <x:v>5.22</x:v>
      </x:c>
      <x:c r="AH2">
        <x:v>10</x:v>
      </x:c>
    </x:row>
    <x:row r="3">
      <x:c r="A3" s="4">
        <x:v>1983</x:v>
      </x:c>
      <x:c r="B3">
        <x:v>0.90100000000000002</x:v>
      </x:c>
      <x:c r="D3">
        <x:v>1.0049999999999999</x:v>
      </x:c>
      <x:c r="F3">
        <x:v>1.0249999999999999</x:v>
      </x:c>
      <x:c r="G3">
        <x:v>1.089</x:v>
      </x:c>
      <x:c r="H3">
        <x:v>1.081</x:v>
      </x:c>
      <x:c r="I3">
        <x:v>1.0880000000000001</x:v>
      </x:c>
      <x:c r="L3">
        <x:v>1</x:v>
      </x:c>
      <x:c r="M3" s="4">
        <x:v>1983</x:v>
      </x:c>
      <x:c r="N3" t="n">
        <x:f>((('리그 투수'!E3/('리그 투수'!D3*3)+0.14))-(-1*((('리그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타자'!P3)))*(1/((((('리그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타자'!L3-'리그 타자'!N3+'리그 타자'!M3+'리그 타자'!F3))-(-1*((('리그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타자'!P3))))</x:f>
        <x:v>0.6959651037972007</x:v>
      </x:c>
      <x:c r="O3" t="n">
        <x:f>(((('리그 투수'!E3/('리그 투수'!D3*3)+0.14))+0.025)-(-1*((('리그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타자'!P3)))*(1/((((('리그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타자'!L3-'리그 타자'!N3+'리그 타자'!M3+'리그 타자'!F3))-(-1*((('리그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타자'!P3))))</x:f>
        <x:v>0.7318709918020486</x:v>
      </x:c>
      <x:c r="P3" t="n">
        <x:f>(((('리그 투수'!E3/('리그 투수'!D3*3)+0.14))+0.155)-(-1*((('리그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타자'!P3)))*(1/((((('리그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타자'!L3-'리그 타자'!N3+'리그 타자'!M3+'리그 타자'!F3))-(-1*((('리그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타자'!P3))))</x:f>
        <x:v>0.9185816094272579</x:v>
      </x:c>
      <x:c r="Q3" t="n">
        <x:f>((((('리그 투수'!E3/('리그 투수'!D3*3)+0.14))+0.155)+0.3)-(-1*((('리그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타자'!P3)))*(1/((((('리그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타자'!L3-'리그 타자'!N3+'리그 타자'!M3+'리그 타자'!F3))-(-1*((('리그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타자'!P3))))</x:f>
        <x:v>1.3494522654854333</x:v>
      </x:c>
      <x:c r="R3" t="n">
        <x:f>(((((('리그 투수'!E3/('리그 투수'!D3*3)+0.14))+0.155)+0.3)+0.27)-(-1*((('리그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타자'!P3)))*(1/((((('리그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타자'!L3-'리그 타자'!N3+'리그 타자'!M3+'리그 타자'!F3))-(-1*((('리그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타자'!P3))))</x:f>
        <x:v>1.7372358559377912</x:v>
      </x:c>
      <x:c r="S3" t="n">
        <x:f>((1.4)-(-1*((('리그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타자'!P3)))*(1/((((('리그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타자'!L3-'리그 타자'!N3+'리그 타자'!M3+'리그 타자'!F3))-(-1*((('리그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타자'!P3))))</x:f>
        <x:v>2.3311989949290925</x:v>
      </x:c>
      <x:c r="T3" t="n">
        <x:f>1/((((('리그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타자'!L3-'리그 타자'!N3+'리그 타자'!M3+'리그 타자'!F3))-(-1*((('리그 투수'!E3/('리그 투수'!D3*3)+0.14))*('리그 타자'!L3-'리그 타자'!N3)+((('리그 투수'!E3/('리그 투수'!D3*3)+0.14))+0.025)*'리그 타자'!M3+((('리그 투수'!E3/('리그 투수'!D3*3)+0.14))+0.155)*('리그 타자'!F3-'리그 타자'!G3-'리그 타자'!H3-'리그 타자'!I3)+(((('리그 투수'!E3/('리그 투수'!D3*3)+0.14))+0.155)+0.3)*'리그 타자'!G3+((((('리그 투수'!E3/('리그 투수'!D3*3)+0.14))+0.155)+0.3)+0.27)*'리그 타자'!H3+(1.4)*'리그 타자'!I3)/('리그 타자'!D3-'리그 타자'!F3+'리그 타자'!P3)))</x:f>
        <x:v>1.4362355201939179</x:v>
      </x:c>
      <x:c r="U3" t="n">
        <x:f>1.5*('리그 투수'!R3+2)</x:f>
        <x:v>9.03793593865941</x:v>
      </x:c>
      <x:c r="V3" t="n">
        <x:f>((9*'리그 투수'!E3)-(Y3*'리그 투수'!K3)-(Z3*('리그 투수'!L3+'리그 투수'!M3-'리그 투수'!N3))-(AA3*'리그 투수'!O3))/'리그 투수'!D3</x:f>
        <x:v>2.304835518179569</x:v>
      </x:c>
      <x:c r="W3" t="n">
        <x:f>'리그 타자'!E3/'리그 타자'!C3</x:f>
        <x:v>0.10693692894526745</x:v>
      </x:c>
      <x:c r="X3" s="4">
        <x:v>1983</x:v>
      </x:c>
      <x:c r="Y3">
        <x:v>12</x:v>
      </x:c>
      <x:c r="Z3">
        <x:v>3.2</x:v>
      </x:c>
      <x:c r="AA3">
        <x:v>-2.5</x:v>
      </x:c>
      <x:c r="AB3">
        <x:v>0.2</x:v>
      </x:c>
      <x:c r="AC3">
        <x:v>0.4</x:v>
      </x:c>
      <x:c r="AD3">
        <x:v>0.58699999999999997</x:v>
      </x:c>
      <x:c r="AE3" t="s">
        <x:v>32</x:v>
      </x:c>
      <x:c r="AF3">
        <x:v>113</x:v>
      </x:c>
      <x:c r="AG3">
        <x:v>-10.220000000000001</x:v>
      </x:c>
      <x:c r="AH3">
        <x:v>-8</x:v>
      </x:c>
    </x:row>
    <x:row r="4">
      <x:c r="A4" s="4">
        <x:v>1984</x:v>
      </x:c>
      <x:c r="B4">
        <x:v>0.9123</x:v>
      </x:c>
      <x:c r="D4">
        <x:v>1.071</x:v>
      </x:c>
      <x:c r="F4">
        <x:v>1.0429999999999999</x:v>
      </x:c>
      <x:c r="G4">
        <x:v>1.077</x:v>
      </x:c>
      <x:c r="H4">
        <x:v>1.089</x:v>
      </x:c>
      <x:c r="I4">
        <x:v>1.0469999999999999</x:v>
      </x:c>
      <x:c r="L4">
        <x:v>1</x:v>
      </x:c>
      <x:c r="M4" s="4">
        <x:v>1984</x:v>
      </x:c>
      <x:c r="N4" t="n">
        <x:f>((('리그 투수'!E4/('리그 투수'!D4*3)+0.14))-(-1*((('리그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타자'!P4)))*(1/((((('리그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타자'!L4-'리그 타자'!N4+'리그 타자'!M4+'리그 타자'!F4))-(-1*((('리그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타자'!P4))))</x:f>
        <x:v>0.7010627742981835</x:v>
      </x:c>
      <x:c r="O4" t="n">
        <x:f>(((('리그 투수'!E4/('리그 투수'!D4*3)+0.14))+0.025)-(-1*((('리그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타자'!P4)))*(1/((((('리그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타자'!L4-'리그 타자'!N4+'리그 타자'!M4+'리그 타자'!F4))-(-1*((('리그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타자'!P4))))</x:f>
        <x:v>0.7371920167760468</x:v>
      </x:c>
      <x:c r="P4" t="n">
        <x:f>(((('리그 투수'!E4/('리그 투수'!D4*3)+0.14))+0.155)-(-1*((('리그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타자'!P4)))*(1/((((('리그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타자'!L4-'리그 타자'!N4+'리그 타자'!M4+'리그 타자'!F4))-(-1*((('리그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타자'!P4))))</x:f>
        <x:v>0.9250640776609363</x:v>
      </x:c>
      <x:c r="Q4" t="n">
        <x:f>((((('리그 투수'!E4/('리그 투수'!D4*3)+0.14))+0.155)+0.3)-(-1*((('리그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타자'!P4)))*(1/((((('리그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타자'!L4-'리그 타자'!N4+'리그 타자'!M4+'리그 타자'!F4))-(-1*((('리그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타자'!P4))))</x:f>
        <x:v>1.3586149873952968</x:v>
      </x:c>
      <x:c r="R4" t="n">
        <x:f>(((((('리그 투수'!E4/('리그 투수'!D4*3)+0.14))+0.155)+0.3)+0.27)-(-1*((('리그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타자'!P4)))*(1/((((('리그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타자'!L4-'리그 타자'!N4+'리그 타자'!M4+'리그 타자'!F4))-(-1*((('리그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타자'!P4))))</x:f>
        <x:v>1.7488108061562209</x:v>
      </x:c>
      <x:c r="S4" t="n">
        <x:f>((1.4)-(-1*((('리그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타자'!P4)))*(1/((((('리그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타자'!L4-'리그 타자'!N4+'리그 타자'!M4+'리그 타자'!F4))-(-1*((('리그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타자'!P4))))</x:f>
        <x:v>2.3468727834227345</x:v>
      </x:c>
      <x:c r="T4" t="n">
        <x:f>1/((((('리그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타자'!L4-'리그 타자'!N4+'리그 타자'!M4+'리그 타자'!F4))-(-1*((('리그 투수'!E4/('리그 투수'!D4*3)+0.14))*('리그 타자'!L4-'리그 타자'!N4)+((('리그 투수'!E4/('리그 투수'!D4*3)+0.14))+0.025)*'리그 타자'!M4+((('리그 투수'!E4/('리그 투수'!D4*3)+0.14))+0.155)*('리그 타자'!F4-'리그 타자'!G4-'리그 타자'!H4-'리그 타자'!I4)+(((('리그 투수'!E4/('리그 투수'!D4*3)+0.14))+0.155)+0.3)*'리그 타자'!G4+((((('리그 투수'!E4/('리그 투수'!D4*3)+0.14))+0.155)+0.3)+0.27)*'리그 타자'!H4+(1.4)*'리그 타자'!I4)/('리그 타자'!D4-'리그 타자'!F4+'리그 타자'!P4)))</x:f>
        <x:v>1.4451696991145344</x:v>
      </x:c>
      <x:c r="U4" t="n">
        <x:f>1.5*('리그 투수'!R4+2)</x:f>
        <x:v>8.808805188326268</x:v>
      </x:c>
      <x:c r="V4" t="n">
        <x:f>((9*'리그 투수'!E4)-(Y4*'리그 투수'!K4)-(Z4*('리그 투수'!L4+'리그 투수'!M4-'리그 투수'!N4))-(AA4*'리그 투수'!O4))/'리그 투수'!D4</x:f>
        <x:v>2.386549014716887</x:v>
      </x:c>
      <x:c r="W4" t="n">
        <x:f>'리그 타자'!E4/'리그 타자'!C4</x:f>
        <x:v>0.10268315549801331</x:v>
      </x:c>
      <x:c r="X4" s="4">
        <x:v>1984</x:v>
      </x:c>
      <x:c r="Y4">
        <x:v>12</x:v>
      </x:c>
      <x:c r="Z4">
        <x:v>3.2</x:v>
      </x:c>
      <x:c r="AA4">
        <x:v>-2.5</x:v>
      </x:c>
      <x:c r="AB4">
        <x:v>0.2</x:v>
      </x:c>
      <x:c r="AC4">
        <x:v>0.4</x:v>
      </x:c>
      <x:c r="AD4">
        <x:v>0.60699999999999998</x:v>
      </x:c>
      <x:c r="AE4" t="s">
        <x:v>33</x:v>
      </x:c>
      <x:c r="AF4">
        <x:v>95</x:v>
      </x:c>
      <x:c r="AG4">
        <x:v>1.22</x:v>
      </x:c>
      <x:c r="AH4">
        <x:v>3</x:v>
      </x:c>
    </x:row>
    <x:row r="5">
      <x:c r="A5" s="4">
        <x:v>1985</x:v>
      </x:c>
      <x:c r="B5">
        <x:v>0.90100000000000002</x:v>
      </x:c>
      <x:c r="D5">
        <x:v>1.121</x:v>
      </x:c>
      <x:c r="F5">
        <x:v>1.093</x:v>
      </x:c>
      <x:c r="G5">
        <x:v>1.044</x:v>
      </x:c>
      <x:c r="H5">
        <x:v>1.0609999999999999</x:v>
      </x:c>
      <x:c r="I5">
        <x:v>1.0429999999999999</x:v>
      </x:c>
      <x:c r="L5">
        <x:v>1</x:v>
      </x:c>
      <x:c r="M5" s="4">
        <x:v>1985</x:v>
      </x:c>
      <x:c r="N5" t="n">
        <x:f>((('리그 투수'!E5/('리그 투수'!D5*3)+0.14))-(-1*((('리그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타자'!P5)))*(1/((((('리그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타자'!L5-'리그 타자'!N5+'리그 타자'!M5+'리그 타자'!F5))-(-1*((('리그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타자'!P5))))</x:f>
        <x:v>0.7078451112479501</x:v>
      </x:c>
      <x:c r="O5" t="n">
        <x:f>(((('리그 투수'!E5/('리그 투수'!D5*3)+0.14))+0.025)-(-1*((('리그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타자'!P5)))*(1/((((('리그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타자'!L5-'리그 타자'!N5+'리그 타자'!M5+'리그 타자'!F5))-(-1*((('리그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타자'!P5))))</x:f>
        <x:v>0.7429914700455579</x:v>
      </x:c>
      <x:c r="P5" t="n">
        <x:f>(((('리그 투수'!E5/('리그 투수'!D5*3)+0.14))+0.155)-(-1*((('리그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타자'!P5)))*(1/((((('리그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타자'!L5-'리그 타자'!N5+'리그 타자'!M5+'리그 타자'!F5))-(-1*((('리그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타자'!P5))))</x:f>
        <x:v>0.9257525357931177</x:v>
      </x:c>
      <x:c r="Q5" t="n">
        <x:f>((((('리그 투수'!E5/('리그 투수'!D5*3)+0.14))+0.155)+0.3)-(-1*((('리그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타자'!P5)))*(1/((((('리그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타자'!L5-'리그 타자'!N5+'리그 타자'!M5+'리그 타자'!F5))-(-1*((('리그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타자'!P5))))</x:f>
        <x:v>1.3475088413644098</x:v>
      </x:c>
      <x:c r="R5" t="n">
        <x:f>(((((('리그 투수'!E5/('리그 투수'!D5*3)+0.14))+0.155)+0.3)+0.27)-(-1*((('리그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타자'!P5)))*(1/((((('리그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타자'!L5-'리그 타자'!N5+'리그 타자'!M5+'리그 타자'!F5))-(-1*((('리그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타자'!P5))))</x:f>
        <x:v>1.727089516378573</x:v>
      </x:c>
      <x:c r="S5" t="n">
        <x:f>((1.4)-(-1*((('리그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타자'!P5)))*(1/((((('리그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타자'!L5-'리그 타자'!N5+'리그 타자'!M5+'리그 타자'!F5))-(-1*((('리그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타자'!P5))))</x:f>
        <x:v>2.2978745150537234</x:v>
      </x:c>
      <x:c r="T5" t="n">
        <x:f>1/((((('리그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타자'!L5-'리그 타자'!N5+'리그 타자'!M5+'리그 타자'!F5))-(-1*((('리그 투수'!E5/('리그 투수'!D5*3)+0.14))*('리그 타자'!L5-'리그 타자'!N5)+((('리그 투수'!E5/('리그 투수'!D5*3)+0.14))+0.025)*'리그 타자'!M5+((('리그 투수'!E5/('리그 투수'!D5*3)+0.14))+0.155)*('리그 타자'!F5-'리그 타자'!G5-'리그 타자'!H5-'리그 타자'!I5)+(((('리그 투수'!E5/('리그 투수'!D5*3)+0.14))+0.155)+0.3)*'리그 타자'!G5+((((('리그 투수'!E5/('리그 투수'!D5*3)+0.14))+0.155)+0.3)+0.27)*'리그 타자'!H5+(1.4)*'리그 타자'!I5)/('리그 타자'!D5-'리그 타자'!F5+'리그 타자'!P5)))</x:f>
        <x:v>1.4058543519043072</x:v>
      </x:c>
      <x:c r="U5" t="n">
        <x:f>1.5*('리그 투수'!R5+2)</x:f>
        <x:v>9.129471556129612</x:v>
      </x:c>
      <x:c r="V5" t="n">
        <x:f>((9*'리그 투수'!E5)-(Y5*'리그 투수'!K5)-(Z5*('리그 투수'!L5+'리그 투수'!M5-'리그 투수'!N5))-(AA5*'리그 투수'!O5))/'리그 투수'!D5</x:f>
        <x:v>2.41335991464031</x:v>
      </x:c>
      <x:c r="W5" t="n">
        <x:f>'리그 타자'!E5/'리그 타자'!C5</x:f>
        <x:v>0.10782156431286258</x:v>
      </x:c>
      <x:c r="X5" s="4">
        <x:v>1985</x:v>
      </x:c>
      <x:c r="Y5">
        <x:v>12</x:v>
      </x:c>
      <x:c r="Z5">
        <x:v>3.2</x:v>
      </x:c>
      <x:c r="AA5">
        <x:v>-2.5</x:v>
      </x:c>
      <x:c r="AB5">
        <x:v>0.2</x:v>
      </x:c>
      <x:c r="AC5">
        <x:v>0.4</x:v>
      </x:c>
      <x:c r="AD5">
        <x:v>0.60299999999999998</x:v>
      </x:c>
      <x:c r="AE5" t="s">
        <x:v>34</x:v>
      </x:c>
      <x:c r="AF5">
        <x:v>102</x:v>
      </x:c>
      <x:c r="AG5">
        <x:v>0.22</x:v>
      </x:c>
      <x:c r="AH5">
        <x:v>-1</x:v>
      </x:c>
    </x:row>
    <x:row r="6">
      <x:c r="A6" s="4">
        <x:v>1986</x:v>
      </x:c>
      <x:c r="B6">
        <x:v>0.96699999999999997</x:v>
      </x:c>
      <x:c r="D6">
        <x:v>1.129</x:v>
      </x:c>
      <x:c r="F6">
        <x:v>1.0589999999999999</x:v>
      </x:c>
      <x:c r="G6">
        <x:v>1.036</x:v>
      </x:c>
      <x:c r="H6">
        <x:v>1.0609999999999999</x:v>
      </x:c>
      <x:c r="I6">
        <x:v>1.087</x:v>
      </x:c>
      <x:c r="L6">
        <x:v>1</x:v>
      </x:c>
      <x:c r="M6" s="4">
        <x:v>1986</x:v>
      </x:c>
      <x:c r="N6" t="n">
        <x:f>((('리그 투수'!E6/('리그 투수'!D6*3)+0.14))-(-1*((('리그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타자'!P6)))*(1/((((('리그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타자'!L6-'리그 타자'!N6+'리그 타자'!M6+'리그 타자'!F6))-(-1*((('리그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타자'!P6))))</x:f>
        <x:v>0.7096828631947387</x:v>
      </x:c>
      <x:c r="O6" t="n">
        <x:f>(((('리그 투수'!E6/('리그 투수'!D6*3)+0.14))+0.025)-(-1*((('리그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타자'!P6)))*(1/((((('리그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타자'!L6-'리그 타자'!N6+'리그 타자'!M6+'리그 타자'!F6))-(-1*((('리그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타자'!P6))))</x:f>
        <x:v>0.7463954808988047</x:v>
      </x:c>
      <x:c r="P6" t="n">
        <x:f>(((('리그 투수'!E6/('리그 투수'!D6*3)+0.14))+0.155)-(-1*((('리그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타자'!P6)))*(1/((((('리그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타자'!L6-'리그 타자'!N6+'리그 타자'!M6+'리그 타자'!F6))-(-1*((('리그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타자'!P6))))</x:f>
        <x:v>0.937301092959948</x:v>
      </x:c>
      <x:c r="Q6" t="n">
        <x:f>((((('리그 투수'!E6/('리그 투수'!D6*3)+0.14))+0.155)+0.3)-(-1*((('리그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타자'!P6)))*(1/((((('리그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타자'!L6-'리그 타자'!N6+'리그 타자'!M6+'리그 타자'!F6))-(-1*((('리그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타자'!P6))))</x:f>
        <x:v>1.3778525054087405</x:v>
      </x:c>
      <x:c r="R6" t="n">
        <x:f>(((((('리그 투수'!E6/('리그 투수'!D6*3)+0.14))+0.155)+0.3)+0.27)-(-1*((('리그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타자'!P6)))*(1/((((('리그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타자'!L6-'리그 타자'!N6+'리그 타자'!M6+'리그 타자'!F6))-(-1*((('리그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타자'!P6))))</x:f>
        <x:v>1.7743487766126533</x:v>
      </x:c>
      <x:c r="S6" t="n">
        <x:f>((1.4)-(-1*((('리그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타자'!P6)))*(1/((((('리그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타자'!L6-'리그 타자'!N6+'리그 타자'!M6+'리그 타자'!F6))-(-1*((('리그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타자'!P6))))</x:f>
        <x:v>2.375465521290315</x:v>
      </x:c>
      <x:c r="T6" t="n">
        <x:f>1/((((('리그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타자'!L6-'리그 타자'!N6+'리그 타자'!M6+'리그 타자'!F6))-(-1*((('리그 투수'!E6/('리그 투수'!D6*3)+0.14))*('리그 타자'!L6-'리그 타자'!N6)+((('리그 투수'!E6/('리그 투수'!D6*3)+0.14))+0.025)*'리그 타자'!M6+((('리그 투수'!E6/('리그 투수'!D6*3)+0.14))+0.155)*('리그 타자'!F6-'리그 타자'!G6-'리그 타자'!H6-'리그 타자'!I6)+(((('리그 투수'!E6/('리그 투수'!D6*3)+0.14))+0.155)+0.3)*'리그 타자'!G6+((((('리그 투수'!E6/('리그 투수'!D6*3)+0.14))+0.155)+0.3)+0.27)*'리그 타자'!H6+(1.4)*'리그 타자'!I6)/('리그 타자'!D6-'리그 타자'!F6+'리그 타자'!P6)))</x:f>
        <x:v>1.468504708162641</x:v>
      </x:c>
      <x:c r="U6" t="n">
        <x:f>1.5*('리그 투수'!R6+2)</x:f>
        <x:v>9.063423578901952</x:v>
      </x:c>
      <x:c r="V6" t="n">
        <x:f>((9*'리그 투수'!E6)-(Y6*'리그 투수'!K6)-(Z6*('리그 투수'!L6+'리그 투수'!M6-'리그 투수'!N6))-(AA6*'리그 투수'!O6))/'리그 투수'!D6</x:f>
        <x:v>2.513078416567792</x:v>
      </x:c>
      <x:c r="W6" t="n">
        <x:f>'리그 타자'!E6/'리그 타자'!C6</x:f>
        <x:v>0.09787054012128049</x:v>
      </x:c>
      <x:c r="X6" s="4">
        <x:v>1986</x:v>
      </x:c>
      <x:c r="Y6">
        <x:v>12</x:v>
      </x:c>
      <x:c r="Z6">
        <x:v>3.2</x:v>
      </x:c>
      <x:c r="AA6">
        <x:v>-2.5</x:v>
      </x:c>
      <x:c r="AB6">
        <x:v>0.2</x:v>
      </x:c>
      <x:c r="AC6">
        <x:v>0.4</x:v>
      </x:c>
      <x:c r="AD6">
        <x:v>0.58099999999999996</x:v>
      </x:c>
      <x:c r="AE6" t="s">
        <x:v>35</x:v>
      </x:c>
      <x:c r="AF6">
        <x:v>80</x:v>
      </x:c>
      <x:c r="AG6">
        <x:v>2.77</x:v>
      </x:c>
      <x:c r="AH6">
        <x:v>7</x:v>
      </x:c>
    </x:row>
    <x:row r="7">
      <x:c r="A7" s="4">
        <x:v>1987</x:v>
      </x:c>
      <x:c r="B7">
        <x:v>0.97399999999999998</x:v>
      </x:c>
      <x:c r="D7">
        <x:v>1.0760000000000001</x:v>
      </x:c>
      <x:c r="F7">
        <x:v>1.089</x:v>
      </x:c>
      <x:c r="G7">
        <x:v>0.98699999999999999</x:v>
      </x:c>
      <x:c r="H7">
        <x:v>1.038</x:v>
      </x:c>
      <x:c r="I7">
        <x:v>1.089</x:v>
      </x:c>
      <x:c r="L7">
        <x:v>1</x:v>
      </x:c>
      <x:c r="M7" s="4">
        <x:v>1987</x:v>
      </x:c>
      <x:c r="N7" t="n">
        <x:f>((('리그 투수'!E7/('리그 투수'!D7*3)+0.14))-(-1*((('리그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타자'!P7)))*(1/((((('리그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타자'!L7-'리그 타자'!N7+'리그 타자'!M7+'리그 타자'!F7))-(-1*((('리그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타자'!P7))))</x:f>
        <x:v>0.7208166452080793</x:v>
      </x:c>
      <x:c r="O7" t="n">
        <x:f>(((('리그 투수'!E7/('리그 투수'!D7*3)+0.14))+0.025)-(-1*((('리그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타자'!P7)))*(1/((((('리그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타자'!L7-'리그 타자'!N7+'리그 타자'!M7+'리그 타자'!F7))-(-1*((('리그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타자'!P7))))</x:f>
        <x:v>0.75654421737597</x:v>
      </x:c>
      <x:c r="P7" t="n">
        <x:f>(((('리그 투수'!E7/('리그 투수'!D7*3)+0.14))+0.155)-(-1*((('리그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타자'!P7)))*(1/((((('리그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타자'!L7-'리그 타자'!N7+'리그 타자'!M7+'리그 타자'!F7))-(-1*((('리그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타자'!P7))))</x:f>
        <x:v>0.9423275926490012</x:v>
      </x:c>
      <x:c r="Q7" t="n">
        <x:f>((((('리그 투수'!E7/('리그 투수'!D7*3)+0.14))+0.155)+0.3)-(-1*((('리그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타자'!P7)))*(1/((((('리그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타자'!L7-'리그 타자'!N7+'리그 타자'!M7+'리그 타자'!F7))-(-1*((('리그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타자'!P7))))</x:f>
        <x:v>1.371058458663689</x:v>
      </x:c>
      <x:c r="R7" t="n">
        <x:f>(((((('리그 투수'!E7/('리그 투수'!D7*3)+0.14))+0.155)+0.3)+0.27)-(-1*((('리그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타자'!P7)))*(1/((((('리그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타자'!L7-'리그 타자'!N7+'리그 타자'!M7+'리그 타자'!F7))-(-1*((('리그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타자'!P7))))</x:f>
        <x:v>1.7569162380769077</x:v>
      </x:c>
      <x:c r="S7" t="n">
        <x:f>((1.4)-(-1*((('리그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타자'!P7)))*(1/((((('리그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타자'!L7-'리그 타자'!N7+'리그 타자'!M7+'리그 타자'!F7))-(-1*((('리그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타자'!P7))))</x:f>
        <x:v>2.333767230637489</x:v>
      </x:c>
      <x:c r="T7" t="n">
        <x:f>1/((((('리그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타자'!L7-'리그 타자'!N7+'리그 타자'!M7+'리그 타자'!F7))-(-1*((('리그 투수'!E7/('리그 투수'!D7*3)+0.14))*('리그 타자'!L7-'리그 타자'!N7)+((('리그 투수'!E7/('리그 투수'!D7*3)+0.14))+0.025)*'리그 타자'!M7+((('리그 투수'!E7/('리그 투수'!D7*3)+0.14))+0.155)*('리그 타자'!F7-'리그 타자'!G7-'리그 타자'!H7-'리그 타자'!I7)+(((('리그 투수'!E7/('리그 투수'!D7*3)+0.14))+0.155)+0.3)*'리그 타자'!G7+((((('리그 투수'!E7/('리그 투수'!D7*3)+0.14))+0.155)+0.3)+0.27)*'리그 타자'!H7+(1.4)*'리그 타자'!I7)/('리그 타자'!D7-'리그 타자'!F7+'리그 타자'!P7)))</x:f>
        <x:v>1.429102886715625</x:v>
      </x:c>
      <x:c r="U7" t="n">
        <x:f>1.5*('리그 투수'!R7+2)</x:f>
        <x:v>9.03476159952665</x:v>
      </x:c>
      <x:c r="V7" t="n">
        <x:f>((9*'리그 투수'!E7)-(Y7*'리그 투수'!K7)-(Z7*('리그 투수'!L7+'리그 투수'!M7-'리그 투수'!N7))-(AA7*'리그 투수'!O7))/'리그 투수'!D7</x:f>
        <x:v>2.6526058872836646</x:v>
      </x:c>
      <x:c r="W7" t="n">
        <x:f>'리그 타자'!E7/'리그 타자'!C7</x:f>
        <x:v>0.10578639689151818</x:v>
      </x:c>
      <x:c r="X7" s="4">
        <x:v>1987</x:v>
      </x:c>
      <x:c r="Y7">
        <x:v>12</x:v>
      </x:c>
      <x:c r="Z7">
        <x:v>3.2</x:v>
      </x:c>
      <x:c r="AA7">
        <x:v>-2.5</x:v>
      </x:c>
      <x:c r="AB7">
        <x:v>0.2</x:v>
      </x:c>
      <x:c r="AC7">
        <x:v>0.4</x:v>
      </x:c>
      <x:c r="AD7">
        <x:v>0.61499999999999999</x:v>
      </x:c>
      <x:c r="AE7" t="s">
        <x:v>36</x:v>
      </x:c>
      <x:c r="AF7">
        <x:v>108</x:v>
      </x:c>
      <x:c r="AG7">
        <x:v>-5.5</x:v>
      </x:c>
      <x:c r="AH7">
        <x:v>-5</x:v>
      </x:c>
    </x:row>
    <x:row r="8">
      <x:c r="A8" s="4">
        <x:v>1988</x:v>
      </x:c>
      <x:c r="B8">
        <x:v>0.96299999999999997</x:v>
      </x:c>
      <x:c r="D8">
        <x:v>1.1100000000000001</x:v>
      </x:c>
      <x:c r="F8">
        <x:v>1.1040000000000001</x:v>
      </x:c>
      <x:c r="G8">
        <x:v>0.95499999999999996</x:v>
      </x:c>
      <x:c r="H8">
        <x:v>1.016</x:v>
      </x:c>
      <x:c r="I8">
        <x:v>1.0580000000000001</x:v>
      </x:c>
      <x:c r="L8">
        <x:v>1</x:v>
      </x:c>
      <x:c r="M8" s="4">
        <x:v>1988</x:v>
      </x:c>
      <x:c r="N8" t="n">
        <x:f>((('리그 투수'!E8/('리그 투수'!D8*3)+0.14))-(-1*((('리그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타자'!P8)))*(1/((((('리그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타자'!L8-'리그 타자'!N8+'리그 타자'!M8+'리그 타자'!F8))-(-1*((('리그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타자'!P8))))</x:f>
        <x:v>0.7182891819711604</x:v>
      </x:c>
      <x:c r="O8" t="n">
        <x:f>(((('리그 투수'!E8/('리그 투수'!D8*3)+0.14))+0.025)-(-1*((('리그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타자'!P8)))*(1/((((('리그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타자'!L8-'리그 타자'!N8+'리그 타자'!M8+'리그 타자'!F8))-(-1*((('리그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타자'!P8))))</x:f>
        <x:v>0.7525443804354528</x:v>
      </x:c>
      <x:c r="P8" t="n">
        <x:f>(((('리그 투수'!E8/('리그 투수'!D8*3)+0.14))+0.155)-(-1*((('리그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타자'!P8)))*(1/((((('리그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타자'!L8-'리그 타자'!N8+'리그 타자'!M8+'리그 타자'!F8))-(-1*((('리그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타자'!P8))))</x:f>
        <x:v>0.9306714124497727</x:v>
      </x:c>
      <x:c r="Q8" t="n">
        <x:f>((((('리그 투수'!E8/('리그 투수'!D8*3)+0.14))+0.155)+0.3)-(-1*((('리그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타자'!P8)))*(1/((((('리그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타자'!L8-'리그 타자'!N8+'리그 타자'!M8+'리그 타자'!F8))-(-1*((('리그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타자'!P8))))</x:f>
        <x:v>1.3417337940212801</x:v>
      </x:c>
      <x:c r="R8" t="n">
        <x:f>(((((('리그 투수'!E8/('리그 투수'!D8*3)+0.14))+0.155)+0.3)+0.27)-(-1*((('리그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타자'!P8)))*(1/((((('리그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타자'!L8-'리그 타자'!N8+'리그 타자'!M8+'리그 타자'!F8))-(-1*((('리그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타자'!P8))))</x:f>
        <x:v>1.711689937435637</x:v>
      </x:c>
      <x:c r="S8" t="n">
        <x:f>((1.4)-(-1*((('리그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타자'!P8)))*(1/((((('리그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타자'!L8-'리그 타자'!N8+'리그 타자'!M8+'리그 타자'!F8))-(-1*((('리그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타자'!P8))))</x:f>
        <x:v>2.2513745187418706</x:v>
      </x:c>
      <x:c r="T8" t="n">
        <x:f>1/((((('리그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타자'!L8-'리그 타자'!N8+'리그 타자'!M8+'리그 타자'!F8))-(-1*((('리그 투수'!E8/('리그 투수'!D8*3)+0.14))*('리그 타자'!L8-'리그 타자'!N8)+((('리그 투수'!E8/('리그 투수'!D8*3)+0.14))+0.025)*'리그 타자'!M8+((('리그 투수'!E8/('리그 투수'!D8*3)+0.14))+0.155)*('리그 타자'!F8-'리그 타자'!G8-'리그 타자'!H8-'리그 타자'!I8)+(((('리그 투수'!E8/('리그 투수'!D8*3)+0.14))+0.155)+0.3)*'리그 타자'!G8+((((('리그 투수'!E8/('리그 투수'!D8*3)+0.14))+0.155)+0.3)+0.27)*'리그 타자'!H8+(1.4)*'리그 타자'!I8)/('리그 타자'!D8-'리그 타자'!F8+'리그 타자'!P8)))</x:f>
        <x:v>1.3702079385716917</x:v>
      </x:c>
      <x:c r="U8" t="n">
        <x:f>1.5*('리그 투수'!R8+2)</x:f>
        <x:v>9.441455227564418</x:v>
      </x:c>
      <x:c r="V8" t="n">
        <x:f>((9*'리그 투수'!E8)-(Y8*'리그 투수'!K8)-(Z8*('리그 투수'!L8+'리그 투수'!M8-'리그 투수'!N8))-(AA8*'리그 투수'!O8))/'리그 투수'!D8</x:f>
        <x:v>2.79037910948761</x:v>
      </x:c>
      <x:c r="W8" t="n">
        <x:f>'리그 타자'!E8/'리그 타자'!C8</x:f>
        <x:v>0.11244110975396963</x:v>
      </x:c>
      <x:c r="X8" s="4">
        <x:v>1988</x:v>
      </x:c>
      <x:c r="Y8">
        <x:v>12</x:v>
      </x:c>
      <x:c r="Z8">
        <x:v>3.1999999999999997</x:v>
      </x:c>
      <x:c r="AA8">
        <x:v>-2.5</x:v>
      </x:c>
      <x:c r="AB8">
        <x:v>0.2</x:v>
      </x:c>
      <x:c r="AC8">
        <x:v>0.4</x:v>
      </x:c>
      <x:c r="AD8">
        <x:v>0.65100000000000002</x:v>
      </x:c>
      <x:c r="AE8" t="s">
        <x:v>37</x:v>
      </x:c>
      <x:c r="AF8">
        <x:v>95</x:v>
      </x:c>
      <x:c r="AG8">
        <x:v>2.2200000000000002</x:v>
      </x:c>
      <x:c r="AH8">
        <x:v>3</x:v>
      </x:c>
    </x:row>
    <x:row r="9">
      <x:c r="A9" s="4">
        <x:v>1989</x:v>
      </x:c>
      <x:c r="B9">
        <x:v>0.90800000000000003</x:v>
      </x:c>
      <x:c r="D9">
        <x:v>0.96699999999999997</x:v>
      </x:c>
      <x:c r="F9">
        <x:v>1.1479999999999999</x:v>
      </x:c>
      <x:c r="G9">
        <x:v>0.96599999999999997</x:v>
      </x:c>
      <x:c r="H9">
        <x:v>1.089</x:v>
      </x:c>
      <x:c r="I9">
        <x:v>1.1020000000000001</x:v>
      </x:c>
      <x:c r="L9">
        <x:v>1</x:v>
      </x:c>
      <x:c r="M9" s="4">
        <x:v>1989</x:v>
      </x:c>
      <x:c r="N9" t="n">
        <x:f>((('리그 투수'!E9/('리그 투수'!D9*3)+0.14))-(-1*((('리그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타자'!P9)))*(1/((((('리그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타자'!L9-'리그 타자'!N9+'리그 타자'!M9+'리그 타자'!F9))-(-1*((('리그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타자'!P9))))</x:f>
        <x:v>0.7279497734782047</x:v>
      </x:c>
      <x:c r="O9" t="n">
        <x:f>(((('리그 투수'!E9/('리그 투수'!D9*3)+0.14))+0.025)-(-1*((('리그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타자'!P9)))*(1/((((('리그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타자'!L9-'리그 타자'!N9+'리그 타자'!M9+'리그 타자'!F9))-(-1*((('리그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타자'!P9))))</x:f>
        <x:v>0.7634087309514487</x:v>
      </x:c>
      <x:c r="P9" t="n">
        <x:f>(((('리그 투수'!E9/('리그 투수'!D9*3)+0.14))+0.155)-(-1*((('리그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타자'!P9)))*(1/((((('리그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타자'!L9-'리그 타자'!N9+'리그 타자'!M9+'리그 타자'!F9))-(-1*((('리그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타자'!P9))))</x:f>
        <x:v>0.9477953098123176</x:v>
      </x:c>
      <x:c r="Q9" t="n">
        <x:f>((((('리그 투수'!E9/('리그 투수'!D9*3)+0.14))+0.155)+0.3)-(-1*((('리그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타자'!P9)))*(1/((((('리그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타자'!L9-'리그 타자'!N9+'리그 타자'!M9+'리그 타자'!F9))-(-1*((('리그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타자'!P9))))</x:f>
        <x:v>1.373302799491246</x:v>
      </x:c>
      <x:c r="R9" t="n">
        <x:f>(((((('리그 투수'!E9/('리그 투수'!D9*3)+0.14))+0.155)+0.3)+0.27)-(-1*((('리그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타자'!P9)))*(1/((((('리그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타자'!L9-'리그 타자'!N9+'리그 타자'!M9+'리그 타자'!F9))-(-1*((('리그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타자'!P9))))</x:f>
        <x:v>1.7562595402022814</x:v>
      </x:c>
      <x:c r="S9" t="n">
        <x:f>((1.4)-(-1*((('리그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타자'!P9)))*(1/((((('리그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타자'!L9-'리그 타자'!N9+'리그 타자'!M9+'리그 타자'!F9))-(-1*((('리그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타자'!P9))))</x:f>
        <x:v>2.319066849761634</x:v>
      </x:c>
      <x:c r="T9" t="n">
        <x:f>1/((((('리그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타자'!L9-'리그 타자'!N9+'리그 타자'!M9+'리그 타자'!F9))-(-1*((('리그 투수'!E9/('리그 투수'!D9*3)+0.14))*('리그 타자'!L9-'리그 타자'!N9)+((('리그 투수'!E9/('리그 투수'!D9*3)+0.14))+0.025)*'리그 타자'!M9+((('리그 투수'!E9/('리그 투수'!D9*3)+0.14))+0.155)*('리그 타자'!F9-'리그 타자'!G9-'리그 타자'!H9-'리그 타자'!I9)+(((('리그 투수'!E9/('리그 투수'!D9*3)+0.14))+0.155)+0.3)*'리그 타자'!G9+((((('리그 투수'!E9/('리그 투수'!D9*3)+0.14))+0.155)+0.3)+0.27)*'리그 타자'!H9+(1.4)*'리그 타자'!I9)/('리그 타자'!D9-'리그 타자'!F9+'리그 타자'!P9)))</x:f>
        <x:v>1.4183582989297612</x:v>
      </x:c>
      <x:c r="U9" t="n">
        <x:f>1.5*('리그 투수'!R9+2)</x:f>
        <x:v>9.326444818125498</x:v>
      </x:c>
      <x:c r="V9" t="n">
        <x:f>((9*'리그 투수'!E9)-(Y9*'리그 투수'!K9)-(Z9*('리그 투수'!L9+'리그 투수'!M9-'리그 투수'!N9))-(AA9*'리그 투수'!O9))/'리그 투수'!D9</x:f>
        <x:v>2.849123816266926</x:v>
      </x:c>
      <x:c r="W9" t="n">
        <x:f>'리그 타자'!E9/'리그 타자'!C9</x:f>
        <x:v>0.11020917889478614</x:v>
      </x:c>
      <x:c r="X9" s="4">
        <x:v>1989</x:v>
      </x:c>
      <x:c r="Y9">
        <x:v>12</x:v>
      </x:c>
      <x:c r="Z9">
        <x:v>3.1999999999999997</x:v>
      </x:c>
      <x:c r="AA9">
        <x:v>-2.5</x:v>
      </x:c>
      <x:c r="AB9">
        <x:v>0.2</x:v>
      </x:c>
      <x:c r="AC9">
        <x:v>0.4</x:v>
      </x:c>
      <x:c r="AD9">
        <x:v>0.64400000000000002</x:v>
      </x:c>
      <x:c r="AE9" t="s">
        <x:v>38</x:v>
      </x:c>
      <x:c r="AF9">
        <x:v>105</x:v>
      </x:c>
      <x:c r="AG9">
        <x:v>-4.7699999999999996</x:v>
      </x:c>
      <x:c r="AH9">
        <x:v>-5</x:v>
      </x:c>
    </x:row>
    <x:row r="10">
      <x:c r="A10" s="4">
        <x:v>1990</x:v>
      </x:c>
      <x:c r="B10">
        <x:v>0.90700000000000003</x:v>
      </x:c>
      <x:c r="D10">
        <x:v>0.96099999999999997</x:v>
      </x:c>
      <x:c r="F10">
        <x:v>1.0760000000000001</x:v>
      </x:c>
      <x:c r="G10">
        <x:v>1.002</x:v>
      </x:c>
      <x:c r="H10">
        <x:v>1.091</x:v>
      </x:c>
      <x:c r="I10">
        <x:v>1.101</x:v>
      </x:c>
      <x:c r="L10">
        <x:v>1</x:v>
      </x:c>
      <x:c r="M10" s="4">
        <x:v>1990</x:v>
      </x:c>
      <x:c r="N10" t="n">
        <x:f>((('리그 투수'!E10/('리그 투수'!D10*3)+0.14))-(-1*((('리그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타자'!P10)))*(1/((((('리그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타자'!L10-'리그 타자'!N10+'리그 타자'!M10+'리그 타자'!F10))-(-1*((('리그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타자'!P10))))</x:f>
        <x:v>0.7268068216535286</x:v>
      </x:c>
      <x:c r="O10" t="n">
        <x:f>(((('리그 투수'!E10/('리그 투수'!D10*3)+0.14))+0.025)-(-1*((('리그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타자'!P10)))*(1/((((('리그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타자'!L10-'리그 타자'!N10+'리그 타자'!M10+'리그 타자'!F10))-(-1*((('리그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타자'!P10))))</x:f>
        <x:v>0.7612920796831301</x:v>
      </x:c>
      <x:c r="P10" t="n">
        <x:f>(((('리그 투수'!E10/('리그 투수'!D10*3)+0.14))+0.155)-(-1*((('리그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타자'!P10)))*(1/((((('리그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타자'!L10-'리그 타자'!N10+'리그 타자'!M10+'리그 타자'!F10))-(-1*((('리그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타자'!P10))))</x:f>
        <x:v>0.9406154214370579</x:v>
      </x:c>
      <x:c r="Q10" t="n">
        <x:f>((((('리그 투수'!E10/('리그 투수'!D10*3)+0.14))+0.155)+0.3)-(-1*((('리그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타자'!P10)))*(1/((((('리그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타자'!L10-'리그 타자'!N10+'리그 타자'!M10+'리그 타자'!F10))-(-1*((('리그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타자'!P10))))</x:f>
        <x:v>1.3544385177922755</x:v>
      </x:c>
      <x:c r="R10" t="n">
        <x:f>(((((('리그 투수'!E10/('리그 투수'!D10*3)+0.14))+0.155)+0.3)+0.27)-(-1*((('리그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타자'!P10)))*(1/((((('리그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타자'!L10-'리그 타자'!N10+'리그 타자'!M10+'리그 타자'!F10))-(-1*((('리그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타자'!P10))))</x:f>
        <x:v>1.7268793045119717</x:v>
      </x:c>
      <x:c r="S10" t="n">
        <x:f>((1.4)-(-1*((('리그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타자'!P10)))*(1/((((('리그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타자'!L10-'리그 타자'!N10+'리그 타자'!M10+'리그 타자'!F10))-(-1*((('리그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타자'!P10))))</x:f>
        <x:v>2.2669383052334933</x:v>
      </x:c>
      <x:c r="T10" t="n">
        <x:f>1/((((('리그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타자'!L10-'리그 타자'!N10+'리그 타자'!M10+'리그 타자'!F10))-(-1*((('리그 투수'!E10/('리그 투수'!D10*3)+0.14))*('리그 타자'!L10-'리그 타자'!N10)+((('리그 투수'!E10/('리그 투수'!D10*3)+0.14))+0.025)*'리그 타자'!M10+((('리그 투수'!E10/('리그 투수'!D10*3)+0.14))+0.155)*('리그 타자'!F10-'리그 타자'!G10-'리그 타자'!H10-'리그 타자'!I10)+(((('리그 투수'!E10/('리그 투수'!D10*3)+0.14))+0.155)+0.3)*'리그 타자'!G10+((((('리그 투수'!E10/('리그 투수'!D10*3)+0.14))+0.155)+0.3)+0.27)*'리그 타자'!H10+(1.4)*'리그 타자'!I10)/('리그 타자'!D10-'리그 타자'!F10+'리그 타자'!P10)))</x:f>
        <x:v>1.3794103211840596</x:v>
      </x:c>
      <x:c r="U10" t="n">
        <x:f>1.5*('리그 투수'!R10+2)</x:f>
        <x:v>9.62102292925702</x:v>
      </x:c>
      <x:c r="V10" t="n">
        <x:f>((9*'리그 투수'!E10)-(Y10*'리그 투수'!K10)-(Z10*('리그 투수'!L10+'리그 투수'!M10-'리그 투수'!N10))-(AA10*'리그 투수'!O10))/'리그 투수'!D10</x:f>
        <x:v>2.8079674724493424</x:v>
      </x:c>
      <x:c r="W10" t="n">
        <x:f>'리그 타자'!E10/'리그 타자'!C10</x:f>
        <x:v>0.11510903914145365</x:v>
      </x:c>
      <x:c r="X10" s="4">
        <x:v>1990</x:v>
      </x:c>
      <x:c r="Y10">
        <x:v>12</x:v>
      </x:c>
      <x:c r="Z10">
        <x:v>3.1999999999999997</x:v>
      </x:c>
      <x:c r="AA10">
        <x:v>-2.5</x:v>
      </x:c>
      <x:c r="AB10">
        <x:v>0.2</x:v>
      </x:c>
      <x:c r="AC10">
        <x:v>0.4</x:v>
      </x:c>
      <x:c r="AD10">
        <x:v>0.61899999999999999</x:v>
      </x:c>
      <x:c r="AE10" t="s">
        <x:v>39</x:v>
      </x:c>
      <x:c r="AF10">
        <x:v>117</x:v>
      </x:c>
      <x:c r="AG10">
        <x:v>-12.5</x:v>
      </x:c>
      <x:c r="AH10">
        <x:v>-15</x:v>
      </x:c>
    </x:row>
    <x:row r="11">
      <x:c r="A11" s="4">
        <x:v>1991</x:v>
      </x:c>
      <x:c r="B11">
        <x:v>0.91300000000000003</x:v>
      </x:c>
      <x:c r="D11">
        <x:v>0.99099999999999999</x:v>
      </x:c>
      <x:c r="F11">
        <x:v>0.97799999999999998</x:v>
      </x:c>
      <x:c r="G11">
        <x:v>1.0129999999999999</x:v>
      </x:c>
      <x:c r="H11">
        <x:v>1.069</x:v>
      </x:c>
      <x:c r="I11">
        <x:v>1.115</x:v>
      </x:c>
      <x:c r="K11">
        <x:v>1.0820000000000001</x:v>
      </x:c>
      <x:c r="L11">
        <x:v>1</x:v>
      </x:c>
      <x:c r="M11" s="4">
        <x:v>1991</x:v>
      </x:c>
      <x:c r="N11" t="n">
        <x:f>((('리그 투수'!E11/('리그 투수'!D11*3)+0.14))-(-1*((('리그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타자'!P11)))*(1/((((('리그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타자'!L11-'리그 타자'!N11+'리그 타자'!M11+'리그 타자'!F11))-(-1*((('리그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타자'!P11))))</x:f>
        <x:v>0.7194157651864573</x:v>
      </x:c>
      <x:c r="O11" t="n">
        <x:f>(((('리그 투수'!E11/('리그 투수'!D11*3)+0.14))+0.025)-(-1*((('리그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타자'!P11)))*(1/((((('리그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타자'!L11-'리그 타자'!N11+'리그 타자'!M11+'리그 타자'!F11))-(-1*((('리그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타자'!P11))))</x:f>
        <x:v>0.7530340812474882</x:v>
      </x:c>
      <x:c r="P11" t="n">
        <x:f>(((('리그 투수'!E11/('리그 투수'!D11*3)+0.14))+0.155)-(-1*((('리그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타자'!P11)))*(1/((((('리그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타자'!L11-'리그 타자'!N11+'리그 타자'!M11+'리그 타자'!F11))-(-1*((('리그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타자'!P11))))</x:f>
        <x:v>0.927849324764849</x:v>
      </x:c>
      <x:c r="Q11" t="n">
        <x:f>((((('리그 투수'!E11/('리그 투수'!D11*3)+0.14))+0.155)+0.3)-(-1*((('리그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타자'!P11)))*(1/((((('리그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타자'!L11-'리그 타자'!N11+'리그 타자'!M11+'리그 타자'!F11))-(-1*((('리그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타자'!P11))))</x:f>
        <x:v>1.33126911749722</x:v>
      </x:c>
      <x:c r="R11" t="n">
        <x:f>(((((('리그 투수'!E11/('리그 투수'!D11*3)+0.14))+0.155)+0.3)+0.27)-(-1*((('리그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타자'!P11)))*(1/((((('리그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타자'!L11-'리그 타자'!N11+'리그 타자'!M11+'리그 타자'!F11))-(-1*((('리그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타자'!P11))))</x:f>
        <x:v>1.6943469309563541</x:v>
      </x:c>
      <x:c r="S11" t="n">
        <x:f>((1.4)-(-1*((('리그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타자'!P11)))*(1/((((('리그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타자'!L11-'리그 타자'!N11+'리그 타자'!M11+'리그 타자'!F11))-(-1*((('리그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타자'!P11))))</x:f>
        <x:v>2.215683175591682</x:v>
      </x:c>
      <x:c r="T11" t="n">
        <x:f>1/((((('리그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타자'!L11-'리그 타자'!N11+'리그 타자'!M11+'리그 타자'!F11))-(-1*((('리그 투수'!E11/('리그 투수'!D11*3)+0.14))*('리그 타자'!L11-'리그 타자'!N11)+((('리그 투수'!E11/('리그 투수'!D11*3)+0.14))+0.025)*'리그 타자'!M11+((('리그 투수'!E11/('리그 투수'!D11*3)+0.14))+0.155)*('리그 타자'!F11-'리그 타자'!G11-'리그 타자'!H11-'리그 타자'!I11)+(((('리그 투수'!E11/('리그 투수'!D11*3)+0.14))+0.155)+0.3)*'리그 타자'!G11+((((('리그 투수'!E11/('리그 투수'!D11*3)+0.14))+0.155)+0.3)+0.27)*'리그 타자'!H11+(1.4)*'리그 타자'!I11)/('리그 타자'!D11-'리그 타자'!F11+'리그 타자'!P11)))</x:f>
        <x:v>1.3447326424412371</x:v>
      </x:c>
      <x:c r="U11" t="n">
        <x:f>1.5*('리그 투수'!R11+2)</x:f>
        <x:v>9.647867263512264</x:v>
      </x:c>
      <x:c r="V11" t="n">
        <x:f>((9*'리그 투수'!E11)-(Y11*'리그 투수'!K11)-(Z11*('리그 투수'!L11+'리그 투수'!M11-'리그 투수'!N11))-(AA11*'리그 투수'!O11))/'리그 투수'!D11</x:f>
        <x:v>2.9613332840072504</x:v>
      </x:c>
      <x:c r="W11" t="n">
        <x:f>'리그 타자'!E11/'리그 타자'!C11</x:f>
        <x:v>0.11587276715763084</x:v>
      </x:c>
      <x:c r="X11" s="4">
        <x:v>1991</x:v>
      </x:c>
      <x:c r="Y11">
        <x:v>12</x:v>
      </x:c>
      <x:c r="Z11">
        <x:v>3.1999999999999997</x:v>
      </x:c>
      <x:c r="AA11">
        <x:v>-2.5</x:v>
      </x:c>
      <x:c r="AB11">
        <x:v>0.2</x:v>
      </x:c>
      <x:c r="AC11">
        <x:v>0.4</x:v>
      </x:c>
      <x:c r="AD11">
        <x:v>0.622</x:v>
      </x:c>
      <x:c r="AE11" t="s">
        <x:v>40</x:v>
      </x:c>
      <x:c r="AF11">
        <x:v>120</x:v>
      </x:c>
    </x:row>
    <x:row r="12">
      <x:c r="A12" s="4">
        <x:v>1992</x:v>
      </x:c>
      <x:c r="B12">
        <x:v>0.90500000000000003</x:v>
      </x:c>
      <x:c r="D12">
        <x:v>1.0129999999999999</x:v>
      </x:c>
      <x:c r="F12">
        <x:v>0.99099999999999999</x:v>
      </x:c>
      <x:c r="G12">
        <x:v>1.0620000000000001</x:v>
      </x:c>
      <x:c r="H12">
        <x:v>1.052</x:v>
      </x:c>
      <x:c r="I12">
        <x:v>1.1140000000000001</x:v>
      </x:c>
      <x:c r="K12">
        <x:v>1.0780000000000001</x:v>
      </x:c>
      <x:c r="L12">
        <x:v>1</x:v>
      </x:c>
      <x:c r="M12" s="4">
        <x:v>1992</x:v>
      </x:c>
      <x:c r="N12" t="n">
        <x:f>((('리그 투수'!E12/('리그 투수'!D12*3)+0.14))-(-1*((('리그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타자'!P12)))*(1/((((('리그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타자'!L12-'리그 타자'!N12+'리그 타자'!M12+'리그 타자'!F12))-(-1*((('리그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타자'!P12))))</x:f>
        <x:v>0.726377756616147</x:v>
      </x:c>
      <x:c r="O12" t="n">
        <x:f>(((('리그 투수'!E12/('리그 투수'!D12*3)+0.14))+0.025)-(-1*((('리그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타자'!P12)))*(1/((((('리그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타자'!L12-'리그 타자'!N12+'리그 타자'!M12+'리그 타자'!F12))-(-1*((('리그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타자'!P12))))</x:f>
        <x:v>0.7583457093377146</x:v>
      </x:c>
      <x:c r="P12" t="n">
        <x:f>(((('리그 투수'!E12/('리그 투수'!D12*3)+0.14))+0.155)-(-1*((('리그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타자'!P12)))*(1/((((('리그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타자'!L12-'리그 타자'!N12+'리그 타자'!M12+'리그 타자'!F12))-(-1*((('리그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타자'!P12))))</x:f>
        <x:v>0.9245790634898655</x:v>
      </x:c>
      <x:c r="Q12" t="n">
        <x:f>((((('리그 투수'!E12/('리그 투수'!D12*3)+0.14))+0.155)+0.3)-(-1*((('리그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타자'!P12)))*(1/((((('리그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타자'!L12-'리그 타자'!N12+'리그 타자'!M12+'리그 타자'!F12))-(-1*((('리그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타자'!P12))))</x:f>
        <x:v>1.3081944961486756</x:v>
      </x:c>
      <x:c r="R12" t="n">
        <x:f>(((((('리그 투수'!E12/('리그 투수'!D12*3)+0.14))+0.155)+0.3)+0.27)-(-1*((('리그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타자'!P12)))*(1/((((('리그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타자'!L12-'리그 타자'!N12+'리그 타자'!M12+'리그 타자'!F12))-(-1*((('리그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타자'!P12))))</x:f>
        <x:v>1.6534483855416047</x:v>
      </x:c>
      <x:c r="S12" t="n">
        <x:f>((1.4)-(-1*((('리그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타자'!P12)))*(1/((((('리그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타자'!L12-'리그 타자'!N12+'리그 타자'!M12+'리그 타자'!F12))-(-1*((('리그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타자'!P12))))</x:f>
        <x:v>2.133158708015367</x:v>
      </x:c>
      <x:c r="T12" t="n">
        <x:f>1/((((('리그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타자'!L12-'리그 타자'!N12+'리그 타자'!M12+'리그 타자'!F12))-(-1*((('리그 투수'!E12/('리그 투수'!D12*3)+0.14))*('리그 타자'!L12-'리그 타자'!N12)+((('리그 투수'!E12/('리그 투수'!D12*3)+0.14))+0.025)*'리그 타자'!M12+((('리그 투수'!E12/('리그 투수'!D12*3)+0.14))+0.155)*('리그 타자'!F12-'리그 타자'!G12-'리그 타자'!H12-'리그 타자'!I12)+(((('리그 투수'!E12/('리그 투수'!D12*3)+0.14))+0.155)+0.3)*'리그 타자'!G12+((((('리그 투수'!E12/('리그 투수'!D12*3)+0.14))+0.155)+0.3)+0.27)*'리그 타자'!H12+(1.4)*'리그 타자'!I12)/('리그 타자'!D12-'리그 타자'!F12+'리그 타자'!P12)))</x:f>
        <x:v>1.2787181088627</x:v>
      </x:c>
      <x:c r="U12" t="n">
        <x:f>1.5*('리그 투수'!R12+2)</x:f>
        <x:v>10.262016806722688</x:v>
      </x:c>
      <x:c r="V12" t="n">
        <x:f>((9*'리그 투수'!E12)-(Y12*'리그 투수'!K12)-(Z12*('리그 투수'!L12+'리그 투수'!M12-'리그 투수'!N12))-(AA12*'리그 투수'!O12))/'리그 투수'!D12</x:f>
        <x:v>3.06618487394958</x:v>
      </x:c>
      <x:c r="W12" t="n">
        <x:f>'리그 타자'!E12/'리그 타자'!C12</x:f>
        <x:v>0.12374668144444158</x:v>
      </x:c>
      <x:c r="X12" s="4">
        <x:v>1992</x:v>
      </x:c>
      <x:c r="Y12">
        <x:v>12</x:v>
      </x:c>
      <x:c r="Z12">
        <x:v>3.1999999999999997</x:v>
      </x:c>
      <x:c r="AA12">
        <x:v>-2.5</x:v>
      </x:c>
      <x:c r="AB12">
        <x:v>0.2</x:v>
      </x:c>
      <x:c r="AC12">
        <x:v>0.4</x:v>
      </x:c>
      <x:c r="AD12">
        <x:v>0.65400000000000003</x:v>
      </x:c>
      <x:c r="AE12" t="s">
        <x:v>41</x:v>
      </x:c>
      <x:c r="AF12">
        <x:v>100</x:v>
      </x:c>
      <x:c r="AG12">
        <x:v>0</x:v>
      </x:c>
      <x:c r="AH12">
        <x:v>0</x:v>
      </x:c>
    </x:row>
    <x:row r="13">
      <x:c r="A13" s="4">
        <x:v>1993</x:v>
      </x:c>
      <x:c r="B13">
        <x:v>0.91300000000000003</x:v>
      </x:c>
      <x:c r="D13">
        <x:v>1.0409999999999999</x:v>
      </x:c>
      <x:c r="F13">
        <x:v>0.99299999999999999</x:v>
      </x:c>
      <x:c r="G13">
        <x:v>1.073</x:v>
      </x:c>
      <x:c r="H13">
        <x:v>1.0469999999999999</x:v>
      </x:c>
      <x:c r="I13">
        <x:v>1.111</x:v>
      </x:c>
      <x:c r="K13">
        <x:v>1.0509999999999999</x:v>
      </x:c>
      <x:c r="L13">
        <x:v>1</x:v>
      </x:c>
      <x:c r="M13" s="4">
        <x:v>1993</x:v>
      </x:c>
      <x:c r="N13" t="n">
        <x:f>((('리그 투수'!E13/('리그 투수'!D13*3)+0.14))-(-1*((('리그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타자'!P13)))*(1/((((('리그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타자'!L13-'리그 타자'!N13+'리그 타자'!M13+'리그 타자'!F13))-(-1*((('리그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타자'!P13))))</x:f>
        <x:v>0.7059274940720212</x:v>
      </x:c>
      <x:c r="O13" t="n">
        <x:f>(((('리그 투수'!E13/('리그 투수'!D13*3)+0.14))+0.025)-(-1*((('리그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타자'!P13)))*(1/((((('리그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타자'!L13-'리그 타자'!N13+'리그 타자'!M13+'리그 타자'!F13))-(-1*((('리그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타자'!P13))))</x:f>
        <x:v>0.7430662826641111</x:v>
      </x:c>
      <x:c r="P13" t="n">
        <x:f>(((('리그 투수'!E13/('리그 투수'!D13*3)+0.14))+0.155)-(-1*((('리그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타자'!P13)))*(1/((((('리그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타자'!L13-'리그 타자'!N13+'리그 타자'!M13+'리그 타자'!F13))-(-1*((('리그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타자'!P13))))</x:f>
        <x:v>0.9361879833429784</x:v>
      </x:c>
      <x:c r="Q13" t="n">
        <x:f>((((('리그 투수'!E13/('리그 투수'!D13*3)+0.14))+0.155)+0.3)-(-1*((('리그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타자'!P13)))*(1/((((('리그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타자'!L13-'리그 타자'!N13+'리그 타자'!M13+'리그 타자'!F13))-(-1*((('리그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타자'!P13))))</x:f>
        <x:v>1.3818534464480565</x:v>
      </x:c>
      <x:c r="R13" t="n">
        <x:f>(((((('리그 투수'!E13/('리그 투수'!D13*3)+0.14))+0.155)+0.3)+0.27)-(-1*((('리그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타자'!P13)))*(1/((((('리그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타자'!L13-'리그 타자'!N13+'리그 타자'!M13+'리그 타자'!F13))-(-1*((('리그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타자'!P13))))</x:f>
        <x:v>1.7829523632426272</x:v>
      </x:c>
      <x:c r="S13" t="n">
        <x:f>((1.4)-(-1*((('리그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타자'!P13)))*(1/((((('리그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타자'!L13-'리그 타자'!N13+'리그 타자'!M13+'리그 타자'!F13))-(-1*((('리그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타자'!P13))))</x:f>
        <x:v>2.397675570555916</x:v>
      </x:c>
      <x:c r="T13" t="n">
        <x:f>1/((((('리그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타자'!L13-'리그 타자'!N13+'리그 타자'!M13+'리그 타자'!F13))-(-1*((('리그 투수'!E13/('리그 투수'!D13*3)+0.14))*('리그 타자'!L13-'리그 타자'!N13)+((('리그 투수'!E13/('리그 투수'!D13*3)+0.14))+0.025)*'리그 타자'!M13+((('리그 투수'!E13/('리그 투수'!D13*3)+0.14))+0.155)*('리그 타자'!F13-'리그 타자'!G13-'리그 타자'!H13-'리그 타자'!I13)+(((('리그 투수'!E13/('리그 투수'!D13*3)+0.14))+0.155)+0.3)*'리그 타자'!G13+((((('리그 투수'!E13/('리그 투수'!D13*3)+0.14))+0.155)+0.3)+0.27)*'리그 타자'!H13+(1.4)*'리그 타자'!I13)/('리그 타자'!D13-'리그 타자'!F13+'리그 타자'!P13)))</x:f>
        <x:v>1.4855515436835947</x:v>
      </x:c>
      <x:c r="U13" t="n">
        <x:f>1.5*('리그 투수'!R13+2)</x:f>
        <x:v>8.575305216426193</x:v>
      </x:c>
      <x:c r="V13" t="n">
        <x:f>((9*'리그 투수'!E13)-(Y13*'리그 투수'!K13)-(Z13*('리그 투수'!L13+'리그 투수'!M13-'리그 투수'!N13))-(AA13*'리그 투수'!O13))/'리그 투수'!D13</x:f>
        <x:v>2.736759156492786</x:v>
      </x:c>
      <x:c r="W13" t="n">
        <x:f>'리그 타자'!E13/'리그 타자'!C13</x:f>
        <x:v>0.09865577856139142</x:v>
      </x:c>
      <x:c r="X13" s="4">
        <x:v>1993</x:v>
      </x:c>
      <x:c r="Y13">
        <x:v>12</x:v>
      </x:c>
      <x:c r="Z13">
        <x:v>3.1999999999999997</x:v>
      </x:c>
      <x:c r="AA13">
        <x:v>-2.5</x:v>
      </x:c>
      <x:c r="AB13">
        <x:v>0.2</x:v>
      </x:c>
      <x:c r="AC13">
        <x:v>0.4</x:v>
      </x:c>
      <x:c r="AD13">
        <x:v>0.64200000000000002</x:v>
      </x:c>
    </x:row>
    <x:row r="14">
      <x:c r="A14" s="4">
        <x:v>1994</x:v>
      </x:c>
      <x:c r="B14">
        <x:v>0.92700000000000005</x:v>
      </x:c>
      <x:c r="D14">
        <x:v>1.0680000000000001</x:v>
      </x:c>
      <x:c r="F14">
        <x:v>0.997</x:v>
      </x:c>
      <x:c r="G14">
        <x:v>1.071</x:v>
      </x:c>
      <x:c r="H14">
        <x:v>1.0489999999999999</x:v>
      </x:c>
      <x:c r="I14">
        <x:v>1.1000000000000001</x:v>
      </x:c>
      <x:c r="K14">
        <x:v>1.0409999999999999</x:v>
      </x:c>
      <x:c r="L14">
        <x:v>1</x:v>
      </x:c>
      <x:c r="M14" s="4">
        <x:v>1994</x:v>
      </x:c>
      <x:c r="N14" t="n">
        <x:f>((('리그 투수'!E14/('리그 투수'!D14*3)+0.14))-(-1*((('리그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타자'!P14)))*(1/((((('리그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타자'!L14-'리그 타자'!N14+'리그 타자'!M14+'리그 타자'!F14))-(-1*((('리그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타자'!P14))))</x:f>
        <x:v>0.7110035775497987</x:v>
      </x:c>
      <x:c r="O14" t="n">
        <x:f>(((('리그 투수'!E14/('리그 투수'!D14*3)+0.14))+0.025)-(-1*((('리그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타자'!P14)))*(1/((((('리그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타자'!L14-'리그 타자'!N14+'리그 타자'!M14+'리그 타자'!F14))-(-1*((('리그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타자'!P14))))</x:f>
        <x:v>0.7456982058524201</x:v>
      </x:c>
      <x:c r="P14" t="n">
        <x:f>(((('리그 투수'!E14/('리그 투수'!D14*3)+0.14))+0.155)-(-1*((('리그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타자'!P14)))*(1/((((('리그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타자'!L14-'리그 타자'!N14+'리그 타자'!M14+'리그 타자'!F14))-(-1*((('리그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타자'!P14))))</x:f>
        <x:v>0.9261102730260509</x:v>
      </x:c>
      <x:c r="Q14" t="n">
        <x:f>((((('리그 투수'!E14/('리그 투수'!D14*3)+0.14))+0.155)+0.3)-(-1*((('리그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타자'!P14)))*(1/((((('리그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타자'!L14-'리그 타자'!N14+'리그 타자'!M14+'리그 타자'!F14))-(-1*((('리그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타자'!P14))))</x:f>
        <x:v>1.3424458126575065</x:v>
      </x:c>
      <x:c r="R14" t="n">
        <x:f>(((((('리그 투수'!E14/('리그 투수'!D14*3)+0.14))+0.155)+0.3)+0.27)-(-1*((('리그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타자'!P14)))*(1/((((('리그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타자'!L14-'리그 타자'!N14+'리그 타자'!M14+'리그 타자'!F14))-(-1*((('리그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타자'!P14))))</x:f>
        <x:v>1.7171477983258165</x:v>
      </x:c>
      <x:c r="S14" t="n">
        <x:f>((1.4)-(-1*((('리그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타자'!P14)))*(1/((((('리그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타자'!L14-'리그 타자'!N14+'리그 타자'!M14+'리그 타자'!F14))-(-1*((('리그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타자'!P14))))</x:f>
        <x:v>2.2676212343421995</x:v>
      </x:c>
      <x:c r="T14" t="n">
        <x:f>1/((((('리그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타자'!L14-'리그 타자'!N14+'리그 타자'!M14+'리그 타자'!F14))-(-1*((('리그 투수'!E14/('리그 투수'!D14*3)+0.14))*('리그 타자'!L14-'리그 타자'!N14)+((('리그 투수'!E14/('리그 투수'!D14*3)+0.14))+0.025)*'리그 타자'!M14+((('리그 투수'!E14/('리그 투수'!D14*3)+0.14))+0.155)*('리그 타자'!F14-'리그 타자'!G14-'리그 타자'!H14-'리그 타자'!I14)+(((('리그 투수'!E14/('리그 투수'!D14*3)+0.14))+0.155)+0.3)*'리그 타자'!G14+((((('리그 투수'!E14/('리그 투수'!D14*3)+0.14))+0.155)+0.3)+0.27)*'리그 타자'!H14+(1.4)*'리그 타자'!I14)/('리그 타자'!D14-'리그 타자'!F14+'리그 타자'!P14)))</x:f>
        <x:v>1.3877851321048522</x:v>
      </x:c>
      <x:c r="U14" t="n">
        <x:f>1.5*('리그 투수'!R14+2)</x:f>
        <x:v>9.323498694516973</x:v>
      </x:c>
      <x:c r="V14" t="n">
        <x:f>((9*'리그 투수'!E14)-(Y14*'리그 투수'!K14)-(Z14*('리그 투수'!L14+'리그 투수'!M14-'리그 투수'!N14))-(AA14*'리그 투수'!O14))/'리그 투수'!D14</x:f>
        <x:v>3.0718052965311453</x:v>
      </x:c>
      <x:c r="W14" t="n">
        <x:f>'리그 타자'!E14/'리그 타자'!C14</x:f>
        <x:v>0.11065877128053293</x:v>
      </x:c>
      <x:c r="X14" s="4">
        <x:v>1994</x:v>
      </x:c>
      <x:c r="Y14">
        <x:v>12</x:v>
      </x:c>
      <x:c r="Z14">
        <x:v>3.1999999999999997</x:v>
      </x:c>
      <x:c r="AA14">
        <x:v>-2.5</x:v>
      </x:c>
      <x:c r="AB14">
        <x:v>0.2</x:v>
      </x:c>
      <x:c r="AC14">
        <x:v>0.4</x:v>
      </x:c>
      <x:c r="AD14">
        <x:v>0.65300000000000002</x:v>
      </x:c>
    </x:row>
    <x:row r="15">
      <x:c r="A15" s="4">
        <x:v>1995</x:v>
      </x:c>
      <x:c r="B15">
        <x:v>0.91400000000000003</x:v>
      </x:c>
      <x:c r="D15">
        <x:v>1.08</x:v>
      </x:c>
      <x:c r="F15">
        <x:v>0.97099999999999997</x:v>
      </x:c>
      <x:c r="G15">
        <x:v>1.0609999999999999</x:v>
      </x:c>
      <x:c r="H15">
        <x:v>1.042</x:v>
      </x:c>
      <x:c r="I15">
        <x:v>1.113</x:v>
      </x:c>
      <x:c r="K15">
        <x:v>1.0369999999999999</x:v>
      </x:c>
      <x:c r="L15">
        <x:v>1</x:v>
      </x:c>
      <x:c r="M15" s="4">
        <x:v>1995</x:v>
      </x:c>
      <x:c r="N15" t="n">
        <x:f>((('리그 투수'!E15/('리그 투수'!D15*3)+0.14))-(-1*((('리그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타자'!P15)))*(1/((((('리그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타자'!L15-'리그 타자'!N15+'리그 타자'!M15+'리그 타자'!F15))-(-1*((('리그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타자'!P15))))</x:f>
        <x:v>0.7042405350806312</x:v>
      </x:c>
      <x:c r="O15" t="n">
        <x:f>(((('리그 투수'!E15/('리그 투수'!D15*3)+0.14))+0.025)-(-1*((('리그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타자'!P15)))*(1/((((('리그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타자'!L15-'리그 타자'!N15+'리그 타자'!M15+'리그 타자'!F15))-(-1*((('리그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타자'!P15))))</x:f>
        <x:v>0.7389829530242217</x:v>
      </x:c>
      <x:c r="P15" t="n">
        <x:f>(((('리그 투수'!E15/('리그 투수'!D15*3)+0.14))+0.155)-(-1*((('리그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타자'!P15)))*(1/((((('리그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타자'!L15-'리그 타자'!N15+'리그 타자'!M15+'리그 타자'!F15))-(-1*((('리그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타자'!P15))))</x:f>
        <x:v>0.919643526330891</x:v>
      </x:c>
      <x:c r="Q15" t="n">
        <x:f>((((('리그 투수'!E15/('리그 투수'!D15*3)+0.14))+0.155)+0.3)-(-1*((('리그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타자'!P15)))*(1/((((('리그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타자'!L15-'리그 타자'!N15+'리그 타자'!M15+'리그 타자'!F15))-(-1*((('리그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타자'!P15))))</x:f>
        <x:v>1.3365525416539743</x:v>
      </x:c>
      <x:c r="R15" t="n">
        <x:f>(((((('리그 투수'!E15/('리그 투수'!D15*3)+0.14))+0.155)+0.3)+0.27)-(-1*((('리그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타자'!P15)))*(1/((((('리그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타자'!L15-'리그 타자'!N15+'리그 타자'!M15+'리그 타자'!F15))-(-1*((('리그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타자'!P15))))</x:f>
        <x:v>1.7117706554447492</x:v>
      </x:c>
      <x:c r="S15" t="n">
        <x:f>((1.4)-(-1*((('리그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타자'!P15)))*(1/((((('리그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타자'!L15-'리그 타자'!N15+'리그 타자'!M15+'리그 타자'!F15))-(-1*((('리그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타자'!P15))))</x:f>
        <x:v>2.2645177332249586</x:v>
      </x:c>
      <x:c r="T15" t="n">
        <x:f>1/((((('리그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타자'!L15-'리그 타자'!N15+'리그 타자'!M15+'리그 타자'!F15))-(-1*((('리그 투수'!E15/('리그 투수'!D15*3)+0.14))*('리그 타자'!L15-'리그 타자'!N15)+((('리그 투수'!E15/('리그 투수'!D15*3)+0.14))+0.025)*'리그 타자'!M15+((('리그 투수'!E15/('리그 투수'!D15*3)+0.14))+0.155)*('리그 타자'!F15-'리그 타자'!G15-'리그 타자'!H15-'리그 타자'!I15)+(((('리그 투수'!E15/('리그 투수'!D15*3)+0.14))+0.155)+0.3)*'리그 타자'!G15+((((('리그 투수'!E15/('리그 투수'!D15*3)+0.14))+0.155)+0.3)+0.27)*'리그 타자'!H15+(1.4)*'리그 타자'!I15)/('리그 타자'!D15-'리그 타자'!F15+'리그 타자'!P15)))</x:f>
        <x:v>1.3896967177436108</x:v>
      </x:c>
      <x:c r="U15" t="n">
        <x:f>1.5*('리그 투수'!R15+2)</x:f>
        <x:v>9.28852142963073</x:v>
      </x:c>
      <x:c r="V15" t="n">
        <x:f>((9*'리그 투수'!E15)-(Y15*'리그 투수'!K15)-(Z15*('리그 투수'!L15+'리그 투수'!M15-'리그 투수'!N15))-(AA15*'리그 투수'!O15))/'리그 투수'!D15</x:f>
        <x:v>3.1179334124277034</x:v>
      </x:c>
      <x:c r="W15" t="n">
        <x:f>'리그 타자'!E15/'리그 타자'!C15</x:f>
        <x:v>0.1103702727632099</x:v>
      </x:c>
      <x:c r="X15" s="4">
        <x:v>1995</x:v>
      </x:c>
      <x:c r="Y15">
        <x:v>12</x:v>
      </x:c>
      <x:c r="Z15">
        <x:v>3.1999999999999997</x:v>
      </x:c>
      <x:c r="AA15">
        <x:v>-2.5</x:v>
      </x:c>
      <x:c r="AB15">
        <x:v>0.2</x:v>
      </x:c>
      <x:c r="AC15">
        <x:v>0.4</x:v>
      </x:c>
      <x:c r="AD15">
        <x:v>0.69</x:v>
      </x:c>
    </x:row>
    <x:row r="16">
      <x:c r="A16" s="4">
        <x:v>1996</x:v>
      </x:c>
      <x:c r="B16">
        <x:v>0.90500000000000003</x:v>
      </x:c>
      <x:c r="D16">
        <x:v>0.98899999999999999</x:v>
      </x:c>
      <x:c r="F16">
        <x:v>0.98099999999999998</x:v>
      </x:c>
      <x:c r="G16">
        <x:v>1.0580000000000001</x:v>
      </x:c>
      <x:c r="H16">
        <x:v>1.022</x:v>
      </x:c>
      <x:c r="I16">
        <x:v>1.153</x:v>
      </x:c>
      <x:c r="K16">
        <x:v>1.0329999999999999</x:v>
      </x:c>
      <x:c r="L16">
        <x:v>1</x:v>
      </x:c>
      <x:c r="M16" s="4">
        <x:v>1996</x:v>
      </x:c>
      <x:c r="N16" t="n">
        <x:f>((('리그 투수'!E16/('리그 투수'!D16*3)+0.14))-(-1*((('리그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타자'!P16)))*(1/((((('리그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타자'!L16-'리그 타자'!N16+'리그 타자'!M16+'리그 타자'!F16))-(-1*((('리그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타자'!P16))))</x:f>
        <x:v>0.7067277177492863</x:v>
      </x:c>
      <x:c r="O16" t="n">
        <x:f>(((('리그 투수'!E16/('리그 투수'!D16*3)+0.14))+0.025)-(-1*((('리그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타자'!P16)))*(1/((((('리그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타자'!L16-'리그 타자'!N16+'리그 타자'!M16+'리그 타자'!F16))-(-1*((('리그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타자'!P16))))</x:f>
        <x:v>0.7414290610610484</x:v>
      </x:c>
      <x:c r="P16" t="n">
        <x:f>(((('리그 투수'!E16/('리그 투수'!D16*3)+0.14))+0.155)-(-1*((('리그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타자'!P16)))*(1/((((('리그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타자'!L16-'리그 타자'!N16+'리그 타자'!M16+'리그 타자'!F16))-(-1*((('리그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타자'!P16))))</x:f>
        <x:v>0.9218760462822114</x:v>
      </x:c>
      <x:c r="Q16" t="n">
        <x:f>((((('리그 투수'!E16/('리그 투수'!D16*3)+0.14))+0.155)+0.3)-(-1*((('리그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타자'!P16)))*(1/((((('리그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타자'!L16-'리그 타자'!N16+'리그 타자'!M16+'리그 타자'!F16))-(-1*((('리그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타자'!P16))))</x:f>
        <x:v>1.3382921660233567</x:v>
      </x:c>
      <x:c r="R16" t="n">
        <x:f>(((((('리그 투수'!E16/('리그 투수'!D16*3)+0.14))+0.155)+0.3)+0.27)-(-1*((('리그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타자'!P16)))*(1/((((('리그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타자'!L16-'리그 타자'!N16+'리그 타자'!M16+'리그 타자'!F16))-(-1*((('리그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타자'!P16))))</x:f>
        <x:v>1.7130666737903875</x:v>
      </x:c>
      <x:c r="S16" t="n">
        <x:f>((1.4)-(-1*((('리그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타자'!P16)))*(1/((((('리그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타자'!L16-'리그 타자'!N16+'리그 타자'!M16+'리그 타자'!F16))-(-1*((('리그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타자'!P16))))</x:f>
        <x:v>2.2662134738106214</x:v>
      </x:c>
      <x:c r="T16" t="n">
        <x:f>1/((((('리그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타자'!L16-'리그 타자'!N16+'리그 타자'!M16+'리그 타자'!F16))-(-1*((('리그 투수'!E16/('리그 투수'!D16*3)+0.14))*('리그 타자'!L16-'리그 타자'!N16)+((('리그 투수'!E16/('리그 투수'!D16*3)+0.14))+0.025)*'리그 타자'!M16+((('리그 투수'!E16/('리그 투수'!D16*3)+0.14))+0.155)*('리그 타자'!F16-'리그 타자'!G16-'리그 타자'!H16-'리그 타자'!I16)+(((('리그 투수'!E16/('리그 투수'!D16*3)+0.14))+0.155)+0.3)*'리그 타자'!G16+((((('리그 투수'!E16/('리그 투수'!D16*3)+0.14))+0.155)+0.3)+0.27)*'리그 타자'!H16+(1.4)*'리그 타자'!I16)/('리그 타자'!D16-'리그 타자'!F16+'리그 타자'!P16)))</x:f>
        <x:v>1.3880537324704838</x:v>
      </x:c>
      <x:c r="U16" t="n">
        <x:f>1.5*('리그 투수'!R16+2)</x:f>
        <x:v>9.228581460674157</x:v>
      </x:c>
      <x:c r="V16" t="n">
        <x:f>((9*'리그 투수'!E16)-(Y16*'리그 투수'!K16)-(Z16*('리그 투수'!L16+'리그 투수'!M16-'리그 투수'!N16))-(AA16*'리그 투수'!O16))/'리그 투수'!D16</x:f>
        <x:v>3.1105484920165583</x:v>
      </x:c>
      <x:c r="W16" t="n">
        <x:f>'리그 타자'!E16/'리그 타자'!C16</x:f>
        <x:v>0.10910378100582097</x:v>
      </x:c>
      <x:c r="X16" s="4">
        <x:v>1996</x:v>
      </x:c>
      <x:c r="Y16">
        <x:v>12</x:v>
      </x:c>
      <x:c r="Z16">
        <x:v>3.1999999999999997</x:v>
      </x:c>
      <x:c r="AA16">
        <x:v>-2.5</x:v>
      </x:c>
      <x:c r="AB16">
        <x:v>0.2</x:v>
      </x:c>
      <x:c r="AC16">
        <x:v>0.4</x:v>
      </x:c>
      <x:c r="AD16">
        <x:v>0.63200000000000001</x:v>
      </x:c>
    </x:row>
    <x:row r="17">
      <x:c r="A17" s="4">
        <x:v>1997</x:v>
      </x:c>
      <x:c r="B17">
        <x:v>0.91100000000000003</x:v>
      </x:c>
      <x:c r="D17">
        <x:v>0.99099999999999999</x:v>
      </x:c>
      <x:c r="F17">
        <x:v>0.97099999999999997</x:v>
      </x:c>
      <x:c r="G17">
        <x:v>1.0620000000000001</x:v>
      </x:c>
      <x:c r="H17">
        <x:v>1.044</x:v>
      </x:c>
      <x:c r="I17">
        <x:v>1.099</x:v>
      </x:c>
      <x:c r="K17">
        <x:v>1.0369999999999999</x:v>
      </x:c>
      <x:c r="L17">
        <x:v>1</x:v>
      </x:c>
      <x:c r="M17" s="4">
        <x:v>1997</x:v>
      </x:c>
      <x:c r="N17" t="n">
        <x:f>((('리그 투수'!E17/('리그 투수'!D17*3)+0.14))-(-1*((('리그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타자'!P17)))*(1/((((('리그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타자'!L17-'리그 타자'!N17+'리그 타자'!M17+'리그 타자'!F17))-(-1*((('리그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타자'!P17))))</x:f>
        <x:v>0.7096987760637212</x:v>
      </x:c>
      <x:c r="O17" t="n">
        <x:f>(((('리그 투수'!E17/('리그 투수'!D17*3)+0.14))+0.025)-(-1*((('리그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타자'!P17)))*(1/((((('리그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타자'!L17-'리그 타자'!N17+'리그 타자'!M17+'리그 타자'!F17))-(-1*((('리그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타자'!P17))))</x:f>
        <x:v>0.7425461905595578</x:v>
      </x:c>
      <x:c r="P17" t="n">
        <x:f>(((('리그 투수'!E17/('리그 투수'!D17*3)+0.14))+0.155)-(-1*((('리그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타자'!P17)))*(1/((((('리그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타자'!L17-'리그 타자'!N17+'리그 타자'!M17+'리그 타자'!F17))-(-1*((('리그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타자'!P17))))</x:f>
        <x:v>0.9133527459379068</x:v>
      </x:c>
      <x:c r="Q17" t="n">
        <x:f>((((('리그 투수'!E17/('리그 투수'!D17*3)+0.14))+0.155)+0.3)-(-1*((('리그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타자'!P17)))*(1/((((('리그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타자'!L17-'리그 타자'!N17+'리그 타자'!M17+'리그 타자'!F17))-(-1*((('리그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타자'!P17))))</x:f>
        <x:v>1.3075217198879436</x:v>
      </x:c>
      <x:c r="R17" t="n">
        <x:f>(((((('리그 투수'!E17/('리그 투수'!D17*3)+0.14))+0.155)+0.3)+0.27)-(-1*((('리그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타자'!P17)))*(1/((((('리그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타자'!L17-'리그 타자'!N17+'리그 타자'!M17+'리그 타자'!F17))-(-1*((('리그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타자'!P17))))</x:f>
        <x:v>1.6622737964429766</x:v>
      </x:c>
      <x:c r="S17" t="n">
        <x:f>((1.4)-(-1*((('리그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타자'!P17)))*(1/((((('리그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타자'!L17-'리그 타자'!N17+'리그 타자'!M17+'리그 타자'!F17))-(-1*((('리그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타자'!P17))))</x:f>
        <x:v>2.169489461112864</x:v>
      </x:c>
      <x:c r="T17" t="n">
        <x:f>1/((((('리그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타자'!L17-'리그 타자'!N17+'리그 타자'!M17+'리그 타자'!F17))-(-1*((('리그 투수'!E17/('리그 투수'!D17*3)+0.14))*('리그 타자'!L17-'리그 타자'!N17)+((('리그 투수'!E17/('리그 투수'!D17*3)+0.14))+0.025)*'리그 타자'!M17+((('리그 투수'!E17/('리그 투수'!D17*3)+0.14))+0.155)*('리그 타자'!F17-'리그 타자'!G17-'리그 타자'!H17-'리그 타자'!I17)+(((('리그 투수'!E17/('리그 투수'!D17*3)+0.14))+0.155)+0.3)*'리그 타자'!G17+((((('리그 투수'!E17/('리그 투수'!D17*3)+0.14))+0.155)+0.3)+0.27)*'리그 타자'!H17+(1.4)*'리그 타자'!I17)/('리그 타자'!D17-'리그 타자'!F17+'리그 타자'!P17)))</x:f>
        <x:v>1.3138965798334554</x:v>
      </x:c>
      <x:c r="U17" t="n">
        <x:f>1.5*('리그 투수'!R17+2)</x:f>
        <x:v>9.717816434478134</x:v>
      </x:c>
      <x:c r="V17" t="n">
        <x:f>((9*'리그 투수'!E17)-(Y17*'리그 투수'!K17)-(Z17*('리그 투수'!L17+'리그 투수'!M17-'리그 투수'!N17))-(AA17*'리그 투수'!O17))/'리그 투수'!D17</x:f>
        <x:v>3.209841317142219</x:v>
      </x:c>
      <x:c r="W17" t="n">
        <x:f>'리그 타자'!E17/'리그 타자'!C17</x:f>
        <x:v>0.11674794190131614</x:v>
      </x:c>
      <x:c r="X17" s="4">
        <x:v>1997</x:v>
      </x:c>
      <x:c r="Y17">
        <x:v>12</x:v>
      </x:c>
      <x:c r="Z17">
        <x:v>3.1999999999999997</x:v>
      </x:c>
      <x:c r="AA17">
        <x:v>-2.5</x:v>
      </x:c>
      <x:c r="AB17">
        <x:v>0.2</x:v>
      </x:c>
      <x:c r="AC17">
        <x:v>0.4</x:v>
      </x:c>
      <x:c r="AD17">
        <x:v>0.64600000000000002</x:v>
      </x:c>
    </x:row>
    <x:row r="18">
      <x:c r="A18" s="4">
        <x:v>1998</x:v>
      </x:c>
      <x:c r="B18">
        <x:v>0.90100000000000002</x:v>
      </x:c>
      <x:c r="D18">
        <x:v>0.997</x:v>
      </x:c>
      <x:c r="F18">
        <x:v>0.97699999999999998</x:v>
      </x:c>
      <x:c r="G18">
        <x:v>1.0609999999999999</x:v>
      </x:c>
      <x:c r="H18">
        <x:v>1.0469999999999999</x:v>
      </x:c>
      <x:c r="I18">
        <x:v>1.0580000000000001</x:v>
      </x:c>
      <x:c r="K18">
        <x:v>1.022</x:v>
      </x:c>
      <x:c r="L18">
        <x:v>1</x:v>
      </x:c>
      <x:c r="M18" s="4">
        <x:v>1998</x:v>
      </x:c>
      <x:c r="N18" t="n">
        <x:f>((('리그 투수'!E18/('리그 투수'!D18*3)+0.14))-(-1*((('리그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타자'!P18)))*(1/((((('리그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타자'!L18-'리그 타자'!N18+'리그 타자'!M18+'리그 타자'!F18))-(-1*((('리그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타자'!P18))))</x:f>
        <x:v>0.7020541234834855</x:v>
      </x:c>
      <x:c r="O18" t="n">
        <x:f>(((('리그 투수'!E18/('리그 투수'!D18*3)+0.14))+0.025)-(-1*((('리그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타자'!P18)))*(1/((((('리그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타자'!L18-'리그 타자'!N18+'리그 타자'!M18+'리그 타자'!F18))-(-1*((('리그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타자'!P18))))</x:f>
        <x:v>0.734567905511456</x:v>
      </x:c>
      <x:c r="P18" t="n">
        <x:f>(((('리그 투수'!E18/('리그 투수'!D18*3)+0.14))+0.155)-(-1*((('리그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타자'!P18)))*(1/((((('리그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타자'!L18-'리그 타자'!N18+'리그 타자'!M18+'리그 타자'!F18))-(-1*((('리그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타자'!P18))))</x:f>
        <x:v>0.9036395720569013</x:v>
      </x:c>
      <x:c r="Q18" t="n">
        <x:f>((((('리그 투수'!E18/('리그 투수'!D18*3)+0.14))+0.155)+0.3)-(-1*((('리그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타자'!P18)))*(1/((((('리그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타자'!L18-'리그 타자'!N18+'리그 타자'!M18+'리그 타자'!F18))-(-1*((('리그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타자'!P18))))</x:f>
        <x:v>1.2938049563925447</x:v>
      </x:c>
      <x:c r="R18" t="n">
        <x:f>(((((('리그 투수'!E18/('리그 투수'!D18*3)+0.14))+0.155)+0.3)+0.27)-(-1*((('리그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타자'!P18)))*(1/((((('리그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타자'!L18-'리그 타자'!N18+'리그 타자'!M18+'리그 타자'!F18))-(-1*((('리그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타자'!P18))))</x:f>
        <x:v>1.6449538022946237</x:v>
      </x:c>
      <x:c r="S18" t="n">
        <x:f>((1.4)-(-1*((('리그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타자'!P18)))*(1/((((('리그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타자'!L18-'리그 타자'!N18+'리그 타자'!M18+'리그 타자'!F18))-(-1*((('리그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타자'!P18))))</x:f>
        <x:v>2.148453287368986</x:v>
      </x:c>
      <x:c r="T18" t="n">
        <x:f>1/((((('리그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타자'!L18-'리그 타자'!N18+'리그 타자'!M18+'리그 타자'!F18))-(-1*((('리그 투수'!E18/('리그 투수'!D18*3)+0.14))*('리그 타자'!L18-'리그 타자'!N18)+((('리그 투수'!E18/('리그 투수'!D18*3)+0.14))+0.025)*'리그 타자'!M18+((('리그 투수'!E18/('리그 투수'!D18*3)+0.14))+0.155)*('리그 타자'!F18-'리그 타자'!G18-'리그 타자'!H18-'리그 타자'!I18)+(((('리그 투수'!E18/('리그 투수'!D18*3)+0.14))+0.155)+0.3)*'리그 타자'!G18+((((('리그 투수'!E18/('리그 투수'!D18*3)+0.14))+0.155)+0.3)+0.27)*'리그 타자'!H18+(1.4)*'리그 타자'!I18)/('리그 타자'!D18-'리그 타자'!F18+'리그 타자'!P18)))</x:f>
        <x:v>1.3005512811188111</x:v>
      </x:c>
      <x:c r="U18" t="n">
        <x:f>1.5*('리그 투수'!R18+2)</x:f>
        <x:v>9.711256056653</x:v>
      </x:c>
      <x:c r="V18" t="n">
        <x:f>((9*'리그 투수'!E18)-(Y18*'리그 투수'!K18)-(Z18*('리그 투수'!L18+'리그 투수'!M18-'리그 투수'!N18))-(AA18*'리그 투수'!O18))/'리그 투수'!D18</x:f>
        <x:v>3.2588743943346996</x:v>
      </x:c>
      <x:c r="W18" t="n">
        <x:f>'리그 타자'!E18/'리그 타자'!C18</x:f>
        <x:v>0.11644840230487166</x:v>
      </x:c>
      <x:c r="X18" s="4">
        <x:v>1998</x:v>
      </x:c>
      <x:c r="Y18">
        <x:v>12</x:v>
      </x:c>
      <x:c r="Z18">
        <x:v>3.1999999999999997</x:v>
      </x:c>
      <x:c r="AA18">
        <x:v>-2.5</x:v>
      </x:c>
      <x:c r="AB18">
        <x:v>0.2</x:v>
      </x:c>
      <x:c r="AC18">
        <x:v>0.4</x:v>
      </x:c>
      <x:c r="AD18">
        <x:v>0.64900000000000002</x:v>
      </x:c>
    </x:row>
    <x:row r="19">
      <x:c r="A19" s="4">
        <x:v>1999</x:v>
      </x:c>
      <x:c r="B19">
        <x:v>0.90800000000000003</x:v>
      </x:c>
      <x:c r="D19">
        <x:v>0.99199999999999999</x:v>
      </x:c>
      <x:c r="F19">
        <x:v>0.998</x:v>
      </x:c>
      <x:c r="G19">
        <x:v>1.054</x:v>
      </x:c>
      <x:c r="H19">
        <x:v>1.0509999999999999</x:v>
      </x:c>
      <x:c r="I19">
        <x:v>1.024</x:v>
      </x:c>
      <x:c r="K19">
        <x:v>1.0309999999999999</x:v>
      </x:c>
      <x:c r="L19">
        <x:v>1</x:v>
      </x:c>
      <x:c r="M19" s="4">
        <x:v>1999</x:v>
      </x:c>
      <x:c r="N19" t="n">
        <x:f>((('리그 투수'!E19/('리그 투수'!D19*3)+0.14))-(-1*((('리그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타자'!P19)))*(1/((((('리그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타자'!L19-'리그 타자'!N19+'리그 타자'!M19+'리그 타자'!F19))-(-1*((('리그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타자'!P19))))</x:f>
        <x:v>0.7257329795415572</x:v>
      </x:c>
      <x:c r="O19" t="n">
        <x:f>(((('리그 투수'!E19/('리그 투수'!D19*3)+0.14))+0.025)-(-1*((('리그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타자'!P19)))*(1/((((('리그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타자'!L19-'리그 타자'!N19+'리그 타자'!M19+'리그 타자'!F19))-(-1*((('리그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타자'!P19))))</x:f>
        <x:v>0.7547152654526924</x:v>
      </x:c>
      <x:c r="P19" t="n">
        <x:f>(((('리그 투수'!E19/('리그 투수'!D19*3)+0.14))+0.155)-(-1*((('리그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타자'!P19)))*(1/((((('리그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타자'!L19-'리그 타자'!N19+'리그 타자'!M19+'리그 타자'!F19))-(-1*((('리그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타자'!P19))))</x:f>
        <x:v>0.9054231521905953</x:v>
      </x:c>
      <x:c r="Q19" t="n">
        <x:f>((((('리그 투수'!E19/('리그 투수'!D19*3)+0.14))+0.155)+0.3)-(-1*((('리그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타자'!P19)))*(1/((((('리그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타자'!L19-'리그 타자'!N19+'리그 타자'!M19+'리그 타자'!F19))-(-1*((('리그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타자'!P19))))</x:f>
        <x:v>1.2532105831242173</x:v>
      </x:c>
      <x:c r="R19" t="n">
        <x:f>(((((('리그 투수'!E19/('리그 투수'!D19*3)+0.14))+0.155)+0.3)+0.27)-(-1*((('리그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타자'!P19)))*(1/((((('리그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타자'!L19-'리그 타자'!N19+'리그 타자'!M19+'리그 타자'!F19))-(-1*((('리그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타자'!P19))))</x:f>
        <x:v>1.566219270964477</x:v>
      </x:c>
      <x:c r="S19" t="n">
        <x:f>((1.4)-(-1*((('리그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타자'!P19)))*(1/((((('리그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타자'!L19-'리그 타자'!N19+'리그 타자'!M19+'리그 타자'!F19))-(-1*((('리그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타자'!P19))))</x:f>
        <x:v>1.972814069844211</x:v>
      </x:c>
      <x:c r="T19" t="n">
        <x:f>1/((((('리그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타자'!L19-'리그 타자'!N19+'리그 타자'!M19+'리그 타자'!F19))-(-1*((('리그 투수'!E19/('리그 투수'!D19*3)+0.14))*('리그 타자'!L19-'리그 타자'!N19)+((('리그 투수'!E19/('리그 투수'!D19*3)+0.14))+0.025)*'리그 타자'!M19+((('리그 투수'!E19/('리그 투수'!D19*3)+0.14))+0.155)*('리그 타자'!F19-'리그 타자'!G19-'리그 타자'!H19-'리그 타자'!I19)+(((('리그 투수'!E19/('리그 투수'!D19*3)+0.14))+0.155)+0.3)*'리그 타자'!G19+((((('리그 투수'!E19/('리그 투수'!D19*3)+0.14))+0.155)+0.3)+0.27)*'리그 타자'!H19+(1.4)*'리그 타자'!I19)/('리그 타자'!D19-'리그 타자'!F19+'리그 타자'!P19)))</x:f>
        <x:v>1.159291436445407</x:v>
      </x:c>
      <x:c r="U19" t="n">
        <x:f>1.5*('리그 투수'!R19+2)</x:f>
        <x:v>11.157695169920975</x:v>
      </x:c>
      <x:c r="V19" t="n">
        <x:f>((9*'리그 투수'!E19)-(Y19*'리그 투수'!K19)-(Z19*('리그 투수'!L19+'리그 투수'!M19-'리그 투수'!N19))-(AA19*'리그 투수'!O19))/'리그 투수'!D19</x:f>
        <x:v>3.670314327226336</x:v>
      </x:c>
      <x:c r="W19" t="n">
        <x:f>'리그 타자'!E19/'리그 타자'!C19</x:f>
        <x:v>0.13664118467234002</x:v>
      </x:c>
      <x:c r="X19" s="4">
        <x:v>1999</x:v>
      </x:c>
      <x:c r="Y19">
        <x:v>12</x:v>
      </x:c>
      <x:c r="Z19">
        <x:v>3.1999999999999997</x:v>
      </x:c>
      <x:c r="AA19">
        <x:v>-2.5</x:v>
      </x:c>
      <x:c r="AB19">
        <x:v>0.2</x:v>
      </x:c>
      <x:c r="AC19">
        <x:v>0.4</x:v>
      </x:c>
      <x:c r="AD19">
        <x:v>0.68700000000000006</x:v>
      </x:c>
    </x:row>
    <x:row r="20">
      <x:c r="A20" s="4">
        <x:v>2000</x:v>
      </x:c>
      <x:c r="B20">
        <x:v>0.90100000000000002</x:v>
      </x:c>
      <x:c r="D20">
        <x:v>0.97889999999999999</x:v>
      </x:c>
      <x:c r="E20">
        <x:v>1.046</x:v>
      </x:c>
      <x:c r="F20">
        <x:v>1.0309999999999999</x:v>
      </x:c>
      <x:c r="G20">
        <x:v>1.0509999999999999</x:v>
      </x:c>
      <x:c r="H20">
        <x:v>1.052</x:v>
      </x:c>
      <x:c r="I20">
        <x:v>1.0149999999999999</x:v>
      </x:c>
      <x:c r="L20">
        <x:v>1</x:v>
      </x:c>
      <x:c r="M20" s="4">
        <x:v>2000</x:v>
      </x:c>
      <x:c r="N20" t="n">
        <x:f>((('리그 투수'!E20/('리그 투수'!D20*3)+0.14))-(-1*((('리그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타자'!P20)))*(1/((((('리그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타자'!L20-'리그 타자'!N20+'리그 타자'!M20+'리그 타자'!F20))-(-1*((('리그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타자'!P20))))</x:f>
        <x:v>0.7232824756667149</x:v>
      </x:c>
      <x:c r="O20" t="n">
        <x:f>(((('리그 투수'!E20/('리그 투수'!D20*3)+0.14))+0.025)-(-1*((('리그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타자'!P20)))*(1/((((('리그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타자'!L20-'리그 타자'!N20+'리그 타자'!M20+'리그 타자'!F20))-(-1*((('리그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타자'!P20))))</x:f>
        <x:v>0.7536247875200026</x:v>
      </x:c>
      <x:c r="P20" t="n">
        <x:f>(((('리그 투수'!E20/('리그 투수'!D20*3)+0.14))+0.155)-(-1*((('리그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타자'!P20)))*(1/((((('리그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타자'!L20-'리그 타자'!N20+'리그 타자'!M20+'리그 타자'!F20))-(-1*((('리그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타자'!P20))))</x:f>
        <x:v>0.9114048091570985</x:v>
      </x:c>
      <x:c r="Q20" t="n">
        <x:f>((((('리그 투수'!E20/('리그 투수'!D20*3)+0.14))+0.155)+0.3)-(-1*((('리그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타자'!P20)))*(1/((((('리그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타자'!L20-'리그 타자'!N20+'리그 타자'!M20+'리그 타자'!F20))-(-1*((('리그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타자'!P20))))</x:f>
        <x:v>1.2755125513965506</x:v>
      </x:c>
      <x:c r="R20" t="n">
        <x:f>(((((('리그 투수'!E20/('리그 투수'!D20*3)+0.14))+0.155)+0.3)+0.27)-(-1*((('리그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타자'!P20)))*(1/((((('리그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타자'!L20-'리그 타자'!N20+'리그 타자'!M20+'리그 타자'!F20))-(-1*((('리그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타자'!P20))))</x:f>
        <x:v>1.6032095194120575</x:v>
      </x:c>
      <x:c r="S20" t="n">
        <x:f>((1.4)-(-1*((('리그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타자'!P20)))*(1/((((('리그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타자'!L20-'리그 타자'!N20+'리그 타자'!M20+'리그 타자'!F20))-(-1*((('리그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타자'!P20))))</x:f>
        <x:v>2.0439549495849056</x:v>
      </x:c>
      <x:c r="T20" t="n">
        <x:f>1/((((('리그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타자'!L20-'리그 타자'!N20+'리그 타자'!M20+'리그 타자'!F20))-(-1*((('리그 투수'!E20/('리그 투수'!D20*3)+0.14))*('리그 타자'!L20-'리그 타자'!N20)+((('리그 투수'!E20/('리그 투수'!D20*3)+0.14))+0.025)*'리그 타자'!M20+((('리그 투수'!E20/('리그 투수'!D20*3)+0.14))+0.155)*('리그 타자'!F20-'리그 타자'!G20-'리그 타자'!H20-'리그 타자'!I20)+(((('리그 투수'!E20/('리그 투수'!D20*3)+0.14))+0.155)+0.3)*'리그 타자'!G20+((((('리그 투수'!E20/('리그 투수'!D20*3)+0.14))+0.155)+0.3)+0.27)*'리그 타자'!H20+(1.4)*'리그 타자'!I20)/('리그 타자'!D20-'리그 타자'!F20+'리그 타자'!P20)))</x:f>
        <x:v>1.213692474131507</x:v>
      </x:c>
      <x:c r="U20" t="n">
        <x:f>1.5*('리그 투수'!R20+2)</x:f>
        <x:v>10.658311345646437</x:v>
      </x:c>
      <x:c r="V20" t="n">
        <x:f>((9*'리그 투수'!E20)-(Y20*'리그 투수'!K20)-(Z20*('리그 투수'!L20+'리그 투수'!M20-'리그 투수'!N20))-(AA20*'리그 투수'!O20))/'리그 투수'!D20</x:f>
        <x:v>3.5687493403693935</x:v>
      </x:c>
      <x:c r="W20" t="n">
        <x:f>'리그 타자'!E20/'리그 타자'!C20</x:f>
        <x:v>0.129191202980411</x:v>
      </x:c>
      <x:c r="X20" s="4">
        <x:v>2000</x:v>
      </x:c>
      <x:c r="Y20">
        <x:v>12</x:v>
      </x:c>
      <x:c r="Z20">
        <x:v>3.1999999999999997</x:v>
      </x:c>
      <x:c r="AA20">
        <x:v>-2.5</x:v>
      </x:c>
      <x:c r="AB20">
        <x:v>0.2</x:v>
      </x:c>
      <x:c r="AC20">
        <x:v>0.4</x:v>
      </x:c>
      <x:c r="AD20">
        <x:v>0.67500000000000004</x:v>
      </x:c>
    </x:row>
    <x:row r="21">
      <x:c r="A21" s="4">
        <x:v>2001</x:v>
      </x:c>
      <x:c r="B21">
        <x:v>0.90900000000000003</x:v>
      </x:c>
      <x:c r="D21">
        <x:v>1.0069999999999999</x:v>
      </x:c>
      <x:c r="E21">
        <x:v>0.99299999999999999</x:v>
      </x:c>
      <x:c r="F21">
        <x:v>1.0129999999999999</x:v>
      </x:c>
      <x:c r="G21">
        <x:v>1.0469999999999999</x:v>
      </x:c>
      <x:c r="H21">
        <x:v>1.0549999999999999</x:v>
      </x:c>
      <x:c r="I21">
        <x:v>1.006</x:v>
      </x:c>
      <x:c r="L21">
        <x:v>1</x:v>
      </x:c>
      <x:c r="M21" s="4">
        <x:v>2001</x:v>
      </x:c>
      <x:c r="N21" t="n">
        <x:f>((('리그 투수'!E21/('리그 투수'!D21*3)+0.14))-(-1*((('리그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타자'!P21)))*(1/((((('리그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타자'!L21-'리그 타자'!N21+'리그 타자'!M21+'리그 타자'!F21))-(-1*((('리그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타자'!P21))))</x:f>
        <x:v>0.7367751033079155</x:v>
      </x:c>
      <x:c r="O21" t="n">
        <x:f>(((('리그 투수'!E21/('리그 투수'!D21*3)+0.14))+0.025)-(-1*((('리그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타자'!P21)))*(1/((((('리그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타자'!L21-'리그 타자'!N21+'리그 타자'!M21+'리그 타자'!F21))-(-1*((('리그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타자'!P21))))</x:f>
        <x:v>0.7671561388436519</x:v>
      </x:c>
      <x:c r="P21" t="n">
        <x:f>(((('리그 투수'!E21/('리그 투수'!D21*3)+0.14))+0.155)-(-1*((('리그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타자'!P21)))*(1/((((('리그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타자'!L21-'리그 타자'!N21+'리그 타자'!M21+'리그 타자'!F21))-(-1*((('리그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타자'!P21))))</x:f>
        <x:v>0.9251375236294807</x:v>
      </x:c>
      <x:c r="Q21" t="n">
        <x:f>((((('리그 투수'!E21/('리그 투수'!D21*3)+0.14))+0.155)+0.3)-(-1*((('리그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타자'!P21)))*(1/((((('리그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타자'!L21-'리그 타자'!N21+'리그 타자'!M21+'리그 타자'!F21))-(-1*((('리그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타자'!P21))))</x:f>
        <x:v>1.2897099500583167</x:v>
      </x:c>
      <x:c r="R21" t="n">
        <x:f>(((((('리그 투수'!E21/('리그 투수'!D21*3)+0.14))+0.155)+0.3)+0.27)-(-1*((('리그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타자'!P21)))*(1/((((('리그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타자'!L21-'리그 타자'!N21+'리그 타자'!M21+'리그 타자'!F21))-(-1*((('리그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타자'!P21))))</x:f>
        <x:v>1.6178251338442688</x:v>
      </x:c>
      <x:c r="S21" t="n">
        <x:f>((1.4)-(-1*((('리그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타자'!P21)))*(1/((((('리그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타자'!L21-'리그 타자'!N21+'리그 타자'!M21+'리그 타자'!F21))-(-1*((('리그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타자'!P21))))</x:f>
        <x:v>2.0551224487467916</x:v>
      </x:c>
      <x:c r="T21" t="n">
        <x:f>1/((((('리그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타자'!L21-'리그 타자'!N21+'리그 타자'!M21+'리그 타자'!F21))-(-1*((('리그 투수'!E21/('리그 투수'!D21*3)+0.14))*('리그 타자'!L21-'리그 타자'!N21)+((('리그 투수'!E21/('리그 투수'!D21*3)+0.14))+0.025)*'리그 타자'!M21+((('리그 투수'!E21/('리그 투수'!D21*3)+0.14))+0.155)*('리그 타자'!F21-'리그 타자'!G21-'리그 타자'!H21-'리그 타자'!I21)+(((('리그 투수'!E21/('리그 투수'!D21*3)+0.14))+0.155)+0.3)*'리그 타자'!G21+((((('리그 투수'!E21/('리그 투수'!D21*3)+0.14))+0.155)+0.3)+0.27)*'리그 타자'!H21+(1.4)*'리그 타자'!I21)/('리그 타자'!D21-'리그 타자'!F21+'리그 타자'!P21)))</x:f>
        <x:v>1.215241421429453</x:v>
      </x:c>
      <x:c r="U21" t="n">
        <x:f>1.5*('리그 투수'!R21+2)</x:f>
        <x:v>10.866175086288045</x:v>
      </x:c>
      <x:c r="V21" t="n">
        <x:f>((9*'리그 투수'!E21)-(Y21*'리그 투수'!K21)-(Z21*('리그 투수'!L21+'리그 투수'!M21-'리그 투수'!N21))-(AA21*'리그 투수'!O21))/'리그 투수'!D21</x:f>
        <x:v>3.4933375169961303</x:v>
      </x:c>
      <x:c r="W21" t="n">
        <x:f>'리그 타자'!E21/'리그 타자'!C21</x:f>
        <x:v>0.13107310072230197</x:v>
      </x:c>
      <x:c r="X21" s="4">
        <x:v>2001</x:v>
      </x:c>
      <x:c r="Y21">
        <x:v>12</x:v>
      </x:c>
      <x:c r="Z21">
        <x:v>3.1999999999999997</x:v>
      </x:c>
      <x:c r="AA21">
        <x:v>-2.5</x:v>
      </x:c>
      <x:c r="AB21">
        <x:v>0.2</x:v>
      </x:c>
      <x:c r="AC21">
        <x:v>0.4</x:v>
      </x:c>
      <x:c r="AD21">
        <x:v>0.66500000000000004</x:v>
      </x:c>
    </x:row>
    <x:row r="22">
      <x:c r="A22" s="4">
        <x:v>2002</x:v>
      </x:c>
      <x:c r="B22">
        <x:v>0.90900000000000003</x:v>
      </x:c>
      <x:c r="D22">
        <x:v>1.022</x:v>
      </x:c>
      <x:c r="E22">
        <x:v>1.048</x:v>
      </x:c>
      <x:c r="F22">
        <x:v>0.998</x:v>
      </x:c>
      <x:c r="G22">
        <x:v>1.0329999999999999</x:v>
      </x:c>
      <x:c r="H22">
        <x:v>1.0509999999999999</x:v>
      </x:c>
      <x:c r="I22">
        <x:v>0.94299999999999995</x:v>
      </x:c>
      <x:c r="L22">
        <x:v>1</x:v>
      </x:c>
      <x:c r="M22" s="4">
        <x:v>2002</x:v>
      </x:c>
      <x:c r="N22" t="n">
        <x:f>((('리그 투수'!E22/('리그 투수'!D22*3)+0.14))-(-1*((('리그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타자'!P22)))*(1/((((('리그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타자'!L22-'리그 타자'!N22+'리그 타자'!M22+'리그 타자'!F22))-(-1*((('리그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타자'!P22))))</x:f>
        <x:v>0.7048374379384121</x:v>
      </x:c>
      <x:c r="O22" t="n">
        <x:f>(((('리그 투수'!E22/('리그 투수'!D22*3)+0.14))+0.025)-(-1*((('리그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타자'!P22)))*(1/((((('리그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타자'!L22-'리그 타자'!N22+'리그 타자'!M22+'리그 타자'!F22))-(-1*((('리그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타자'!P22))))</x:f>
        <x:v>0.7361729648030044</x:v>
      </x:c>
      <x:c r="P22" t="n">
        <x:f>(((('리그 투수'!E22/('리그 투수'!D22*3)+0.14))+0.155)-(-1*((('리그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타자'!P22)))*(1/((((('리그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타자'!L22-'리그 타자'!N22+'리그 타자'!M22+'리그 타자'!F22))-(-1*((('리그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타자'!P22))))</x:f>
        <x:v>0.8991177044988835</x:v>
      </x:c>
      <x:c r="Q22" t="n">
        <x:f>((((('리그 투수'!E22/('리그 투수'!D22*3)+0.14))+0.155)+0.3)-(-1*((('리그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타자'!P22)))*(1/((((('리그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타자'!L22-'리그 타자'!N22+'리그 타자'!M22+'리그 타자'!F22))-(-1*((('리그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타자'!P22))))</x:f>
        <x:v>1.2751440268739895</x:v>
      </x:c>
      <x:c r="R22" t="n">
        <x:f>(((((('리그 투수'!E22/('리그 투수'!D22*3)+0.14))+0.155)+0.3)+0.27)-(-1*((('리그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타자'!P22)))*(1/((((('리그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타자'!L22-'리그 타자'!N22+'리그 타자'!M22+'리그 타자'!F22))-(-1*((('리그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타자'!P22))))</x:f>
        <x:v>1.613567717011585</x:v>
      </x:c>
      <x:c r="S22" t="n">
        <x:f>((1.4)-(-1*((('리그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타자'!P22)))*(1/((((('리그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타자'!L22-'리그 타자'!N22+'리그 타자'!M22+'리그 타자'!F22))-(-1*((('리그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타자'!P22))))</x:f>
        <x:v>2.0871459518640116</x:v>
      </x:c>
      <x:c r="T22" t="n">
        <x:f>1/((((('리그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타자'!L22-'리그 타자'!N22+'리그 타자'!M22+'리그 타자'!F22))-(-1*((('리그 투수'!E22/('리그 투수'!D22*3)+0.14))*('리그 타자'!L22-'리그 타자'!N22)+((('리그 투수'!E22/('리그 투수'!D22*3)+0.14))+0.025)*'리그 타자'!M22+((('리그 투수'!E22/('리그 투수'!D22*3)+0.14))+0.155)*('리그 타자'!F22-'리그 타자'!G22-'리그 타자'!H22-'리그 타자'!I22)+(((('리그 투수'!E22/('리그 투수'!D22*3)+0.14))+0.155)+0.3)*'리그 타자'!G22+((((('리그 투수'!E22/('리그 투수'!D22*3)+0.14))+0.155)+0.3)+0.27)*'리그 타자'!H22+(1.4)*'리그 타자'!I22)/('리그 타자'!D22-'리그 타자'!F22+'리그 타자'!P22)))</x:f>
        <x:v>1.2534210745836865</x:v>
      </x:c>
      <x:c r="U22" t="n">
        <x:f>1.5*('리그 투수'!R22+2)</x:f>
        <x:v>10.020208765332303</x:v>
      </x:c>
      <x:c r="V22" t="n">
        <x:f>((9*'리그 투수'!E22)-(Y22*'리그 투수'!K22)-(Z22*('리그 투수'!L22+'리그 투수'!M22-'리그 투수'!N22))-(AA22*'리그 투수'!O22))/'리그 투수'!D22</x:f>
        <x:v>3.428654271957263</x:v>
      </x:c>
      <x:c r="W22" t="n">
        <x:f>'리그 타자'!E22/'리그 타자'!C22</x:f>
        <x:v>0.12033377250768555</x:v>
      </x:c>
      <x:c r="X22" s="4">
        <x:v>2002</x:v>
      </x:c>
      <x:c r="Y22">
        <x:v>12</x:v>
      </x:c>
      <x:c r="Z22">
        <x:v>3.1999999999999997</x:v>
      </x:c>
      <x:c r="AA22">
        <x:v>-2.5</x:v>
      </x:c>
      <x:c r="AB22">
        <x:v>0.2</x:v>
      </x:c>
      <x:c r="AC22">
        <x:v>0.4</x:v>
      </x:c>
      <x:c r="AD22">
        <x:v>0.65700000000000003</x:v>
      </x:c>
    </x:row>
    <x:row r="23">
      <x:c r="A23" s="4">
        <x:v>2003</x:v>
      </x:c>
      <x:c r="B23">
        <x:v>0.90500000000000003</x:v>
      </x:c>
      <x:c r="D23">
        <x:v>1.0169999999999999</x:v>
      </x:c>
      <x:c r="E23">
        <x:v>1.056</x:v>
      </x:c>
      <x:c r="F23">
        <x:v>1.077</x:v>
      </x:c>
      <x:c r="G23">
        <x:v>1.0229999999999999</x:v>
      </x:c>
      <x:c r="H23">
        <x:v>1.0409999999999999</x:v>
      </x:c>
      <x:c r="I23">
        <x:v>0.94399999999999995</x:v>
      </x:c>
      <x:c r="L23">
        <x:v>1</x:v>
      </x:c>
      <x:c r="M23" s="4">
        <x:v>2003</x:v>
      </x:c>
      <x:c r="N23" t="n">
        <x:f>((('리그 투수'!E23/('리그 투수'!D23*3)+0.14))-(-1*((('리그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타자'!P23)))*(1/((((('리그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타자'!L23-'리그 타자'!N23+'리그 타자'!M23+'리그 타자'!F23))-(-1*((('리그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타자'!P23))))</x:f>
        <x:v>0.7175548331647007</x:v>
      </x:c>
      <x:c r="O23" t="n">
        <x:f>(((('리그 투수'!E23/('리그 투수'!D23*3)+0.14))+0.025)-(-1*((('리그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타자'!P23)))*(1/((((('리그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타자'!L23-'리그 타자'!N23+'리그 타자'!M23+'리그 타자'!F23))-(-1*((('리그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타자'!P23))))</x:f>
        <x:v>0.7489133900940385</x:v>
      </x:c>
      <x:c r="P23" t="n">
        <x:f>(((('리그 투수'!E23/('리그 투수'!D23*3)+0.14))+0.155)-(-1*((('리그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타자'!P23)))*(1/((((('리그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타자'!L23-'리그 타자'!N23+'리그 타자'!M23+'리그 타자'!F23))-(-1*((('리그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타자'!P23))))</x:f>
        <x:v>0.9119778861265947</x:v>
      </x:c>
      <x:c r="Q23" t="n">
        <x:f>((((('리그 투수'!E23/('리그 투수'!D23*3)+0.14))+0.155)+0.3)-(-1*((('리그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타자'!P23)))*(1/((((('리그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타자'!L23-'리그 타자'!N23+'리그 타자'!M23+'리그 타자'!F23))-(-1*((('리그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타자'!P23))))</x:f>
        <x:v>1.2882805692786472</x:v>
      </x:c>
      <x:c r="R23" t="n">
        <x:f>(((((('리그 투수'!E23/('리그 투수'!D23*3)+0.14))+0.155)+0.3)+0.27)-(-1*((('리그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타자'!P23)))*(1/((((('리그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타자'!L23-'리그 타자'!N23+'리그 타자'!M23+'리그 타자'!F23))-(-1*((('리그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타자'!P23))))</x:f>
        <x:v>1.6269529841154946</x:v>
      </x:c>
      <x:c r="S23" t="n">
        <x:f>((1.4)-(-1*((('리그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타자'!P23)))*(1/((((('리그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타자'!L23-'리그 타자'!N23+'리그 타자'!M23+'리그 타자'!F23))-(-1*((('리그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타자'!P23))))</x:f>
        <x:v>2.099073997172883</x:v>
      </x:c>
      <x:c r="T23" t="n">
        <x:f>1/((((('리그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타자'!L23-'리그 타자'!N23+'리그 타자'!M23+'리그 타자'!F23))-(-1*((('리그 투수'!E23/('리그 투수'!D23*3)+0.14))*('리그 타자'!L23-'리그 타자'!N23)+((('리그 투수'!E23/('리그 투수'!D23*3)+0.14))+0.025)*'리그 타자'!M23+((('리그 투수'!E23/('리그 투수'!D23*3)+0.14))+0.155)*('리그 타자'!F23-'리그 타자'!G23-'리그 타자'!H23-'리그 타자'!I23)+(((('리그 투수'!E23/('리그 투수'!D23*3)+0.14))+0.155)+0.3)*'리그 타자'!G23+((((('리그 투수'!E23/('리그 투수'!D23*3)+0.14))+0.155)+0.3)+0.27)*'리그 타자'!H23+(1.4)*'리그 타자'!I23)/('리그 타자'!D23-'리그 타자'!F23+'리그 타자'!P23)))</x:f>
        <x:v>1.254342277173509</x:v>
      </x:c>
      <x:c r="U23" t="n">
        <x:f>1.5*('리그 투수'!R23+2)</x:f>
        <x:v>10.059094763620946</x:v>
      </x:c>
      <x:c r="V23" t="n">
        <x:f>((9*'리그 투수'!E23)-(Y23*'리그 투수'!K23)-(Z23*('리그 투수'!L23+'리그 투수'!M23-'리그 투수'!N23))-(AA23*'리그 투수'!O23))/'리그 투수'!D23</x:f>
        <x:v>3.119609921560314</x:v>
      </x:c>
      <x:c r="W23" t="n">
        <x:f>'리그 타자'!E23/'리그 타자'!C23</x:f>
        <x:v>0.11987266718506999</x:v>
      </x:c>
      <x:c r="X23" s="4">
        <x:v>2003</x:v>
      </x:c>
      <x:c r="Y23">
        <x:v>12</x:v>
      </x:c>
      <x:c r="Z23">
        <x:v>3.1999999999999997</x:v>
      </x:c>
      <x:c r="AA23">
        <x:v>-2.5</x:v>
      </x:c>
      <x:c r="AB23">
        <x:v>0.2</x:v>
      </x:c>
      <x:c r="AC23">
        <x:v>0.4</x:v>
      </x:c>
      <x:c r="AD23">
        <x:v>0.627</x:v>
      </x:c>
    </x:row>
    <x:row r="24">
      <x:c r="A24" s="4">
        <x:v>2004</x:v>
      </x:c>
      <x:c r="B24">
        <x:v>0.92200000000000004</x:v>
      </x:c>
      <x:c r="D24">
        <x:v>0.99399999999999999</x:v>
      </x:c>
      <x:c r="E24">
        <x:v>1.048</x:v>
      </x:c>
      <x:c r="F24">
        <x:v>1.075</x:v>
      </x:c>
      <x:c r="G24">
        <x:v>1.024</x:v>
      </x:c>
      <x:c r="H24">
        <x:v>1.046</x:v>
      </x:c>
      <x:c r="I24">
        <x:v>0.93700000000000006</x:v>
      </x:c>
      <x:c r="L24">
        <x:v>1</x:v>
      </x:c>
      <x:c r="M24" s="4">
        <x:v>2004</x:v>
      </x:c>
      <x:c r="N24" t="n">
        <x:f>((('리그 투수'!E24/('리그 투수'!D24*3)+0.14))-(-1*((('리그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타자'!P24)))*(1/((((('리그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타자'!L24-'리그 타자'!N24+'리그 타자'!M24+'리그 타자'!F24))-(-1*((('리그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타자'!P24))))</x:f>
        <x:v>0.7273323012661335</x:v>
      </x:c>
      <x:c r="O24" t="n">
        <x:f>(((('리그 투수'!E24/('리그 투수'!D24*3)+0.14))+0.025)-(-1*((('리그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타자'!P24)))*(1/((((('리그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타자'!L24-'리그 타자'!N24+'리그 타자'!M24+'리그 타자'!F24))-(-1*((('리그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타자'!P24))))</x:f>
        <x:v>0.7593042500509595</x:v>
      </x:c>
      <x:c r="P24" t="n">
        <x:f>(((('리그 투수'!E24/('리그 투수'!D24*3)+0.14))+0.155)-(-1*((('리그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타자'!P24)))*(1/((((('리그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타자'!L24-'리그 타자'!N24+'리그 타자'!M24+'리그 타자'!F24))-(-1*((('리그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타자'!P24))))</x:f>
        <x:v>0.925558383732054</x:v>
      </x:c>
      <x:c r="Q24" t="n">
        <x:f>((((('리그 투수'!E24/('리그 투수'!D24*3)+0.14))+0.155)+0.3)-(-1*((('리그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타자'!P24)))*(1/((((('리그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타자'!L24-'리그 타자'!N24+'리그 타자'!M24+'리그 타자'!F24))-(-1*((('리그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타자'!P24))))</x:f>
        <x:v>1.3092217691499648</x:v>
      </x:c>
      <x:c r="R24" t="n">
        <x:f>(((((('리그 투수'!E24/('리그 투수'!D24*3)+0.14))+0.155)+0.3)+0.27)-(-1*((('리그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타자'!P24)))*(1/((((('리그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타자'!L24-'리그 타자'!N24+'리그 타자'!M24+'리그 타자'!F24))-(-1*((('리그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타자'!P24))))</x:f>
        <x:v>1.6545188160260846</x:v>
      </x:c>
      <x:c r="S24" t="n">
        <x:f>((1.4)-(-1*((('리그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타자'!P24)))*(1/((((('리그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타자'!L24-'리그 타자'!N24+'리그 타자'!M24+'리그 타자'!F24))-(-1*((('리그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타자'!P24))))</x:f>
        <x:v>2.1346618944002773</x:v>
      </x:c>
      <x:c r="T24" t="n">
        <x:f>1/((((('리그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타자'!L24-'리그 타자'!N24+'리그 타자'!M24+'리그 타자'!F24))-(-1*((('리그 투수'!E24/('리그 투수'!D24*3)+0.14))*('리그 타자'!L24-'리그 타자'!N24)+((('리그 투수'!E24/('리그 투수'!D24*3)+0.14))+0.025)*'리그 타자'!M24+((('리그 투수'!E24/('리그 투수'!D24*3)+0.14))+0.155)*('리그 타자'!F24-'리그 타자'!G24-'리그 타자'!H24-'리그 타자'!I24)+(((('리그 투수'!E24/('리그 투수'!D24*3)+0.14))+0.155)+0.3)*'리그 타자'!G24+((((('리그 투수'!E24/('리그 투수'!D24*3)+0.14))+0.155)+0.3)+0.27)*'리그 타자'!H24+(1.4)*'리그 타자'!I24)/('리그 타자'!D24-'리그 타자'!F24+'리그 타자'!P24)))</x:f>
        <x:v>1.278877951393036</x:v>
      </x:c>
      <x:c r="U24" t="n">
        <x:f>1.5*('리그 투수'!R24+2)</x:f>
        <x:v>10.11677289854562</x:v>
      </x:c>
      <x:c r="V24" t="n">
        <x:f>((9*'리그 투수'!E24)-(Y24*'리그 투수'!K24)-(Z24*('리그 투수'!L24+'리그 투수'!M24-'리그 투수'!N24))-(AA24*'리그 투수'!O24))/'리그 투수'!D24</x:f>
        <x:v>3.3189843997605384</x:v>
      </x:c>
      <x:c r="W24" t="n">
        <x:f>'리그 타자'!E24/'리그 타자'!C24</x:f>
        <x:v>0.12067422795095645</x:v>
      </x:c>
      <x:c r="X24" s="4">
        <x:v>2004</x:v>
      </x:c>
      <x:c r="Y24">
        <x:v>12</x:v>
      </x:c>
      <x:c r="Z24">
        <x:v>3.1999999999999997</x:v>
      </x:c>
      <x:c r="AA24">
        <x:v>-2.5</x:v>
      </x:c>
      <x:c r="AB24">
        <x:v>0.2</x:v>
      </x:c>
      <x:c r="AC24">
        <x:v>0.4</x:v>
      </x:c>
      <x:c r="AD24">
        <x:v>0.63500000000000001</x:v>
      </x:c>
    </x:row>
    <x:row r="25">
      <x:c r="A25" s="4">
        <x:v>2005</x:v>
      </x:c>
      <x:c r="B25">
        <x:v>0.93500000000000005</x:v>
      </x:c>
      <x:c r="D25">
        <x:v>0.998</x:v>
      </x:c>
      <x:c r="E25">
        <x:v>1.016</x:v>
      </x:c>
      <x:c r="F25">
        <x:v>1.0880000000000001</x:v>
      </x:c>
      <x:c r="G25">
        <x:v>1.0509999999999999</x:v>
      </x:c>
      <x:c r="H25">
        <x:v>1.014</x:v>
      </x:c>
      <x:c r="I25">
        <x:v>0.93200000000000005</x:v>
      </x:c>
      <x:c r="L25">
        <x:v>1</x:v>
      </x:c>
      <x:c r="M25" s="4">
        <x:v>2005</x:v>
      </x:c>
      <x:c r="N25" t="n">
        <x:f>((('리그 투수'!E25/('리그 투수'!D25*3)+0.14))-(-1*((('리그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타자'!P25)))*(1/((((('리그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타자'!L25-'리그 타자'!N25+'리그 타자'!M25+'리그 타자'!F25))-(-1*((('리그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타자'!P25))))</x:f>
        <x:v>0.724692372749447</x:v>
      </x:c>
      <x:c r="O25" t="n">
        <x:f>(((('리그 투수'!E25/('리그 투수'!D25*3)+0.14))+0.025)-(-1*((('리그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타자'!P25)))*(1/((((('리그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타자'!L25-'리그 타자'!N25+'리그 타자'!M25+'리그 타자'!F25))-(-1*((('리그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타자'!P25))))</x:f>
        <x:v>0.7571791981740843</x:v>
      </x:c>
      <x:c r="P25" t="n">
        <x:f>(((('리그 투수'!E25/('리그 투수'!D25*3)+0.14))+0.155)-(-1*((('리그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타자'!P25)))*(1/((((('리그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타자'!L25-'리그 타자'!N25+'리그 타자'!M25+'리그 타자'!F25))-(-1*((('리그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타자'!P25))))</x:f>
        <x:v>0.9261106903821981</x:v>
      </x:c>
      <x:c r="Q25" t="n">
        <x:f>((((('리그 투수'!E25/('리그 투수'!D25*3)+0.14))+0.155)+0.3)-(-1*((('리그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타자'!P25)))*(1/((((('리그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타자'!L25-'리그 타자'!N25+'리그 타자'!M25+'리그 타자'!F25))-(-1*((('리그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타자'!P25))))</x:f>
        <x:v>1.3159525954778455</x:v>
      </x:c>
      <x:c r="R25" t="n">
        <x:f>(((((('리그 투수'!E25/('리그 투수'!D25*3)+0.14))+0.155)+0.3)+0.27)-(-1*((('리그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타자'!P25)))*(1/((((('리그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타자'!L25-'리그 타자'!N25+'리그 타자'!M25+'리그 타자'!F25))-(-1*((('리그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타자'!P25))))</x:f>
        <x:v>1.6668103100639282</x:v>
      </x:c>
      <x:c r="S25" t="n">
        <x:f>((1.4)-(-1*((('리그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타자'!P25)))*(1/((((('리그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타자'!L25-'리그 타자'!N25+'리그 타자'!M25+'리그 타자'!F25))-(-1*((('리그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타자'!P25))))</x:f>
        <x:v>2.158757228892564</x:v>
      </x:c>
      <x:c r="T25" t="n">
        <x:f>1/((((('리그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타자'!L25-'리그 타자'!N25+'리그 타자'!M25+'리그 타자'!F25))-(-1*((('리그 투수'!E25/('리그 투수'!D25*3)+0.14))*('리그 타자'!L25-'리그 타자'!N25)+((('리그 투수'!E25/('리그 투수'!D25*3)+0.14))+0.025)*'리그 타자'!M25+((('리그 투수'!E25/('리그 투수'!D25*3)+0.14))+0.155)*('리그 타자'!F25-'리그 타자'!G25-'리그 타자'!H25-'리그 타자'!I25)+(((('리그 투수'!E25/('리그 투수'!D25*3)+0.14))+0.155)+0.3)*'리그 타자'!G25+((((('리그 투수'!E25/('리그 투수'!D25*3)+0.14))+0.155)+0.3)+0.27)*'리그 타자'!H25+(1.4)*'리그 타자'!I25)/('리그 타자'!D25-'리그 타자'!F25+'리그 타자'!P25)))</x:f>
        <x:v>1.299473016985491</x:v>
      </x:c>
      <x:c r="U25" t="n">
        <x:f>1.5*('리그 투수'!R25+2)</x:f>
        <x:v>9.981145433543244</x:v>
      </x:c>
      <x:c r="V25" t="n">
        <x:f>((9*'리그 투수'!E25)-(Y25*'리그 투수'!K25)-(Z25*('리그 투수'!L25+'리그 투수'!M25-'리그 투수'!N25))-(AA25*'리그 투수'!O25))/'리그 투수'!D25</x:f>
        <x:v>3.389048701419682</x:v>
      </x:c>
      <x:c r="W25" t="n">
        <x:f>'리그 타자'!E25/'리그 타자'!C25</x:f>
        <x:v>0.1186884236453202</x:v>
      </x:c>
      <x:c r="X25" s="4">
        <x:v>2005</x:v>
      </x:c>
      <x:c r="Y25">
        <x:v>12</x:v>
      </x:c>
      <x:c r="Z25">
        <x:v>3.1999999999999997</x:v>
      </x:c>
      <x:c r="AA25">
        <x:v>-2.5</x:v>
      </x:c>
      <x:c r="AB25">
        <x:v>0.2</x:v>
      </x:c>
      <x:c r="AC25">
        <x:v>0.4</x:v>
      </x:c>
      <x:c r="AD25">
        <x:v>0.69399999999999995</x:v>
      </x:c>
    </x:row>
    <x:row r="26">
      <x:c r="A26" s="4">
        <x:v>2006</x:v>
      </x:c>
      <x:c r="B26">
        <x:v>0.95</x:v>
      </x:c>
      <x:c r="D26">
        <x:v>1.004</x:v>
      </x:c>
      <x:c r="E26">
        <x:v>0.97799999999999998</x:v>
      </x:c>
      <x:c r="F26">
        <x:v>1.091</x:v>
      </x:c>
      <x:c r="G26">
        <x:v>1.0449999999999999</x:v>
      </x:c>
      <x:c r="H26">
        <x:v>1.0029999999999999</x:v>
      </x:c>
      <x:c r="I26">
        <x:v>0.94</x:v>
      </x:c>
      <x:c r="L26">
        <x:v>1</x:v>
      </x:c>
      <x:c r="M26" s="4">
        <x:v>2006</x:v>
      </x:c>
      <x:c r="N26" t="n">
        <x:f>((('리그 투수'!E26/('리그 투수'!D26*3)+0.14))-(-1*((('리그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타자'!P26)))*(1/((((('리그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타자'!L26-'리그 타자'!N26+'리그 타자'!M26+'리그 타자'!F26))-(-1*((('리그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타자'!P26))))</x:f>
        <x:v>0.714063893576554</x:v>
      </x:c>
      <x:c r="O26" t="n">
        <x:f>(((('리그 투수'!E26/('리그 투수'!D26*3)+0.14))+0.025)-(-1*((('리그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타자'!P26)))*(1/((((('리그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타자'!L26-'리그 타자'!N26+'리그 타자'!M26+'리그 타자'!F26))-(-1*((('리그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타자'!P26))))</x:f>
        <x:v>0.7494555464651704</x:v>
      </x:c>
      <x:c r="P26" t="n">
        <x:f>(((('리그 투수'!E26/('리그 투수'!D26*3)+0.14))+0.155)-(-1*((('리그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타자'!P26)))*(1/((((('리그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타자'!L26-'리그 타자'!N26+'리그 타자'!M26+'리그 타자'!F26))-(-1*((('리그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타자'!P26))))</x:f>
        <x:v>0.9334921414859758</x:v>
      </x:c>
      <x:c r="Q26" t="n">
        <x:f>((((('리그 투수'!E26/('리그 투수'!D26*3)+0.14))+0.155)+0.3)-(-1*((('리그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타자'!P26)))*(1/((((('리그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타자'!L26-'리그 타자'!N26+'리그 타자'!M26+'리그 타자'!F26))-(-1*((('리그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타자'!P26))))</x:f>
        <x:v>1.3581919761493728</x:v>
      </x:c>
      <x:c r="R26" t="n">
        <x:f>(((((('리그 투수'!E26/('리그 투수'!D26*3)+0.14))+0.155)+0.3)+0.27)-(-1*((('리그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타자'!P26)))*(1/((((('리그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타자'!L26-'리그 타자'!N26+'리그 타자'!M26+'리그 타자'!F26))-(-1*((('리그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타자'!P26))))</x:f>
        <x:v>1.74042182734643</x:v>
      </x:c>
      <x:c r="S26" t="n">
        <x:f>((1.4)-(-1*((('리그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타자'!P26)))*(1/((((('리그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타자'!L26-'리그 타자'!N26+'리그 타자'!M26+'리그 타자'!F26))-(-1*((('리그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타자'!P26))))</x:f>
        <x:v>2.3093256919444944</x:v>
      </x:c>
      <x:c r="T26" t="n">
        <x:f>1/((((('리그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타자'!L26-'리그 타자'!N26+'리그 타자'!M26+'리그 타자'!F26))-(-1*((('리그 투수'!E26/('리그 투수'!D26*3)+0.14))*('리그 타자'!L26-'리그 타자'!N26)+((('리그 투수'!E26/('리그 투수'!D26*3)+0.14))+0.025)*'리그 타자'!M26+((('리그 투수'!E26/('리그 투수'!D26*3)+0.14))+0.155)*('리그 타자'!F26-'리그 타자'!G26-'리그 타자'!H26-'리그 타자'!I26)+(((('리그 투수'!E26/('리그 투수'!D26*3)+0.14))+0.155)+0.3)*'리그 타자'!G26+((((('리그 투수'!E26/('리그 투수'!D26*3)+0.14))+0.155)+0.3)+0.27)*'리그 타자'!H26+(1.4)*'리그 타자'!I26)/('리그 타자'!D26-'리그 타자'!F26+'리그 타자'!P26)))</x:f>
        <x:v>1.4156661155446568</x:v>
      </x:c>
      <x:c r="U26" t="n">
        <x:f>1.5*('리그 투수'!R26+2)</x:f>
        <x:v>9.011128924017598</x:v>
      </x:c>
      <x:c r="V26" t="n">
        <x:f>((9*'리그 투수'!E26)-(Y26*'리그 투수'!K26)-(Z26*('리그 투수'!L26+'리그 투수'!M26-'리그 투수'!N26))-(AA26*'리그 투수'!O26))/'리그 투수'!D26</x:f>
        <x:v>3.036563268958318</x:v>
      </x:c>
      <x:c r="W26" t="n">
        <x:f>'리그 타자'!E26/'리그 타자'!C26</x:f>
        <x:v>0.10451287705757266</x:v>
      </x:c>
      <x:c r="X26" s="4">
        <x:v>2006</x:v>
      </x:c>
      <x:c r="Y26">
        <x:v>12</x:v>
      </x:c>
      <x:c r="Z26">
        <x:v>3.1999999999999997</x:v>
      </x:c>
      <x:c r="AA26">
        <x:v>-2.5</x:v>
      </x:c>
      <x:c r="AB26">
        <x:v>0.2</x:v>
      </x:c>
      <x:c r="AC26">
        <x:v>0.4</x:v>
      </x:c>
      <x:c r="AD26">
        <x:v>0.68200000000000005</x:v>
      </x:c>
    </x:row>
    <x:row r="27">
      <x:c r="A27" s="4">
        <x:v>2007</x:v>
      </x:c>
      <x:c r="B27">
        <x:v>0.95899999999999996</x:v>
      </x:c>
      <x:c r="D27">
        <x:v>0.997</x:v>
      </x:c>
      <x:c r="E27">
        <x:v>1.0149999999999999</x:v>
      </x:c>
      <x:c r="F27">
        <x:v>0.97799999999999998</x:v>
      </x:c>
      <x:c r="G27">
        <x:v>1.0269999999999999</x:v>
      </x:c>
      <x:c r="H27">
        <x:v>1.0529999999999999</x:v>
      </x:c>
      <x:c r="I27">
        <x:v>0.95399999999999996</x:v>
      </x:c>
      <x:c r="L27">
        <x:v>1</x:v>
      </x:c>
      <x:c r="M27" s="4">
        <x:v>2007</x:v>
      </x:c>
      <x:c r="N27" t="n">
        <x:f>((('리그 투수'!E27/('리그 투수'!D27*3)+0.14))-(-1*((('리그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타자'!P27)))*(1/((((('리그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타자'!L27-'리그 타자'!N27+'리그 타자'!M27+'리그 타자'!F27))-(-1*((('리그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타자'!P27))))</x:f>
        <x:v>0.7244295441018672</x:v>
      </x:c>
      <x:c r="O27" t="n">
        <x:f>(((('리그 투수'!E27/('리그 투수'!D27*3)+0.14))+0.025)-(-1*((('리그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타자'!P27)))*(1/((((('리그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타자'!L27-'리그 타자'!N27+'리그 타자'!M27+'리그 타자'!F27))-(-1*((('리그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타자'!P27))))</x:f>
        <x:v>0.7584051146157558</x:v>
      </x:c>
      <x:c r="P27" t="n">
        <x:f>(((('리그 투수'!E27/('리그 투수'!D27*3)+0.14))+0.155)-(-1*((('리그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타자'!P27)))*(1/((((('리그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타자'!L27-'리그 타자'!N27+'리그 타자'!M27+'리그 타자'!F27))-(-1*((('리그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타자'!P27))))</x:f>
        <x:v>0.9350780812879759</x:v>
      </x:c>
      <x:c r="Q27" t="n">
        <x:f>((((('리그 투수'!E27/('리그 투수'!D27*3)+0.14))+0.155)+0.3)-(-1*((('리그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타자'!P27)))*(1/((((('리그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타자'!L27-'리그 타자'!N27+'리그 타자'!M27+'리그 타자'!F27))-(-1*((('리그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타자'!P27))))</x:f>
        <x:v>1.3427849274546377</x:v>
      </x:c>
      <x:c r="R27" t="n">
        <x:f>(((((('리그 투수'!E27/('리그 투수'!D27*3)+0.14))+0.155)+0.3)+0.27)-(-1*((('리그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타자'!P27)))*(1/((((('리그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타자'!L27-'리그 타자'!N27+'리그 타자'!M27+'리그 타자'!F27))-(-1*((('리그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타자'!P27))))</x:f>
        <x:v>1.7097210890046333</x:v>
      </x:c>
      <x:c r="S27" t="n">
        <x:f>((1.4)-(-1*((('리그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타자'!P27)))*(1/((((('리그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타자'!L27-'리그 타자'!N27+'리그 타자'!M27+'리그 타자'!F27))-(-1*((('리그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타자'!P27))))</x:f>
        <x:v>2.239450273880203</x:v>
      </x:c>
      <x:c r="T27" t="n">
        <x:f>1/((((('리그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타자'!L27-'리그 타자'!N27+'리그 타자'!M27+'리그 타자'!F27))-(-1*((('리그 투수'!E27/('리그 투수'!D27*3)+0.14))*('리그 타자'!L27-'리그 타자'!N27)+((('리그 투수'!E27/('리그 투수'!D27*3)+0.14))+0.025)*'리그 타자'!M27+((('리그 투수'!E27/('리그 투수'!D27*3)+0.14))+0.155)*('리그 타자'!F27-'리그 타자'!G27-'리그 타자'!H27-'리그 타자'!I27)+(((('리그 투수'!E27/('리그 투수'!D27*3)+0.14))+0.155)+0.3)*'리그 타자'!G27+((((('리그 투수'!E27/('리그 투수'!D27*3)+0.14))+0.155)+0.3)+0.27)*'리그 타자'!H27+(1.4)*'리그 타자'!I27)/('리그 타자'!D27-'리그 타자'!F27+'리그 타자'!P27)))</x:f>
        <x:v>1.3590228205555395</x:v>
      </x:c>
      <x:c r="U27" t="n">
        <x:f>1.5*('리그 투수'!R27+2)</x:f>
        <x:v>9.448729800687794</x:v>
      </x:c>
      <x:c r="V27" t="n">
        <x:f>((9*'리그 투수'!E27)-(Y27*'리그 투수'!K27)-(Z27*('리그 투수'!L27+'리그 투수'!M27-'리그 투수'!N27))-(AA27*'리그 투수'!O27))/'리그 투수'!D27</x:f>
        <x:v>3.146866102133639</x:v>
      </x:c>
      <x:c r="W27" t="n">
        <x:f>'리그 타자'!E27/'리그 타자'!C27</x:f>
        <x:v>0.11042441338633158</x:v>
      </x:c>
      <x:c r="X27" s="4">
        <x:v>2007</x:v>
      </x:c>
      <x:c r="Y27">
        <x:v>12</x:v>
      </x:c>
      <x:c r="Z27">
        <x:v>3.1999999999999997</x:v>
      </x:c>
      <x:c r="AA27">
        <x:v>-2.5</x:v>
      </x:c>
      <x:c r="AB27">
        <x:v>0.2</x:v>
      </x:c>
      <x:c r="AC27">
        <x:v>0.4</x:v>
      </x:c>
      <x:c r="AD27">
        <x:v>0.67600000000000005</x:v>
      </x:c>
    </x:row>
    <x:row r="28">
      <x:c r="A28" s="4">
        <x:v>2008</x:v>
      </x:c>
      <x:c r="B28">
        <x:v>0.94499999999999995</x:v>
      </x:c>
      <x:c r="C28">
        <x:v>1.056</x:v>
      </x:c>
      <x:c r="D28">
        <x:v>0.99099999999999999</x:v>
      </x:c>
      <x:c r="F28">
        <x:v>1.0720000000000001</x:v>
      </x:c>
      <x:c r="G28">
        <x:v>0.94199999999999995</x:v>
      </x:c>
      <x:c r="H28">
        <x:v>1.0469999999999999</x:v>
      </x:c>
      <x:c r="I28">
        <x:v>0.96599999999999997</x:v>
      </x:c>
      <x:c r="L28">
        <x:v>1</x:v>
      </x:c>
      <x:c r="M28" s="4">
        <x:v>2008</x:v>
      </x:c>
      <x:c r="N28" t="n">
        <x:f>((('리그 투수'!E28/('리그 투수'!D28*3)+0.14))-(-1*((('리그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타자'!P28)))*(1/((((('리그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타자'!L28-'리그 타자'!N28+'리그 타자'!M28+'리그 타자'!F28))-(-1*((('리그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타자'!P28))))</x:f>
        <x:v>0.7328298845916089</x:v>
      </x:c>
      <x:c r="O28" t="n">
        <x:f>(((('리그 투수'!E28/('리그 투수'!D28*3)+0.14))+0.025)-(-1*((('리그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타자'!P28)))*(1/((((('리그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타자'!L28-'리그 타자'!N28+'리그 타자'!M28+'리그 타자'!F28))-(-1*((('리그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타자'!P28))))</x:f>
        <x:v>0.766368670427302</x:v>
      </x:c>
      <x:c r="P28" t="n">
        <x:f>(((('리그 투수'!E28/('리그 투수'!D28*3)+0.14))+0.155)-(-1*((('리그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타자'!P28)))*(1/((((('리그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타자'!L28-'리그 타자'!N28+'리그 타자'!M28+'리그 타자'!F28))-(-1*((('리그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타자'!P28))))</x:f>
        <x:v>0.9407703567729055</x:v>
      </x:c>
      <x:c r="Q28" t="n">
        <x:f>((((('리그 투수'!E28/('리그 투수'!D28*3)+0.14))+0.155)+0.3)-(-1*((('리그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타자'!P28)))*(1/((((('리그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타자'!L28-'리그 타자'!N28+'리그 타자'!M28+'리그 타자'!F28))-(-1*((('리그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타자'!P28))))</x:f>
        <x:v>1.3432357868012215</x:v>
      </x:c>
      <x:c r="R28" t="n">
        <x:f>(((((('리그 투수'!E28/('리그 투수'!D28*3)+0.14))+0.155)+0.3)+0.27)-(-1*((('리그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타자'!P28)))*(1/((((('리그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타자'!L28-'리그 타자'!N28+'리그 타자'!M28+'리그 타자'!F28))-(-1*((('리그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타자'!P28))))</x:f>
        <x:v>1.7054546738267058</x:v>
      </x:c>
      <x:c r="S28" t="n">
        <x:f>((1.4)-(-1*((('리그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타자'!P28)))*(1/((((('리그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타자'!L28-'리그 타자'!N28+'리그 타자'!M28+'리그 타자'!F28))-(-1*((('리그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타자'!P28))))</x:f>
        <x:v>2.2181772192043328</x:v>
      </x:c>
      <x:c r="T28" t="n">
        <x:f>1/((((('리그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타자'!L28-'리그 타자'!N28+'리그 타자'!M28+'리그 타자'!F28))-(-1*((('리그 투수'!E28/('리그 투수'!D28*3)+0.14))*('리그 타자'!L28-'리그 타자'!N28)+((('리그 투수'!E28/('리그 투수'!D28*3)+0.14))+0.025)*'리그 타자'!M28+((('리그 투수'!E28/('리그 투수'!D28*3)+0.14))+0.155)*('리그 타자'!F28-'리그 타자'!G28-'리그 타자'!H28-'리그 타자'!I28)+(((('리그 투수'!E28/('리그 투수'!D28*3)+0.14))+0.155)+0.3)*'리그 타자'!G28+((((('리그 투수'!E28/('리그 투수'!D28*3)+0.14))+0.155)+0.3)+0.27)*'리그 타자'!H28+(1.4)*'리그 타자'!I28)/('리그 타자'!D28-'리그 타자'!F28+'리그 타자'!P28)))</x:f>
        <x:v>1.3415514334277199</x:v>
      </x:c>
      <x:c r="U28" t="n">
        <x:f>1.5*('리그 투수'!R28+2)</x:f>
        <x:v>9.771463432670267</x:v>
      </x:c>
      <x:c r="V28" t="n">
        <x:f>((9*'리그 투수'!E28)-(Y28*'리그 투수'!K28)-(Z28*('리그 투수'!L28+'리그 투수'!M28-'리그 투수'!N28))-(AA28*'리그 투수'!O28))/'리그 투수'!D28</x:f>
        <x:v>3.46508541004215</x:v>
      </x:c>
      <x:c r="W28" t="n">
        <x:f>'리그 타자'!E28/'리그 타자'!C28</x:f>
        <x:v>0.11589522784355938</x:v>
      </x:c>
      <x:c r="X28" s="4">
        <x:v>2008</x:v>
      </x:c>
      <x:c r="Y28">
        <x:v>12</x:v>
      </x:c>
      <x:c r="Z28">
        <x:v>3.1999999999999997</x:v>
      </x:c>
      <x:c r="AA28">
        <x:v>-2.5</x:v>
      </x:c>
      <x:c r="AB28">
        <x:v>0.2</x:v>
      </x:c>
      <x:c r="AC28">
        <x:v>0.4</x:v>
      </x:c>
      <x:c r="AD28">
        <x:v>0.69</x:v>
      </x:c>
    </x:row>
    <x:row r="29">
      <x:c r="A29" s="4">
        <x:v>2009</x:v>
      </x:c>
      <x:c r="B29">
        <x:v>0.94099999999999995</x:v>
      </x:c>
      <x:c r="C29">
        <x:v>1.04</x:v>
      </x:c>
      <x:c r="D29">
        <x:v>0.998</x:v>
      </x:c>
      <x:c r="F29">
        <x:v>1.054</x:v>
      </x:c>
      <x:c r="G29">
        <x:v>0.92200000000000004</x:v>
      </x:c>
      <x:c r="H29">
        <x:v>1.0629999999999999</x:v>
      </x:c>
      <x:c r="I29">
        <x:v>1.0369999999999999</x:v>
      </x:c>
      <x:c r="L29">
        <x:v>1</x:v>
      </x:c>
      <x:c r="M29" s="4">
        <x:v>2009</x:v>
      </x:c>
      <x:c r="N29" t="n">
        <x:f>((('리그 투수'!E29/('리그 투수'!D29*3)+0.14))-(-1*((('리그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타자'!P29)))*(1/((((('리그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타자'!L29-'리그 타자'!N29+'리그 타자'!M29+'리그 타자'!F29))-(-1*((('리그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타자'!P29))))</x:f>
        <x:v>0.7354355602389768</x:v>
      </x:c>
      <x:c r="O29" t="n">
        <x:f>(((('리그 투수'!E29/('리그 투수'!D29*3)+0.14))+0.025)-(-1*((('리그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타자'!P29)))*(1/((((('리그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타자'!L29-'리그 타자'!N29+'리그 타자'!M29+'리그 타자'!F29))-(-1*((('리그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타자'!P29))))</x:f>
        <x:v>0.7652876951932666</x:v>
      </x:c>
      <x:c r="P29" t="n">
        <x:f>(((('리그 투수'!E29/('리그 투수'!D29*3)+0.14))+0.155)-(-1*((('리그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타자'!P29)))*(1/((((('리그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타자'!L29-'리그 타자'!N29+'리그 타자'!M29+'리그 타자'!F29))-(-1*((('리그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타자'!P29))))</x:f>
        <x:v>0.9205187969555724</x:v>
      </x:c>
      <x:c r="Q29" t="n">
        <x:f>((((('리그 투수'!E29/('리그 투수'!D29*3)+0.14))+0.155)+0.3)-(-1*((('리그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타자'!P29)))*(1/((((('리그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타자'!L29-'리그 타자'!N29+'리그 타자'!M29+'리그 타자'!F29))-(-1*((('리그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타자'!P29))))</x:f>
        <x:v>1.2787444164070476</x:v>
      </x:c>
      <x:c r="R29" t="n">
        <x:f>(((((('리그 투수'!E29/('리그 투수'!D29*3)+0.14))+0.155)+0.3)+0.27)-(-1*((('리그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타자'!P29)))*(1/((((('리그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타자'!L29-'리그 타자'!N29+'리그 타자'!M29+'리그 타자'!F29))-(-1*((('리그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타자'!P29))))</x:f>
        <x:v>1.6011474739133753</x:v>
      </x:c>
      <x:c r="S29" t="n">
        <x:f>((1.4)-(-1*((('리그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타자'!P29)))*(1/((((('리그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타자'!L29-'리그 타자'!N29+'리그 타자'!M29+'리그 타자'!F29))-(-1*((('리그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타자'!P29))))</x:f>
        <x:v>2.027311846620275</x:v>
      </x:c>
      <x:c r="T29" t="n">
        <x:f>1/((((('리그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타자'!L29-'리그 타자'!N29+'리그 타자'!M29+'리그 타자'!F29))-(-1*((('리그 투수'!E29/('리그 투수'!D29*3)+0.14))*('리그 타자'!L29-'리그 타자'!N29)+((('리그 투수'!E29/('리그 투수'!D29*3)+0.14))+0.025)*'리그 타자'!M29+((('리그 투수'!E29/('리그 투수'!D29*3)+0.14))+0.155)*('리그 타자'!F29-'리그 타자'!G29-'리그 타자'!H29-'리그 타자'!I29)+(((('리그 투수'!E29/('리그 투수'!D29*3)+0.14))+0.155)+0.3)*'리그 타자'!G29+((((('리그 투수'!E29/('리그 투수'!D29*3)+0.14))+0.155)+0.3)+0.27)*'리그 타자'!H29+(1.4)*'리그 타자'!I29)/('리그 타자'!D29-'리그 타자'!F29+'리그 타자'!P29)))</x:f>
        <x:v>1.1940853981715844</x:v>
      </x:c>
      <x:c r="U29" t="n">
        <x:f>1.5*('리그 투수'!R29+2)</x:f>
        <x:v>10.847651977560599</x:v>
      </x:c>
      <x:c r="V29" t="n">
        <x:f>((9*'리그 투수'!E29)-(Y29*'리그 투수'!K29)-(Z29*('리그 투수'!L29+'리그 투수'!M29-'리그 투수'!N29))-(AA29*'리그 투수'!O29))/'리그 투수'!D29</x:f>
        <x:v>3.5894047913064955</x:v>
      </x:c>
      <x:c r="W29" t="n">
        <x:f>'리그 타자'!E29/'리그 타자'!C29</x:f>
        <x:v>0.13118669978979552</x:v>
      </x:c>
      <x:c r="X29" s="4">
        <x:v>2009</x:v>
      </x:c>
      <x:c r="Y29">
        <x:v>12</x:v>
      </x:c>
      <x:c r="Z29">
        <x:v>3.1999999999999997</x:v>
      </x:c>
      <x:c r="AA29">
        <x:v>-2.5</x:v>
      </x:c>
      <x:c r="AB29">
        <x:v>0.2</x:v>
      </x:c>
      <x:c r="AC29">
        <x:v>0.4</x:v>
      </x:c>
      <x:c r="AD29">
        <x:v>0.72599999999999998</x:v>
      </x:c>
    </x:row>
    <x:row r="30">
      <x:c r="A30" s="4">
        <x:v>2010</x:v>
      </x:c>
      <x:c r="B30">
        <x:v>0.93700000000000006</x:v>
      </x:c>
      <x:c r="C30">
        <x:v>1.004</x:v>
      </x:c>
      <x:c r="D30">
        <x:v>1.0029999999999999</x:v>
      </x:c>
      <x:c r="F30">
        <x:v>1.0389999999999999</x:v>
      </x:c>
      <x:c r="G30">
        <x:v>0.93400000000000005</x:v>
      </x:c>
      <x:c r="H30">
        <x:v>1.0549999999999999</x:v>
      </x:c>
      <x:c r="I30">
        <x:v>1.077</x:v>
      </x:c>
      <x:c r="L30">
        <x:v>1</x:v>
      </x:c>
      <x:c r="M30" s="4">
        <x:v>2010</x:v>
      </x:c>
      <x:c r="N30" t="n">
        <x:f>((('리그 투수'!E30/('리그 투수'!D30*3)+0.14))-(-1*((('리그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타자'!P30)))*(1/((((('리그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타자'!L30-'리그 타자'!N30+'리그 타자'!M30+'리그 타자'!F30))-(-1*((('리그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타자'!P30))))</x:f>
        <x:v>0.7350318077973914</x:v>
      </x:c>
      <x:c r="O30" t="n">
        <x:f>(((('리그 투수'!E30/('리그 투수'!D30*3)+0.14))+0.025)-(-1*((('리그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타자'!P30)))*(1/((((('리그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타자'!L30-'리그 타자'!N30+'리그 타자'!M30+'리그 타자'!F30))-(-1*((('리그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타자'!P30))))</x:f>
        <x:v>0.766188024486126</x:v>
      </x:c>
      <x:c r="P30" t="n">
        <x:f>(((('리그 투수'!E30/('리그 투수'!D30*3)+0.14))+0.155)-(-1*((('리그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타자'!P30)))*(1/((((('리그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타자'!L30-'리그 타자'!N30+'리그 타자'!M30+'리그 타자'!F30))-(-1*((('리그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타자'!P30))))</x:f>
        <x:v>0.9282003512675443</x:v>
      </x:c>
      <x:c r="Q30" t="n">
        <x:f>((((('리그 투수'!E30/('리그 투수'!D30*3)+0.14))+0.155)+0.3)-(-1*((('리그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타자'!P30)))*(1/((((('리그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타자'!L30-'리그 타자'!N30+'리그 타자'!M30+'리그 타자'!F30))-(-1*((('리그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타자'!P30))))</x:f>
        <x:v>1.3020749515323562</x:v>
      </x:c>
      <x:c r="R30" t="n">
        <x:f>(((((('리그 투수'!E30/('리그 투수'!D30*3)+0.14))+0.155)+0.3)+0.27)-(-1*((('리그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타자'!P30)))*(1/((((('리그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타자'!L30-'리그 타자'!N30+'리그 타자'!M30+'리그 타자'!F30))-(-1*((('리그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타자'!P30))))</x:f>
        <x:v>1.6385620917706867</x:v>
      </x:c>
      <x:c r="S30" t="n">
        <x:f>((1.4)-(-1*((('리그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타자'!P30)))*(1/((((('리그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타자'!L30-'리그 타자'!N30+'리그 타자'!M30+'리그 타자'!F30))-(-1*((('리그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타자'!P30))))</x:f>
        <x:v>2.093184214079675</x:v>
      </x:c>
      <x:c r="T30" t="n">
        <x:f>1/((((('리그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타자'!L30-'리그 타자'!N30+'리그 타자'!M30+'리그 타자'!F30))-(-1*((('리그 투수'!E30/('리그 투수'!D30*3)+0.14))*('리그 타자'!L30-'리그 타자'!N30)+((('리그 투수'!E30/('리그 투수'!D30*3)+0.14))+0.025)*'리그 타자'!M30+((('리그 투수'!E30/('리그 투수'!D30*3)+0.14))+0.155)*('리그 타자'!F30-'리그 타자'!G30-'리그 타자'!H30-'리그 타자'!I30)+(((('리그 투수'!E30/('리그 투수'!D30*3)+0.14))+0.155)+0.3)*'리그 타자'!G30+((((('리그 투수'!E30/('리그 투수'!D30*3)+0.14))+0.155)+0.3)+0.27)*'리그 타자'!H30+(1.4)*'리그 타자'!I30)/('리그 타자'!D30-'리그 타자'!F30+'리그 타자'!P30)))</x:f>
        <x:v>1.2462486675493727</x:v>
      </x:c>
      <x:c r="U30" t="n">
        <x:f>1.5*('리그 투수'!R30+2)</x:f>
        <x:v>10.5390841731924</x:v>
      </x:c>
      <x:c r="V30" t="n">
        <x:f>((9*'리그 투수'!E30)-(Y30*'리그 투수'!K30)-(Z30*('리그 투수'!L30+'리그 투수'!M30-'리그 투수'!N30))-(AA30*'리그 투수'!O30))/'리그 투수'!D30</x:f>
        <x:v>3.6772307476208868</x:v>
      </x:c>
      <x:c r="W30" t="n">
        <x:f>'리그 타자'!E30/'리그 타자'!C30</x:f>
        <x:v>0.12743707478904728</x:v>
      </x:c>
      <x:c r="X30" s="4">
        <x:v>2010</x:v>
      </x:c>
      <x:c r="Y30">
        <x:v>12</x:v>
      </x:c>
      <x:c r="Z30">
        <x:v>3.1999999999999997</x:v>
      </x:c>
      <x:c r="AA30">
        <x:v>-2.5</x:v>
      </x:c>
      <x:c r="AB30">
        <x:v>0.2</x:v>
      </x:c>
      <x:c r="AC30">
        <x:v>0.4</x:v>
      </x:c>
      <x:c r="AD30">
        <x:v>0.70299999999999996</x:v>
      </x:c>
    </x:row>
    <x:row r="31">
      <x:c r="A31" s="4">
        <x:v>2011</x:v>
      </x:c>
      <x:c r="B31">
        <x:v>0.91100000000000003</x:v>
      </x:c>
      <x:c r="C31">
        <x:v>1.0349999999999999</x:v>
      </x:c>
      <x:c r="D31">
        <x:v>0.99199999999999999</x:v>
      </x:c>
      <x:c r="F31">
        <x:v>1.0409999999999999</x:v>
      </x:c>
      <x:c r="G31">
        <x:v>0.99</x:v>
      </x:c>
      <x:c r="H31">
        <x:v>1.048</x:v>
      </x:c>
      <x:c r="I31">
        <x:v>1.0720000000000001</x:v>
      </x:c>
      <x:c r="L31">
        <x:v>1</x:v>
      </x:c>
      <x:c r="M31" s="4">
        <x:v>2011</x:v>
      </x:c>
      <x:c r="N31" t="n">
        <x:f>((('리그 투수'!E31/('리그 투수'!D31*3)+0.14))-(-1*((('리그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타자'!P31)))*(1/((((('리그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타자'!L31-'리그 타자'!N31+'리그 타자'!M31+'리그 타자'!F31))-(-1*((('리그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타자'!P31))))</x:f>
        <x:v>0.7324909309206635</x:v>
      </x:c>
      <x:c r="O31" t="n">
        <x:f>(((('리그 투수'!E31/('리그 투수'!D31*3)+0.14))+0.025)-(-1*((('리그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타자'!P31)))*(1/((((('리그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타자'!L31-'리그 타자'!N31+'리그 타자'!M31+'리그 타자'!F31))-(-1*((('리그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타자'!P31))))</x:f>
        <x:v>0.7657038447702637</x:v>
      </x:c>
      <x:c r="P31" t="n">
        <x:f>(((('리그 투수'!E31/('리그 투수'!D31*3)+0.14))+0.155)-(-1*((('리그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타자'!P31)))*(1/((((('리그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타자'!L31-'리그 타자'!N31+'리그 타자'!M31+'리그 타자'!F31))-(-1*((('리그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타자'!P31))))</x:f>
        <x:v>0.9384109967881841</x:v>
      </x:c>
      <x:c r="Q31" t="n">
        <x:f>((((('리그 투수'!E31/('리그 투수'!D31*3)+0.14))+0.155)+0.3)-(-1*((('리그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타자'!P31)))*(1/((((('리그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타자'!L31-'리그 타자'!N31+'리그 타자'!M31+'리그 타자'!F31))-(-1*((('리그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타자'!P31))))</x:f>
        <x:v>1.3369659629833852</x:v>
      </x:c>
      <x:c r="R31" t="n">
        <x:f>(((((('리그 투수'!E31/('리그 투수'!D31*3)+0.14))+0.155)+0.3)+0.27)-(-1*((('리그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타자'!P31)))*(1/((((('리그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타자'!L31-'리그 타자'!N31+'리그 타자'!M31+'리그 타자'!F31))-(-1*((('리그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타자'!P31))))</x:f>
        <x:v>1.6956654325590663</x:v>
      </x:c>
      <x:c r="S31" t="n">
        <x:f>((1.4)-(-1*((('리그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타자'!P31)))*(1/((((('리그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타자'!L31-'리그 타자'!N31+'리그 타자'!M31+'리그 타자'!F31))-(-1*((('리그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타자'!P31))))</x:f>
        <x:v>2.2018403424144544</x:v>
      </x:c>
      <x:c r="T31" t="n">
        <x:f>1/((((('리그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타자'!L31-'리그 타자'!N31+'리그 타자'!M31+'리그 타자'!F31))-(-1*((('리그 투수'!E31/('리그 투수'!D31*3)+0.14))*('리그 타자'!L31-'리그 타자'!N31)+((('리그 투수'!E31/('리그 투수'!D31*3)+0.14))+0.025)*'리그 타자'!M31+((('리그 투수'!E31/('리그 투수'!D31*3)+0.14))+0.155)*('리그 타자'!F31-'리그 타자'!G31-'리그 타자'!H31-'리그 타자'!I31)+(((('리그 투수'!E31/('리그 투수'!D31*3)+0.14))+0.155)+0.3)*'리그 타자'!G31+((((('리그 투수'!E31/('리그 투수'!D31*3)+0.14))+0.155)+0.3)+0.27)*'리그 타자'!H31+(1.4)*'리그 타자'!I31)/('리그 타자'!D31-'리그 타자'!F31+'리그 타자'!P31)))</x:f>
        <x:v>1.3285165539840038</x:v>
      </x:c>
      <x:c r="U31" t="n">
        <x:f>1.5*('리그 투수'!R31+2)</x:f>
        <x:v>9.875475285171103</x:v>
      </x:c>
      <x:c r="V31" t="n">
        <x:f>((9*'리그 투수'!E31)-(Y31*'리그 투수'!K31)-(Z31*('리그 투수'!L31+'리그 투수'!M31-'리그 투수'!N31))-(AA31*'리그 투수'!O31))/'리그 투수'!D31</x:f>
        <x:v>3.5711871567384876</x:v>
      </x:c>
      <x:c r="W31" t="n">
        <x:f>'리그 타자'!E31/'리그 타자'!C31</x:f>
        <x:v>0.11741501899288984</x:v>
      </x:c>
      <x:c r="X31" s="4">
        <x:v>2011</x:v>
      </x:c>
      <x:c r="Y31">
        <x:v>12</x:v>
      </x:c>
      <x:c r="Z31">
        <x:v>3.1999999999999997</x:v>
      </x:c>
      <x:c r="AA31">
        <x:v>-2.5</x:v>
      </x:c>
      <x:c r="AB31">
        <x:v>0.2</x:v>
      </x:c>
      <x:c r="AC31">
        <x:v>0.4</x:v>
      </x:c>
      <x:c r="AD31">
        <x:v>0.67600000000000005</x:v>
      </x:c>
    </x:row>
    <x:row r="32">
      <x:c r="A32" s="4">
        <x:v>2012</x:v>
      </x:c>
      <x:c r="B32">
        <x:v>0.91200000000000003</x:v>
      </x:c>
      <x:c r="C32">
        <x:v>1.0660000000000001</x:v>
      </x:c>
      <x:c r="D32">
        <x:v>1.018</x:v>
      </x:c>
      <x:c r="F32">
        <x:v>1.028</x:v>
      </x:c>
      <x:c r="G32">
        <x:v>1.004</x:v>
      </x:c>
      <x:c r="H32">
        <x:v>1.044</x:v>
      </x:c>
      <x:c r="I32">
        <x:v>1.07</x:v>
      </x:c>
      <x:c r="L32">
        <x:v>1</x:v>
      </x:c>
      <x:c r="M32" s="4">
        <x:v>2012</x:v>
      </x:c>
      <x:c r="N32" t="n">
        <x:f>((('리그 투수'!E32/('리그 투수'!D32*3)+0.14))-(-1*((('리그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타자'!P32)))*(1/((((('리그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타자'!L32-'리그 타자'!N32+'리그 타자'!M32+'리그 타자'!F32))-(-1*((('리그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타자'!P32))))</x:f>
        <x:v>0.725672499412452</x:v>
      </x:c>
      <x:c r="O32" t="n">
        <x:f>(((('리그 투수'!E32/('리그 투수'!D32*3)+0.14))+0.025)-(-1*((('리그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타자'!P32)))*(1/((((('리그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타자'!L32-'리그 타자'!N32+'리그 타자'!M32+'리그 타자'!F32))-(-1*((('리그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타자'!P32))))</x:f>
        <x:v>0.76063219251706</x:v>
      </x:c>
      <x:c r="P32" t="n">
        <x:f>(((('리그 투수'!E32/('리그 투수'!D32*3)+0.14))+0.155)-(-1*((('리그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타자'!P32)))*(1/((((('리그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타자'!L32-'리그 타자'!N32+'리그 타자'!M32+'리그 타자'!F32))-(-1*((('리그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타자'!P32))))</x:f>
        <x:v>0.9424225966610219</x:v>
      </x:c>
      <x:c r="Q32" t="n">
        <x:f>((((('리그 투수'!E32/('리그 투수'!D32*3)+0.14))+0.155)+0.3)-(-1*((('리그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타자'!P32)))*(1/((((('리그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타자'!L32-'리그 타자'!N32+'리그 타자'!M32+'리그 타자'!F32))-(-1*((('리그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타자'!P32))))</x:f>
        <x:v>1.3619389139163183</x:v>
      </x:c>
      <x:c r="R32" t="n">
        <x:f>(((((('리그 투수'!E32/('리그 투수'!D32*3)+0.14))+0.155)+0.3)+0.27)-(-1*((('리그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타자'!P32)))*(1/((((('리그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타자'!L32-'리그 타자'!N32+'리그 타자'!M32+'리그 타자'!F32))-(-1*((('리그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타자'!P32))))</x:f>
        <x:v>1.7395035994460852</x:v>
      </x:c>
      <x:c r="S32" t="n">
        <x:f>((1.4)-(-1*((('리그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타자'!P32)))*(1/((((('리그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타자'!L32-'리그 타자'!N32+'리그 타자'!M32+'리그 타자'!F32))-(-1*((('리그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타자'!P32))))</x:f>
        <x:v>2.289568004061018</x:v>
      </x:c>
      <x:c r="T32" t="n">
        <x:f>1/((((('리그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타자'!L32-'리그 타자'!N32+'리그 타자'!M32+'리그 타자'!F32))-(-1*((('리그 투수'!E32/('리그 투수'!D32*3)+0.14))*('리그 타자'!L32-'리그 타자'!N32)+((('리그 투수'!E32/('리그 투수'!D32*3)+0.14))+0.025)*'리그 타자'!M32+((('리그 투수'!E32/('리그 투수'!D32*3)+0.14))+0.155)*('리그 타자'!F32-'리그 타자'!G32-'리그 타자'!H32-'리그 타자'!I32)+(((('리그 투수'!E32/('리그 투수'!D32*3)+0.14))+0.155)+0.3)*'리그 타자'!G32+((((('리그 투수'!E32/('리그 투수'!D32*3)+0.14))+0.155)+0.3)+0.27)*'리그 타자'!H32+(1.4)*'리그 타자'!I32)/('리그 타자'!D32-'리그 타자'!F32+'리그 타자'!P32)))</x:f>
        <x:v>1.398387724184322</x:v>
      </x:c>
      <x:c r="U32" t="n">
        <x:f>1.5*('리그 투수'!R32+2)</x:f>
        <x:v>9.225521162349969</x:v>
      </x:c>
      <x:c r="V32" t="n">
        <x:f>((9*'리그 투수'!E32)-(Y32*'리그 투수'!K32)-(Z32*('리그 투수'!L32+'리그 투수'!M32-'리그 투수'!N32))-(AA32*'리그 투수'!O32))/'리그 투수'!D32</x:f>
        <x:v>3.4370183196462416</x:v>
      </x:c>
      <x:c r="W32" t="n">
        <x:f>'리그 타자'!E32/'리그 타자'!C32</x:f>
        <x:v>0.10807609741653712</x:v>
      </x:c>
      <x:c r="X32" s="4">
        <x:v>2012</x:v>
      </x:c>
      <x:c r="Y32">
        <x:v>12</x:v>
      </x:c>
      <x:c r="Z32">
        <x:v>3.1999999999999997</x:v>
      </x:c>
      <x:c r="AA32">
        <x:v>-2.5</x:v>
      </x:c>
      <x:c r="AB32">
        <x:v>0.2</x:v>
      </x:c>
      <x:c r="AC32">
        <x:v>0.4</x:v>
      </x:c>
      <x:c r="AD32">
        <x:v>0.69</x:v>
      </x:c>
    </x:row>
    <x:row r="33">
      <x:c r="A33" s="4">
        <x:v>2013</x:v>
      </x:c>
      <x:c r="B33">
        <x:v>0.89100000000000001</x:v>
      </x:c>
      <x:c r="C33">
        <x:v>1.127</x:v>
      </x:c>
      <x:c r="D33">
        <x:v>1.0369999999999999</x:v>
      </x:c>
      <x:c r="F33">
        <x:v>0.98899999999999999</x:v>
      </x:c>
      <x:c r="G33" s="2">
        <x:v>1.0489999999999999</x:v>
      </x:c>
      <x:c r="H33">
        <x:v>1.0369999999999999</x:v>
      </x:c>
      <x:c r="I33">
        <x:v>1.075</x:v>
      </x:c>
      <x:c r="J33">
        <x:v>0.95099999999999996</x:v>
      </x:c>
      <x:c r="L33">
        <x:v>1</x:v>
      </x:c>
      <x:c r="M33" s="4">
        <x:v>2013</x:v>
      </x:c>
      <x:c r="N33" t="n">
        <x:f>((('리그 투수'!E33/('리그 투수'!D33*3)+0.14))-(-1*((('리그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타자'!P33)))*(1/((((('리그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타자'!L33-'리그 타자'!N33+'리그 타자'!M33+'리그 타자'!F33))-(-1*((('리그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타자'!P33))))</x:f>
        <x:v>0.74012064905436</x:v>
      </x:c>
      <x:c r="O33" t="n">
        <x:f>(((('리그 투수'!E33/('리그 투수'!D33*3)+0.14))+0.025)-(-1*((('리그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타자'!P33)))*(1/((((('리그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타자'!L33-'리그 타자'!N33+'리그 타자'!M33+'리그 타자'!F33))-(-1*((('리그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타자'!P33))))</x:f>
        <x:v>0.7728065586300334</x:v>
      </x:c>
      <x:c r="P33" t="n">
        <x:f>(((('리그 투수'!E33/('리그 투수'!D33*3)+0.14))+0.155)-(-1*((('리그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타자'!P33)))*(1/((((('리그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타자'!L33-'리그 타자'!N33+'리그 타자'!M33+'리그 타자'!F33))-(-1*((('리그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타자'!P33))))</x:f>
        <x:v>0.9427732884235349</x:v>
      </x:c>
      <x:c r="Q33" t="n">
        <x:f>((((('리그 투수'!E33/('리그 투수'!D33*3)+0.14))+0.155)+0.3)-(-1*((('리그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타자'!P33)))*(1/((((('리그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타자'!L33-'리그 타자'!N33+'리그 타자'!M33+'리그 타자'!F33))-(-1*((('리그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타자'!P33))))</x:f>
        <x:v>1.335004203331615</x:v>
      </x:c>
      <x:c r="R33" t="n">
        <x:f>(((((('리그 투수'!E33/('리그 투수'!D33*3)+0.14))+0.155)+0.3)+0.27)-(-1*((('리그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타자'!P33)))*(1/((((('리그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타자'!L33-'리그 타자'!N33+'리그 타자'!M33+'리그 타자'!F33))-(-1*((('리그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타자'!P33))))</x:f>
        <x:v>1.6880120267488872</x:v>
      </x:c>
      <x:c r="S33" t="n">
        <x:f>((1.4)-(-1*((('리그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타자'!P33)))*(1/((((('리그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타자'!L33-'리그 타자'!N33+'리그 타자'!M33+'리그 타자'!F33))-(-1*((('리그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타자'!P33))))</x:f>
        <x:v>2.178315929318627</x:v>
      </x:c>
      <x:c r="T33" t="n">
        <x:f>1/((((('리그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타자'!L33-'리그 타자'!N33+'리그 타자'!M33+'리그 타자'!F33))-(-1*((('리그 투수'!E33/('리그 투수'!D33*3)+0.14))*('리그 타자'!L33-'리그 타자'!N33)+((('리그 투수'!E33/('리그 투수'!D33*3)+0.14))+0.025)*'리그 타자'!M33+((('리그 투수'!E33/('리그 투수'!D33*3)+0.14))+0.155)*('리그 타자'!F33-'리그 타자'!G33-'리그 타자'!H33-'리그 타자'!I33)+(((('리그 투수'!E33/('리그 투수'!D33*3)+0.14))+0.155)+0.3)*'리그 타자'!G33+((((('리그 투수'!E33/('리그 투수'!D33*3)+0.14))+0.155)+0.3)+0.27)*'리그 타자'!H33+(1.4)*'리그 타자'!I33)/('리그 타자'!D33-'리그 타자'!F33+'리그 타자'!P33)))</x:f>
        <x:v>1.3074363830269342</x:v>
      </x:c>
      <x:c r="U33" t="n">
        <x:f>1.5*('리그 투수'!R33+2)</x:f>
        <x:v>10.028350515463918</x:v>
      </x:c>
      <x:c r="V33" t="n">
        <x:f>((9*'리그 투수'!E33)-(Y33*'리그 투수'!K33)-(Z33*('리그 투수'!L33+'리그 투수'!M33-'리그 투수'!N33))-(AA33*'리그 투수'!O33))/'리그 투수'!D33</x:f>
        <x:v>3.7484438825131297</x:v>
      </x:c>
      <x:c r="W33" t="n">
        <x:f>'리그 타자'!E33/'리그 타자'!C33</x:f>
        <x:v>0.11923907958924554</x:v>
      </x:c>
      <x:c r="X33" s="4">
        <x:v>2013</x:v>
      </x:c>
      <x:c r="Y33">
        <x:v>12</x:v>
      </x:c>
      <x:c r="Z33">
        <x:v>3.1999999999999997</x:v>
      </x:c>
      <x:c r="AA33">
        <x:v>-2.5</x:v>
      </x:c>
      <x:c r="AB33">
        <x:v>0.2</x:v>
      </x:c>
      <x:c r="AC33">
        <x:v>0.4</x:v>
      </x:c>
      <x:c r="AD33">
        <x:v>0.69899999999999995</x:v>
      </x:c>
    </x:row>
    <x:row r="34">
      <x:c r="A34" s="4">
        <x:v>2014</x:v>
      </x:c>
      <x:c r="B34">
        <x:v>0.89500000000000002</x:v>
      </x:c>
      <x:c r="C34">
        <x:v>1.1060000000000001</x:v>
      </x:c>
      <x:c r="D34">
        <x:v>1.0069999999999999</x:v>
      </x:c>
      <x:c r="F34">
        <x:v>1.056</x:v>
      </x:c>
      <x:c r="G34">
        <x:v>1.0620000000000001</x:v>
      </x:c>
      <x:c r="H34">
        <x:v>1.028</x:v>
      </x:c>
      <x:c r="I34">
        <x:v>1.081</x:v>
      </x:c>
      <x:c r="J34">
        <x:v>0.92700000000000005</x:v>
      </x:c>
      <x:c r="L34">
        <x:v>1</x:v>
      </x:c>
      <x:c r="M34" s="4">
        <x:v>2014</x:v>
      </x:c>
      <x:c r="N34" t="n">
        <x:f>((('리그 투수'!E34/('리그 투수'!D34*3)+0.14))-(-1*((('리그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타자'!P34)))*(1/((((('리그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타자'!L34-'리그 타자'!N34+'리그 타자'!M34+'리그 타자'!F34))-(-1*((('리그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타자'!P34))))</x:f>
        <x:v>0.7451906712261437</x:v>
      </x:c>
      <x:c r="O34" t="n">
        <x:f>(((('리그 투수'!E34/('리그 투수'!D34*3)+0.14))+0.025)-(-1*((('리그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타자'!P34)))*(1/((((('리그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타자'!L34-'리그 타자'!N34+'리그 타자'!M34+'리그 타자'!F34))-(-1*((('리그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타자'!P34))))</x:f>
        <x:v>0.7738530505485228</x:v>
      </x:c>
      <x:c r="P34" t="n">
        <x:f>(((('리그 투수'!E34/('리그 투수'!D34*3)+0.14))+0.155)-(-1*((('리그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타자'!P34)))*(1/((((('리그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타자'!L34-'리그 타자'!N34+'리그 타자'!M34+'리그 타자'!F34))-(-1*((('리그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타자'!P34))))</x:f>
        <x:v>0.9228974230248952</x:v>
      </x:c>
      <x:c r="Q34" t="n">
        <x:f>((((('리그 투수'!E34/('리그 투수'!D34*3)+0.14))+0.155)+0.3)-(-1*((('리그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타자'!P34)))*(1/((((('리그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타자'!L34-'리그 타자'!N34+'리그 타자'!M34+'리그 타자'!F34))-(-1*((('리그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타자'!P34))))</x:f>
        <x:v>1.266845974893446</x:v>
      </x:c>
      <x:c r="R34" t="n">
        <x:f>(((((('리그 투수'!E34/('리그 투수'!D34*3)+0.14))+0.155)+0.3)+0.27)-(-1*((('리그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타자'!P34)))*(1/((((('리그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타자'!L34-'리그 타자'!N34+'리그 타자'!M34+'리그 타자'!F34))-(-1*((('리그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타자'!P34))))</x:f>
        <x:v>1.576399671575142</x:v>
      </x:c>
      <x:c r="S34" t="n">
        <x:f>((1.4)-(-1*((('리그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타자'!P34)))*(1/((((('리그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타자'!L34-'리그 타자'!N34+'리그 타자'!M34+'리그 타자'!F34))-(-1*((('리그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타자'!P34))))</x:f>
        <x:v>1.9683731073492328</x:v>
      </x:c>
      <x:c r="T34" t="n">
        <x:f>1/((((('리그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타자'!L34-'리그 타자'!N34+'리그 타자'!M34+'리그 타자'!F34))-(-1*((('리그 투수'!E34/('리그 투수'!D34*3)+0.14))*('리그 타자'!L34-'리그 타자'!N34)+((('리그 투수'!E34/('리그 투수'!D34*3)+0.14))+0.025)*'리그 타자'!M34+((('리그 투수'!E34/('리그 투수'!D34*3)+0.14))+0.155)*('리그 타자'!F34-'리그 타자'!G34-'리그 타자'!H34-'리그 타자'!I34)+(((('리그 투수'!E34/('리그 투수'!D34*3)+0.14))+0.155)+0.3)*'리그 타자'!G34+((((('리그 투수'!E34/('리그 투수'!D34*3)+0.14))+0.155)+0.3)+0.27)*'리그 타자'!H34+(1.4)*'리그 타자'!I34)/('리그 타자'!D34-'리그 타자'!F34+'리그 타자'!P34)))</x:f>
        <x:v>1.1464951728951704</x:v>
      </x:c>
      <x:c r="U34" t="n">
        <x:f>1.5*('리그 투수'!R34+2)</x:f>
        <x:v>11.580070650574037</x:v>
      </x:c>
      <x:c r="V34" t="n">
        <x:f>((9*'리그 투수'!E34)-(Y34*'리그 투수'!K34)-(Z34*('리그 투수'!L34+'리그 투수'!M34-'리그 투수'!N34))-(AA34*'리그 투수'!O34))/'리그 투수'!D34</x:f>
        <x:v>4.196810911588656</x:v>
      </x:c>
      <x:c r="W34" t="n">
        <x:f>'리그 타자'!E34/'리그 타자'!C34</x:f>
        <x:v>0.14125575207729046</x:v>
      </x:c>
      <x:c r="X34" s="4">
        <x:v>2014</x:v>
      </x:c>
      <x:c r="Y34">
        <x:v>12</x:v>
      </x:c>
      <x:c r="Z34">
        <x:v>3.1999999999999997</x:v>
      </x:c>
      <x:c r="AA34">
        <x:v>-2.5</x:v>
      </x:c>
      <x:c r="AB34">
        <x:v>0.2</x:v>
      </x:c>
      <x:c r="AC34">
        <x:v>0.4</x:v>
      </x:c>
      <x:c r="AD34">
        <x:v>0.69599999999999995</x:v>
      </x:c>
    </x:row>
    <x:row r="35">
      <x:c r="A35" s="4">
        <x:v>2015</x:v>
      </x:c>
      <x:c r="B35">
        <x:v>0.88700000000000001</x:v>
      </x:c>
      <x:c r="C35" s="2">
        <x:v>1.081</x:v>
      </x:c>
      <x:c r="D35">
        <x:v>1.002</x:v>
      </x:c>
      <x:c r="E35">
        <x:v>1.0669999999999999</x:v>
      </x:c>
      <x:c r="F35">
        <x:v>1.0389999999999999</x:v>
      </x:c>
      <x:c r="G35">
        <x:v>1.0229999999999999</x:v>
      </x:c>
      <x:c r="H35" s="2">
        <x:v>1.018</x:v>
      </x:c>
      <x:c r="I35">
        <x:v>1.077</x:v>
      </x:c>
      <x:c r="J35">
        <x:v>0.93500000000000005</x:v>
      </x:c>
      <x:c r="L35">
        <x:v>1</x:v>
      </x:c>
      <x:c r="M35" s="4">
        <x:v>2015</x:v>
      </x:c>
      <x:c r="N35" t="n">
        <x:f>((('리그 투수'!E35/('리그 투수'!D35*3)+0.14))-(-1*((('리그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타자'!P35)))*(1/((((('리그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타자'!L35-'리그 타자'!N35+'리그 타자'!M35+'리그 타자'!F35))-(-1*((('리그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타자'!P35))))</x:f>
        <x:v>0.7342248933165312</x:v>
      </x:c>
      <x:c r="O35" t="n">
        <x:f>(((('리그 투수'!E35/('리그 투수'!D35*3)+0.14))+0.025)-(-1*((('리그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타자'!P35)))*(1/((((('리그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타자'!L35-'리그 타자'!N35+'리그 타자'!M35+'리그 타자'!F35))-(-1*((('리그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타자'!P35))))</x:f>
        <x:v>0.7638792123666415</x:v>
      </x:c>
      <x:c r="P35" t="n">
        <x:f>(((('리그 투수'!E35/('리그 투수'!D35*3)+0.14))+0.155)-(-1*((('리그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타자'!P35)))*(1/((((('리그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타자'!L35-'리그 타자'!N35+'리그 타자'!M35+'리그 타자'!F35))-(-1*((('리그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타자'!P35))))</x:f>
        <x:v>0.9180816714272149</x:v>
      </x:c>
      <x:c r="Q35" t="n">
        <x:f>((((('리그 투수'!E35/('리그 투수'!D35*3)+0.14))+0.155)+0.3)-(-1*((('리그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타자'!P35)))*(1/((((('리그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타자'!L35-'리그 타자'!N35+'리그 타자'!M35+'리그 타자'!F35))-(-1*((('리그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타자'!P35))))</x:f>
        <x:v>1.2739335000285381</x:v>
      </x:c>
      <x:c r="R35" t="n">
        <x:f>(((((('리그 투수'!E35/('리그 투수'!D35*3)+0.14))+0.155)+0.3)+0.27)-(-1*((('리그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타자'!P35)))*(1/((((('리그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타자'!L35-'리그 타자'!N35+'리그 타자'!M35+'리그 타자'!F35))-(-1*((('리그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타자'!P35))))</x:f>
        <x:v>1.594200145769729</x:v>
      </x:c>
      <x:c r="S35" t="n">
        <x:f>((1.4)-(-1*((('리그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타자'!P35)))*(1/((((('리그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타자'!L35-'리그 타자'!N35+'리그 타자'!M35+'리그 타자'!F35))-(-1*((('리그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타자'!P35))))</x:f>
        <x:v>2.0146835948199646</x:v>
      </x:c>
      <x:c r="T35" t="n">
        <x:f>1/((((('리그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타자'!L35-'리그 타자'!N35+'리그 타자'!M35+'리그 타자'!F35))-(-1*((('리그 투수'!E35/('리그 투수'!D35*3)+0.14))*('리그 타자'!L35-'리그 타자'!N35)+((('리그 투수'!E35/('리그 투수'!D35*3)+0.14))+0.025)*'리그 타자'!M35+((('리그 투수'!E35/('리그 투수'!D35*3)+0.14))+0.155)*('리그 타자'!F35-'리그 타자'!G35-'리그 타자'!H35-'리그 타자'!I35)+(((('리그 투수'!E35/('리그 투수'!D35*3)+0.14))+0.155)+0.3)*'리그 타자'!G35+((((('리그 투수'!E35/('리그 투수'!D35*3)+0.14))+0.155)+0.3)+0.27)*'리그 타자'!H35+(1.4)*'리그 타자'!I35)/('리그 타자'!D35-'리그 타자'!F35+'리그 타자'!P35)))</x:f>
        <x:v>1.1861727620044107</x:v>
      </x:c>
      <x:c r="U35" t="n">
        <x:f>1.5*('리그 투수'!R35+2)</x:f>
        <x:v>11.021244428225112</x:v>
      </x:c>
      <x:c r="V35" t="n">
        <x:f>((9*'리그 투수'!E35)-(Y35*'리그 투수'!K35)-(Z35*('리그 투수'!L35+'리그 투수'!M35-'리그 투수'!N35))-(AA35*'리그 투수'!O35))/'리그 투수'!D35</x:f>
        <x:v>4.039102781325757</x:v>
      </x:c>
      <x:c r="W35" t="n">
        <x:f>'리그 타자'!E35/'리그 타자'!C35</x:f>
        <x:v>0.1339043389376476</x:v>
      </x:c>
      <x:c r="X35" s="4">
        <x:v>2015</x:v>
      </x:c>
      <x:c r="Y35">
        <x:v>12</x:v>
      </x:c>
      <x:c r="Z35">
        <x:v>3.1999999999999997</x:v>
      </x:c>
      <x:c r="AA35">
        <x:v>-2.5</x:v>
      </x:c>
      <x:c r="AB35">
        <x:v>0.2</x:v>
      </x:c>
      <x:c r="AC35">
        <x:v>0.4</x:v>
      </x:c>
      <x:c r="AD35">
        <x:v>0.65900000000000003</x:v>
      </x:c>
      <x:c r="AG35">
        <x:v>12.7</x:v>
      </x:c>
      <x:c r="AH35">
        <x:v>9.3000000000000007</x:v>
      </x:c>
      <x:c r="AI35">
        <x:v>2.5</x:v>
      </x:c>
    </x:row>
    <x:row r="36">
      <x:c r="A36" s="4">
        <x:v>2016</x:v>
      </x:c>
      <x:c r="B36">
        <x:v>0.88900000000000001</x:v>
      </x:c>
      <x:c r="C36">
        <x:v>1.026</x:v>
      </x:c>
      <x:c r="D36">
        <x:v>1.0229999999999999</x:v>
      </x:c>
      <x:c r="E36">
        <x:v>1.0609999999999999</x:v>
      </x:c>
      <x:c r="F36">
        <x:v>1.026</x:v>
      </x:c>
      <x:c r="G36">
        <x:v>0.98499999999999999</x:v>
      </x:c>
      <x:c r="H36">
        <x:v>1.083</x:v>
      </x:c>
      <x:c r="I36">
        <x:v>1.071</x:v>
      </x:c>
      <x:c r="J36">
        <x:v>0.94699999999999995</x:v>
      </x:c>
      <x:c r="L36">
        <x:v>1</x:v>
      </x:c>
      <x:c r="M36" s="4">
        <x:v>2016</x:v>
      </x:c>
      <x:c r="N36" t="n">
        <x:f>((('리그 투수'!E36/('리그 투수'!D36*3)+0.14))-(-1*((('리그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타자'!P36)))*(1/((((('리그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타자'!L36-'리그 타자'!N36+'리그 타자'!M36+'리그 타자'!F36))-(-1*((('리그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타자'!P36))))</x:f>
        <x:v>0.7461193358345438</x:v>
      </x:c>
      <x:c r="O36" t="n">
        <x:f>(((('리그 투수'!E36/('리그 투수'!D36*3)+0.14))+0.025)-(-1*((('리그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타자'!P36)))*(1/((((('리그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타자'!L36-'리그 타자'!N36+'리그 타자'!M36+'리그 타자'!F36))-(-1*((('리그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타자'!P36))))</x:f>
        <x:v>0.7750560868797793</x:v>
      </x:c>
      <x:c r="P36" t="n">
        <x:f>(((('리그 투수'!E36/('리그 투수'!D36*3)+0.14))+0.155)-(-1*((('리그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타자'!P36)))*(1/((((('리그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타자'!L36-'리그 타자'!N36+'리그 타자'!M36+'리그 타자'!F36))-(-1*((('리그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타자'!P36))))</x:f>
        <x:v>0.925527192315004</x:v>
      </x:c>
      <x:c r="Q36" t="n">
        <x:f>((((('리그 투수'!E36/('리그 투수'!D36*3)+0.14))+0.155)+0.3)-(-1*((('리그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타자'!P36)))*(1/((((('리그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타자'!L36-'리그 타자'!N36+'리그 타자'!M36+'리그 타자'!F36))-(-1*((('리그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타자'!P36))))</x:f>
        <x:v>1.2727682048578302</x:v>
      </x:c>
      <x:c r="R36" t="n">
        <x:f>(((((('리그 투수'!E36/('리그 투수'!D36*3)+0.14))+0.155)+0.3)+0.27)-(-1*((('리그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타자'!P36)))*(1/((((('리그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타자'!L36-'리그 타자'!N36+'리그 타자'!M36+'리그 타자'!F36))-(-1*((('리그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타자'!P36))))</x:f>
        <x:v>1.5852851161463735</x:v>
      </x:c>
      <x:c r="S36" t="n">
        <x:f>((1.4)-(-1*((('리그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타자'!P36)))*(1/((((('리그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타자'!L36-'리그 타자'!N36+'리그 타자'!M36+'리그 타자'!F36))-(-1*((('리그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타자'!P36))))</x:f>
        <x:v>1.982883260926712</x:v>
      </x:c>
      <x:c r="T36" t="n">
        <x:f>1/((((('리그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타자'!L36-'리그 타자'!N36+'리그 타자'!M36+'리그 타자'!F36))-(-1*((('리그 투수'!E36/('리그 투수'!D36*3)+0.14))*('리그 타자'!L36-'리그 타자'!N36)+((('리그 투수'!E36/('리그 투수'!D36*3)+0.14))+0.025)*'리그 타자'!M36+((('리그 투수'!E36/('리그 투수'!D36*3)+0.14))+0.155)*('리그 타자'!F36-'리그 타자'!G36-'리그 타자'!H36-'리그 타자'!I36)+(((('리그 투수'!E36/('리그 투수'!D36*3)+0.14))+0.155)+0.3)*'리그 타자'!G36+((((('리그 투수'!E36/('리그 투수'!D36*3)+0.14))+0.155)+0.3)+0.27)*'리그 타자'!H36+(1.4)*'리그 타자'!I36)/('리그 타자'!D36-'리그 타자'!F36+'리그 타자'!P36)))</x:f>
        <x:v>1.1574700418094204</x:v>
      </x:c>
      <x:c r="U36" t="n">
        <x:f>1.5*('리그 투수'!R36+2)</x:f>
        <x:v>11.511335537104037</x:v>
      </x:c>
      <x:c r="V36" t="n">
        <x:f>((9*'리그 투수'!E36)-(Y36*'리그 투수'!K36)-(Z36*('리그 투수'!L36+'리그 투수'!M36-'리그 투수'!N36))-(AA36*'리그 투수'!O36))/'리그 투수'!D36</x:f>
        <x:v>4.175191962310315</x:v>
      </x:c>
      <x:c r="W36" t="n">
        <x:f>'리그 타자'!E36/'리그 타자'!C36</x:f>
        <x:v>0.14013954941507273</x:v>
      </x:c>
      <x:c r="X36" s="4">
        <x:v>2016</x:v>
      </x:c>
      <x:c r="Y36">
        <x:v>12</x:v>
      </x:c>
      <x:c r="Z36">
        <x:v>3.1999999999999997</x:v>
      </x:c>
      <x:c r="AA36">
        <x:v>-2.5</x:v>
      </x:c>
      <x:c r="AB36">
        <x:v>0.2</x:v>
      </x:c>
      <x:c r="AC36">
        <x:v>0.4</x:v>
      </x:c>
      <x:c r="AD36">
        <x:v>0.65700000000000003</x:v>
      </x:c>
      <x:c r="AG36">
        <x:v>12.7</x:v>
      </x:c>
      <x:c r="AH36">
        <x:v>9.3000000000000007</x:v>
      </x:c>
      <x:c r="AI36">
        <x:v>2.5</x:v>
      </x:c>
    </x:row>
    <x:row r="37">
      <x:c r="A37" s="4">
        <x:v>2017</x:v>
      </x:c>
      <x:c r="B37">
        <x:v>0.89100000000000001</x:v>
      </x:c>
      <x:c r="C37">
        <x:v>0.98799999999999999</x:v>
      </x:c>
      <x:c r="D37">
        <x:v>1.04</x:v>
      </x:c>
      <x:c r="E37">
        <x:v>1.0529999999999999</x:v>
      </x:c>
      <x:c r="F37">
        <x:v>1.0009999999999999</x:v>
      </x:c>
      <x:c r="G37">
        <x:v>0.96899999999999997</x:v>
      </x:c>
      <x:c r="H37">
        <x:v>1.081</x:v>
      </x:c>
      <x:c r="I37">
        <x:v>1.0760000000000001</x:v>
      </x:c>
      <x:c r="J37">
        <x:v>0.95599999999999996</x:v>
      </x:c>
      <x:c r="L37">
        <x:v>1</x:v>
      </x:c>
      <x:c r="M37" s="4">
        <x:v>2017</x:v>
      </x:c>
      <x:c r="N37" t="n">
        <x:f>((('리그 투수'!E37/('리그 투수'!D37*3)+0.14))-(-1*((('리그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타자'!P37)))*(1/((((('리그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타자'!L37-'리그 타자'!N37+'리그 타자'!M37+'리그 타자'!F37))-(-1*((('리그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타자'!P37))))</x:f>
        <x:v>0.7287220854494195</x:v>
      </x:c>
      <x:c r="O37" t="n">
        <x:f>(((('리그 투수'!E37/('리그 투수'!D37*3)+0.14))+0.025)-(-1*((('리그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타자'!P37)))*(1/((((('리그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타자'!L37-'리그 타자'!N37+'리그 타자'!M37+'리그 타자'!F37))-(-1*((('리그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타자'!P37))))</x:f>
        <x:v>0.7578702358386316</x:v>
      </x:c>
      <x:c r="P37" t="n">
        <x:f>(((('리그 투수'!E37/('리그 투수'!D37*3)+0.14))+0.155)-(-1*((('리그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타자'!P37)))*(1/((((('리그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타자'!L37-'리그 타자'!N37+'리그 타자'!M37+'리그 타자'!F37))-(-1*((('리그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타자'!P37))))</x:f>
        <x:v>0.9094406178625344</x:v>
      </x:c>
      <x:c r="Q37" t="n">
        <x:f>((((('리그 투수'!E37/('리그 투수'!D37*3)+0.14))+0.155)+0.3)-(-1*((('리그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타자'!P37)))*(1/((((('리그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타자'!L37-'리그 타자'!N37+'리그 타자'!M37+'리그 타자'!F37))-(-1*((('리그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타자'!P37))))</x:f>
        <x:v>1.2592184225330794</x:v>
      </x:c>
      <x:c r="R37" t="n">
        <x:f>(((((('리그 투수'!E37/('리그 투수'!D37*3)+0.14))+0.155)+0.3)+0.27)-(-1*((('리그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타자'!P37)))*(1/((((('리그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타자'!L37-'리그 타자'!N37+'리그 타자'!M37+'리그 타자'!F37))-(-1*((('리그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타자'!P37))))</x:f>
        <x:v>1.5740184467365699</x:v>
      </x:c>
      <x:c r="S37" t="n">
        <x:f>((1.4)-(-1*((('리그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타자'!P37)))*(1/((((('리그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타자'!L37-'리그 타자'!N37+'리그 타자'!M37+'리그 타자'!F37))-(-1*((('리그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타자'!P37))))</x:f>
        <x:v>1.9832314760807253</x:v>
      </x:c>
      <x:c r="T37" t="n">
        <x:f>1/((((('리그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타자'!L37-'리그 타자'!N37+'리그 타자'!M37+'리그 타자'!F37))-(-1*((('리그 투수'!E37/('리그 투수'!D37*3)+0.14))*('리그 타자'!L37-'리그 타자'!N37)+((('리그 투수'!E37/('리그 투수'!D37*3)+0.14))+0.025)*'리그 타자'!M37+((('리그 투수'!E37/('리그 투수'!D37*3)+0.14))+0.155)*('리그 타자'!F37-'리그 타자'!G37-'리그 타자'!H37-'리그 타자'!I37)+(((('리그 투수'!E37/('리그 투수'!D37*3)+0.14))+0.155)+0.3)*'리그 타자'!G37+((((('리그 투수'!E37/('리그 투수'!D37*3)+0.14))+0.155)+0.3)+0.27)*'리그 타자'!H37+(1.4)*'리그 타자'!I37)/('리그 타자'!D37-'리그 타자'!F37+'리그 타자'!P37)))</x:f>
        <x:v>1.1659260155684834</x:v>
      </x:c>
      <x:c r="U37" t="n">
        <x:f>1.5*('리그 투수'!R37+2)</x:f>
        <x:v>11.114153822079649</x:v>
      </x:c>
      <x:c r="V37" t="n">
        <x:f>((9*'리그 투수'!E37)-(Y37*'리그 투수'!K37)-(Z37*('리그 투수'!L37+'리그 투수'!M37-'리그 투수'!N37))-(AA37*'리그 투수'!O37))/'리그 투수'!D37</x:f>
        <x:v>4.149980439715202</x:v>
      </x:c>
      <x:c r="W37" t="n">
        <x:f>'리그 타자'!E37/'리그 타자'!C37</x:f>
        <x:v>0.13505151014380648</x:v>
      </x:c>
      <x:c r="X37" s="4">
        <x:v>2017</x:v>
      </x:c>
      <x:c r="Y37">
        <x:v>12</x:v>
      </x:c>
      <x:c r="Z37">
        <x:v>3.1999999999999997</x:v>
      </x:c>
      <x:c r="AA37">
        <x:v>-2.5</x:v>
      </x:c>
      <x:c r="AB37">
        <x:v>0.2</x:v>
      </x:c>
      <x:c r="AC37">
        <x:v>0.4</x:v>
      </x:c>
      <x:c r="AD37">
        <x:v>0.69399999999999995</x:v>
      </x:c>
      <x:c r="AG37">
        <x:v>12.7</x:v>
      </x:c>
      <x:c r="AH37">
        <x:v>9.3000000000000007</x:v>
      </x:c>
      <x:c r="AI37">
        <x:v>2.5</x:v>
      </x:c>
    </x:row>
    <x:row r="38">
      <x:c r="A38" s="4">
        <x:v>2018</x:v>
      </x:c>
      <x:c r="B38">
        <x:v>0.88700000000000001</x:v>
      </x:c>
      <x:c r="C38">
        <x:v>0.96</x:v>
      </x:c>
      <x:c r="D38">
        <x:v>1.0660000000000001</x:v>
      </x:c>
      <x:c r="E38">
        <x:v>1.034</x:v>
      </x:c>
      <x:c r="F38">
        <x:v>0.996</x:v>
      </x:c>
      <x:c r="G38">
        <x:v>0.98599999999999999</x:v>
      </x:c>
      <x:c r="H38">
        <x:v>1.0820000000000001</x:v>
      </x:c>
      <x:c r="I38">
        <x:v>1.0720000000000001</x:v>
      </x:c>
      <x:c r="J38" s="2">
        <x:v>1.002</x:v>
      </x:c>
      <x:c r="L38">
        <x:v>1</x:v>
      </x:c>
      <x:c r="M38" s="4">
        <x:v>2018</x:v>
      </x:c>
      <x:c r="N38" t="n">
        <x:f>((('리그 투수'!E38/('리그 투수'!D38*3)+0.14))-(-1*((('리그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타자'!P38)))*(1/((((('리그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타자'!L38-'리그 타자'!N38+'리그 타자'!M38+'리그 타자'!F38))-(-1*((('리그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타자'!P38))))</x:f>
        <x:v>0.7267944713148421</x:v>
      </x:c>
      <x:c r="O38" t="n">
        <x:f>(((('리그 투수'!E38/('리그 투수'!D38*3)+0.14))+0.025)-(-1*((('리그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타자'!P38)))*(1/((((('리그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타자'!L38-'리그 타자'!N38+'리그 타자'!M38+'리그 타자'!F38))-(-1*((('리그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타자'!P38))))</x:f>
        <x:v>0.7551275609605821</x:v>
      </x:c>
      <x:c r="P38" t="n">
        <x:f>(((('리그 투수'!E38/('리그 투수'!D38*3)+0.14))+0.155)-(-1*((('리그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타자'!P38)))*(1/((((('리그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타자'!L38-'리그 타자'!N38+'리그 타자'!M38+'리그 타자'!F38))-(-1*((('리그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타자'!P38))))</x:f>
        <x:v>0.9024596271184313</x:v>
      </x:c>
      <x:c r="Q38" t="n">
        <x:f>((((('리그 투수'!E38/('리그 투수'!D38*3)+0.14))+0.155)+0.3)-(-1*((('리그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타자'!P38)))*(1/((((('리그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타자'!L38-'리그 타자'!N38+'리그 타자'!M38+'리그 타자'!F38))-(-1*((('리그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타자'!P38))))</x:f>
        <x:v>1.2424567028673135</x:v>
      </x:c>
      <x:c r="R38" t="n">
        <x:f>(((((('리그 투수'!E38/('리그 투수'!D38*3)+0.14))+0.155)+0.3)+0.27)-(-1*((('리그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타자'!P38)))*(1/((((('리그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타자'!L38-'리그 타자'!N38+'리그 타자'!M38+'리그 타자'!F38))-(-1*((('리그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타자'!P38))))</x:f>
        <x:v>1.5484540710413075</x:v>
      </x:c>
      <x:c r="S38" t="n">
        <x:f>((1.4)-(-1*((('리그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타자'!P38)))*(1/((((('리그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타자'!L38-'리그 타자'!N38+'리그 타자'!M38+'리그 타자'!F38))-(-1*((('리그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타자'!P38))))</x:f>
        <x:v>1.9376639287355188</x:v>
      </x:c>
      <x:c r="T38" t="n">
        <x:f>1/((((('리그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타자'!L38-'리그 타자'!N38+'리그 타자'!M38+'리그 타자'!F38))-(-1*((('리그 투수'!E38/('리그 투수'!D38*3)+0.14))*('리그 타자'!L38-'리그 타자'!N38)+((('리그 투수'!E38/('리그 투수'!D38*3)+0.14))+0.025)*'리그 타자'!M38+((('리그 투수'!E38/('리그 투수'!D38*3)+0.14))+0.155)*('리그 타자'!F38-'리그 타자'!G38-'리그 타자'!H38-'리그 타자'!I38)+(((('리그 투수'!E38/('리그 투수'!D38*3)+0.14))+0.155)+0.3)*'리그 타자'!G38+((((('리그 투수'!E38/('리그 투수'!D38*3)+0.14))+0.155)+0.3)+0.27)*'리그 타자'!H38+(1.4)*'리그 타자'!I38)/('리그 타자'!D38-'리그 타자'!F38+'리그 타자'!P38)))</x:f>
        <x:v>1.1333235858296078</x:v>
      </x:c>
      <x:c r="U38" t="n">
        <x:f>1.5*('리그 투수'!R38+2)</x:f>
        <x:v>11.45362682124393</x:v>
      </x:c>
      <x:c r="V38" t="n">
        <x:f>((9*'리그 투수'!E38)-(Y38*'리그 투수'!K38)-(Z38*('리그 투수'!L38+'리그 투수'!M38-'리그 투수'!N38))-(AA38*'리그 투수'!O38))/'리그 투수'!D38</x:f>
        <x:v>4.283456055146483</x:v>
      </x:c>
      <x:c r="W38" t="n">
        <x:f>'리그 타자'!E38/'리그 타자'!C38</x:f>
        <x:v>0.14048468446303358</x:v>
      </x:c>
      <x:c r="X38" s="4">
        <x:v>2018</x:v>
      </x:c>
      <x:c r="Y38">
        <x:v>12</x:v>
      </x:c>
      <x:c r="Z38">
        <x:v>3.1999999999999997</x:v>
      </x:c>
      <x:c r="AA38">
        <x:v>-2.5</x:v>
      </x:c>
      <x:c r="AB38">
        <x:v>0.2</x:v>
      </x:c>
      <x:c r="AC38">
        <x:v>0.4</x:v>
      </x:c>
      <x:c r="AD38">
        <x:v>0.70099999999999996</x:v>
      </x:c>
      <x:c r="AG38">
        <x:v>12.7</x:v>
      </x:c>
      <x:c r="AH38">
        <x:v>9.3000000000000007</x:v>
      </x:c>
      <x:c r="AI38">
        <x:v>2.5</x:v>
      </x:c>
    </x:row>
    <x:row r="39">
      <x:c r="A39" s="4">
        <x:v>2019</x:v>
      </x:c>
      <x:c r="B39">
        <x:v>0.89100000000000001</x:v>
      </x:c>
      <x:c r="C39">
        <x:v>0.93899999999999995</x:v>
      </x:c>
      <x:c r="D39">
        <x:v>1.0569999999999999</x:v>
      </x:c>
      <x:c r="E39">
        <x:v>1.006</x:v>
      </x:c>
      <x:c r="F39">
        <x:v>0.95399999999999996</x:v>
      </x:c>
      <x:c r="G39">
        <x:v>1.0129999999999999</x:v>
      </x:c>
      <x:c r="H39">
        <x:v>1.0840000000000001</x:v>
      </x:c>
      <x:c r="I39">
        <x:v>1.073</x:v>
      </x:c>
      <x:c r="J39">
        <x:v>1.0660000000000001</x:v>
      </x:c>
      <x:c r="L39">
        <x:v>1</x:v>
      </x:c>
      <x:c r="M39" s="4">
        <x:v>2019</x:v>
      </x:c>
      <x:c r="N39" t="n">
        <x:f>((('리그 투수'!E39/('리그 투수'!D39*3)+0.14))-(-1*((('리그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타자'!P39)))*(1/((((('리그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타자'!L39-'리그 타자'!N39+'리그 타자'!M39+'리그 타자'!F39))-(-1*((('리그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타자'!P39))))</x:f>
        <x:v>0.7249245247667568</x:v>
      </x:c>
      <x:c r="O39" t="n">
        <x:f>(((('리그 투수'!E39/('리그 투수'!D39*3)+0.14))+0.025)-(-1*((('리그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타자'!P39)))*(1/((((('리그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타자'!L39-'리그 타자'!N39+'리그 타자'!M39+'리그 타자'!F39))-(-1*((('리그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타자'!P39))))</x:f>
        <x:v>0.7580225273747572</x:v>
      </x:c>
      <x:c r="P39" t="n">
        <x:f>(((('리그 투수'!E39/('리그 투수'!D39*3)+0.14))+0.155)-(-1*((('리그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타자'!P39)))*(1/((((('리그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타자'!L39-'리그 타자'!N39+'리그 타자'!M39+'리그 타자'!F39))-(-1*((('리그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타자'!P39))))</x:f>
        <x:v>0.9301321409363599</x:v>
      </x:c>
      <x:c r="Q39" t="n">
        <x:f>((((('리그 투수'!E39/('리그 투수'!D39*3)+0.14))+0.155)+0.3)-(-1*((('리그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타자'!P39)))*(1/((((('리그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타자'!L39-'리그 타자'!N39+'리그 타자'!M39+'리그 타자'!F39))-(-1*((('리그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타자'!P39))))</x:f>
        <x:v>1.3273081722323659</x:v>
      </x:c>
      <x:c r="R39" t="n">
        <x:f>(((((('리그 투수'!E39/('리그 투수'!D39*3)+0.14))+0.155)+0.3)+0.27)-(-1*((('리그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타자'!P39)))*(1/((((('리그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타자'!L39-'리그 타자'!N39+'리그 타자'!M39+'리그 타자'!F39))-(-1*((('리그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타자'!P39))))</x:f>
        <x:v>1.6847666003987714</x:v>
      </x:c>
      <x:c r="S39" t="n">
        <x:f>((1.4)-(-1*((('리그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타자'!P39)))*(1/((((('리그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타자'!L39-'리그 타자'!N39+'리그 타자'!M39+'리그 타자'!F39))-(-1*((('리그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타자'!P39))))</x:f>
        <x:v>2.188825972837992</x:v>
      </x:c>
      <x:c r="T39" t="n">
        <x:f>1/((((('리그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타자'!L39-'리그 타자'!N39+'리그 타자'!M39+'리그 타자'!F39))-(-1*((('리그 투수'!E39/('리그 투수'!D39*3)+0.14))*('리그 타자'!L39-'리그 타자'!N39)+((('리그 투수'!E39/('리그 투수'!D39*3)+0.14))+0.025)*'리그 타자'!M39+((('리그 투수'!E39/('리그 투수'!D39*3)+0.14))+0.155)*('리그 타자'!F39-'리그 타자'!G39-'리그 타자'!H39-'리그 타자'!I39)+(((('리그 투수'!E39/('리그 투수'!D39*3)+0.14))+0.155)+0.3)*'리그 타자'!G39+((((('리그 투수'!E39/('리그 투수'!D39*3)+0.14))+0.155)+0.3)+0.27)*'리그 타자'!H39+(1.4)*'리그 타자'!I39)/('리그 타자'!D39-'리그 타자'!F39+'리그 타자'!P39)))</x:f>
        <x:v>1.32392010432002</x:v>
      </x:c>
      <x:c r="U39" t="n">
        <x:f>1.5*('리그 투수'!R39+2)</x:f>
        <x:v>9.917623121869783</x:v>
      </x:c>
      <x:c r="V39" t="n">
        <x:f>((9*'리그 투수'!E39)-(Y39*'리그 투수'!K39)-(Z39*('리그 투수'!L39+'리그 투수'!M39-'리그 투수'!N39))-(AA39*'리그 투수'!O39))/'리그 투수'!D39</x:f>
        <x:v>3.759695847245409</x:v>
      </x:c>
      <x:c r="W39" t="n">
        <x:f>'리그 타자'!E39/'리그 타자'!C39</x:f>
        <x:v>0.1177126215686627</x:v>
      </x:c>
      <x:c r="X39" s="4">
        <x:v>2019</x:v>
      </x:c>
      <x:c r="Y39">
        <x:v>12</x:v>
      </x:c>
      <x:c r="Z39">
        <x:v>3.1999999999999997</x:v>
      </x:c>
      <x:c r="AA39">
        <x:v>-2.5</x:v>
      </x:c>
      <x:c r="AB39">
        <x:v>0.2</x:v>
      </x:c>
      <x:c r="AC39">
        <x:v>0.4</x:v>
      </x:c>
      <x:c r="AD39">
        <x:v>0.70099999999999996</x:v>
      </x:c>
      <x:c r="AG39">
        <x:v>12.7</x:v>
      </x:c>
      <x:c r="AH39">
        <x:v>9.3000000000000007</x:v>
      </x:c>
      <x:c r="AI39">
        <x:v>2.5</x:v>
      </x:c>
    </x:row>
    <x:row r="40">
      <x:c r="A40" s="4">
        <x:v>2020</x:v>
      </x:c>
      <x:c r="B40">
        <x:v>0.88900000000000001</x:v>
      </x:c>
      <x:c r="C40">
        <x:v>0.92800000000000005</x:v>
      </x:c>
      <x:c r="D40">
        <x:v>1.0629999999999999</x:v>
      </x:c>
      <x:c r="E40">
        <x:v>1.0269999999999999</x:v>
      </x:c>
      <x:c r="F40">
        <x:v>0.94899999999999995</x:v>
      </x:c>
      <x:c r="G40">
        <x:v>1.0169999999999999</x:v>
      </x:c>
      <x:c r="H40">
        <x:v>1.081</x:v>
      </x:c>
      <x:c r="I40">
        <x:v>1.0820000000000001</x:v>
      </x:c>
      <x:c r="J40">
        <x:v>1.069</x:v>
      </x:c>
      <x:c r="L40">
        <x:v>1</x:v>
      </x:c>
      <x:c r="M40" s="4">
        <x:v>2020</x:v>
      </x:c>
      <x:c r="N40" t="n">
        <x:f>((('리그 투수'!E40/('리그 투수'!D40*3)+0.14))-(-1*((('리그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타자'!P40)))*(1/((((('리그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타자'!L40-'리그 타자'!N40+'리그 타자'!M40+'리그 타자'!F40))-(-1*((('리그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타자'!P40))))</x:f>
        <x:v>0.735135592315139</x:v>
      </x:c>
      <x:c r="O40" t="n">
        <x:f>(((('리그 투수'!E40/('리그 투수'!D40*3)+0.14))+0.025)-(-1*((('리그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타자'!P40)))*(1/((((('리그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타자'!L40-'리그 타자'!N40+'리그 타자'!M40+'리그 타자'!F40))-(-1*((('리그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타자'!P40))))</x:f>
        <x:v>0.7658491819153096</x:v>
      </x:c>
      <x:c r="P40" t="n">
        <x:f>(((('리그 투수'!E40/('리그 투수'!D40*3)+0.14))+0.155)-(-1*((('리그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타자'!P40)))*(1/((((('리그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타자'!L40-'리그 타자'!N40+'리그 타자'!M40+'리그 타자'!F40))-(-1*((('리그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타자'!P40))))</x:f>
        <x:v>0.9255598478361955</x:v>
      </x:c>
      <x:c r="Q40" t="n">
        <x:f>((((('리그 투수'!E40/('리그 투수'!D40*3)+0.14))+0.155)+0.3)-(-1*((('리그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타자'!P40)))*(1/((((('리그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타자'!L40-'리그 타자'!N40+'리그 타자'!M40+'리그 타자'!F40))-(-1*((('리그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타자'!P40))))</x:f>
        <x:v>1.2941229230382403</x:v>
      </x:c>
      <x:c r="R40" t="n">
        <x:f>(((((('리그 투수'!E40/('리그 투수'!D40*3)+0.14))+0.155)+0.3)+0.27)-(-1*((('리그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타자'!P40)))*(1/((((('리그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타자'!L40-'리그 타자'!N40+'리그 타자'!M40+'리그 타자'!F40))-(-1*((('리그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타자'!P40))))</x:f>
        <x:v>1.6258296907200807</x:v>
      </x:c>
      <x:c r="S40" t="n">
        <x:f>((1.4)-(-1*((('리그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타자'!P40)))*(1/((((('리그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타자'!L40-'리그 타자'!N40+'리그 타자'!M40+'리그 타자'!F40))-(-1*((('리그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타자'!P40))))</x:f>
        <x:v>2.066682929277072</x:v>
      </x:c>
      <x:c r="T40" t="n">
        <x:f>1/((((('리그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타자'!L40-'리그 타자'!N40+'리그 타자'!M40+'리그 타자'!F40))-(-1*((('리그 투수'!E40/('리그 투수'!D40*3)+0.14))*('리그 타자'!L40-'리그 타자'!N40)+((('리그 투수'!E40/('리그 투수'!D40*3)+0.14))+0.025)*'리그 타자'!M40+((('리그 투수'!E40/('리그 투수'!D40*3)+0.14))+0.155)*('리그 타자'!F40-'리그 타자'!G40-'리그 타자'!H40-'리그 타자'!I40)+(((('리그 투수'!E40/('리그 투수'!D40*3)+0.14))+0.155)+0.3)*'리그 타자'!G40+((((('리그 투수'!E40/('리그 투수'!D40*3)+0.14))+0.155)+0.3)+0.27)*'리그 타자'!H40+(1.4)*'리그 타자'!I40)/('리그 타자'!D40-'리그 타자'!F40+'리그 타자'!P40)))</x:f>
        <x:v>1.2285435840068157</x:v>
      </x:c>
      <x:c r="U40" t="n">
        <x:f>1.5*('리그 투수'!R40+2)</x:f>
        <x:v>10.848992676379371</x:v>
      </x:c>
      <x:c r="V40" t="n">
        <x:f>((9*'리그 투수'!E40)-(Y40*'리그 투수'!K40)-(Z40*('리그 투수'!L40+'리그 투수'!M40-'리그 투수'!N40))-(AA40*'리그 투수'!O40))/'리그 투수'!D40</x:f>
        <x:v>3.935841434491387</x:v>
      </x:c>
      <x:c r="W40" t="n">
        <x:f>'리그 타자'!E40/'리그 타자'!C40</x:f>
        <x:v>0.1312783574316332</x:v>
      </x:c>
      <x:c r="X40" s="4">
        <x:v>2020</x:v>
      </x:c>
      <x:c r="Y40">
        <x:v>12</x:v>
      </x:c>
      <x:c r="Z40">
        <x:v>3.1999999999999997</x:v>
      </x:c>
      <x:c r="AA40">
        <x:v>-2.5</x:v>
      </x:c>
      <x:c r="AB40">
        <x:v>0.2</x:v>
      </x:c>
      <x:c r="AC40">
        <x:v>0.4</x:v>
      </x:c>
      <x:c r="AD40">
        <x:v>0.70299999999999996</x:v>
      </x:c>
      <x:c r="AG40">
        <x:v>12.7</x:v>
      </x:c>
      <x:c r="AH40">
        <x:v>9.3000000000000007</x:v>
      </x:c>
      <x:c r="AI40">
        <x:v>2.5</x:v>
      </x:c>
    </x:row>
    <x:row r="41">
      <x:c r="A41" s="4">
        <x:v>2021</x:v>
      </x:c>
      <x:c r="B41">
        <x:v>0.88900000000000001</x:v>
      </x:c>
      <x:c r="C41">
        <x:v>0.94399999999999995</x:v>
      </x:c>
      <x:c r="D41">
        <x:v>1.06</x:v>
      </x:c>
      <x:c r="E41">
        <x:v>1.0529999999999999</x:v>
      </x:c>
      <x:c r="F41">
        <x:v>0.95299999999999996</x:v>
      </x:c>
      <x:c r="G41">
        <x:v>0.997</x:v>
      </x:c>
      <x:c r="H41">
        <x:v>1.08</x:v>
      </x:c>
      <x:c r="I41">
        <x:v>1.077</x:v>
      </x:c>
      <x:c r="J41">
        <x:v>1.056</x:v>
      </x:c>
      <x:c r="L41">
        <x:v>1</x:v>
      </x:c>
      <x:c r="M41" s="4">
        <x:v>2021</x:v>
      </x:c>
      <x:c r="N41" t="n">
        <x:f>((('리그 투수'!E41/('리그 투수'!D41*3)+0.14))-(-1*((('리그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타자'!P41)))*(1/((((('리그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타자'!L41-'리그 타자'!N41+'리그 타자'!M41+'리그 타자'!F41))-(-1*((('리그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타자'!P41))))</x:f>
        <x:v>0.7403674815930152</x:v>
      </x:c>
      <x:c r="O41" t="n">
        <x:f>(((('리그 투수'!E41/('리그 투수'!D41*3)+0.14))+0.025)-(-1*((('리그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타자'!P41)))*(1/((((('리그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타자'!L41-'리그 타자'!N41+'리그 타자'!M41+'리그 타자'!F41))-(-1*((('리그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타자'!P41))))</x:f>
        <x:v>0.7729053044846549</x:v>
      </x:c>
      <x:c r="P41" t="n">
        <x:f>(((('리그 투수'!E41/('리그 투수'!D41*3)+0.14))+0.155)-(-1*((('리그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타자'!P41)))*(1/((((('리그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타자'!L41-'리그 타자'!N41+'리그 타자'!M41+'리그 타자'!F41))-(-1*((('리그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타자'!P41))))</x:f>
        <x:v>0.9421019835211814</x:v>
      </x:c>
      <x:c r="Q41" t="n">
        <x:f>((((('리그 투수'!E41/('리그 투수'!D41*3)+0.14))+0.155)+0.3)-(-1*((('리그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타자'!P41)))*(1/((((('리그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타자'!L41-'리그 타자'!N41+'리그 타자'!M41+'리그 타자'!F41))-(-1*((('리그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타자'!P41))))</x:f>
        <x:v>1.3325558582208576</x:v>
      </x:c>
      <x:c r="R41" t="n">
        <x:f>(((((('리그 투수'!E41/('리그 투수'!D41*3)+0.14))+0.155)+0.3)+0.27)-(-1*((('리그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타자'!P41)))*(1/((((('리그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타자'!L41-'리그 타자'!N41+'리그 타자'!M41+'리그 타자'!F41))-(-1*((('리그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타자'!P41))))</x:f>
        <x:v>1.6839643454505664</x:v>
      </x:c>
      <x:c r="S41" t="n">
        <x:f>((1.4)-(-1*((('리그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타자'!P41)))*(1/((((('리그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타자'!L41-'리그 타자'!N41+'리그 타자'!M41+'리그 타자'!F41))-(-1*((('리그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타자'!P41))))</x:f>
        <x:v>2.166336284755029</x:v>
      </x:c>
      <x:c r="T41" t="n">
        <x:f>1/((((('리그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타자'!L41-'리그 타자'!N41+'리그 타자'!M41+'리그 타자'!F41))-(-1*((('리그 투수'!E41/('리그 투수'!D41*3)+0.14))*('리그 타자'!L41-'리그 타자'!N41)+((('리그 투수'!E41/('리그 투수'!D41*3)+0.14))+0.025)*'리그 타자'!M41+((('리그 투수'!E41/('리그 투수'!D41*3)+0.14))+0.155)*('리그 타자'!F41-'리그 타자'!G41-'리그 타자'!H41-'리그 타자'!I41)+(((('리그 투수'!E41/('리그 투수'!D41*3)+0.14))+0.155)+0.3)*'리그 타자'!G41+((((('리그 투수'!E41/('리그 투수'!D41*3)+0.14))+0.155)+0.3)+0.27)*'리그 타자'!H41+(1.4)*'리그 타자'!I41)/('리그 타자'!D41-'리그 타자'!F41+'리그 타자'!P41)))</x:f>
        <x:v>1.3015129156655876</x:v>
      </x:c>
      <x:c r="U41" t="n">
        <x:f>1.5*('리그 투수'!R41+2)</x:f>
        <x:v>10.353554502369668</x:v>
      </x:c>
      <x:c r="V41" t="n">
        <x:f>((9*'리그 투수'!E41)-(Y41*'리그 투수'!K41)-(Z41*('리그 투수'!L41+'리그 투수'!M41-'리그 투수'!N41))-(AA41*'리그 투수'!O41))/'리그 투수'!D41</x:f>
        <x:v>3.710221169036335</x:v>
      </x:c>
      <x:c r="W41" t="n">
        <x:f>'리그 타자'!E41/'리그 타자'!C41</x:f>
        <x:v>0.12297596119552036</x:v>
      </x:c>
      <x:c r="X41" s="4">
        <x:v>2021</x:v>
      </x:c>
      <x:c r="Y41">
        <x:v>12</x:v>
      </x:c>
      <x:c r="Z41">
        <x:v>3.1999999999999997</x:v>
      </x:c>
      <x:c r="AA41">
        <x:v>-2.5</x:v>
      </x:c>
      <x:c r="AB41">
        <x:v>0.2</x:v>
      </x:c>
      <x:c r="AC41">
        <x:v>0.4</x:v>
      </x:c>
      <x:c r="AD41">
        <x:v>0.70499999999999996</x:v>
      </x:c>
      <x:c r="AG41">
        <x:v>12.7</x:v>
      </x:c>
      <x:c r="AH41">
        <x:v>9.3000000000000007</x:v>
      </x:c>
      <x:c r="AI41">
        <x:v>2.5</x:v>
      </x:c>
    </x:row>
    <x:row r="42">
      <x:c r="A42" s="4">
        <x:v>2022</x:v>
      </x:c>
      <x:c r="B42">
        <x:v>0.89300000000000002</x:v>
      </x:c>
      <x:c r="C42">
        <x:v>0.93300000000000005</x:v>
      </x:c>
      <x:c r="D42">
        <x:v>1.073</x:v>
      </x:c>
      <x:c r="E42">
        <x:v>1.0840000000000001</x:v>
      </x:c>
      <x:c r="F42">
        <x:v>0.98899999999999999</x:v>
      </x:c>
      <x:c r="G42">
        <x:v>0.97399999999999998</x:v>
      </x:c>
      <x:c r="H42">
        <x:v>1.0760000000000001</x:v>
      </x:c>
      <x:c r="I42">
        <x:v>1.075</x:v>
      </x:c>
      <x:c r="J42">
        <x:v>1.026</x:v>
      </x:c>
      <x:c r="L42">
        <x:v>1</x:v>
      </x:c>
      <x:c r="M42" s="4">
        <x:v>2022</x:v>
      </x:c>
      <x:c r="N42" t="n">
        <x:f>((('리그 투수'!E42/('리그 투수'!D42*3)+0.14))-(-1*((('리그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타자'!P42)))*(1/((((('리그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타자'!L42-'리그 타자'!N42+'리그 타자'!M42+'리그 타자'!F42))-(-1*((('리그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타자'!P42))))</x:f>
        <x:v>0.7196172596252194</x:v>
      </x:c>
      <x:c r="O42" t="n">
        <x:f>(((('리그 투수'!E42/('리그 투수'!D42*3)+0.14))+0.025)-(-1*((('리그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타자'!P42)))*(1/((((('리그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타자'!L42-'리그 타자'!N42+'리그 타자'!M42+'리그 타자'!F42))-(-1*((('리그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타자'!P42))))</x:f>
        <x:v>0.753096612996868</x:v>
      </x:c>
      <x:c r="P42" t="n">
        <x:f>(((('리그 투수'!E42/('리그 투수'!D42*3)+0.14))+0.155)-(-1*((('리그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타자'!P42)))*(1/((((('리그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타자'!L42-'리그 타자'!N42+'리그 타자'!M42+'리그 타자'!F42))-(-1*((('리그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타자'!P42))))</x:f>
        <x:v>0.9271892505294406</x:v>
      </x:c>
      <x:c r="Q42" t="n">
        <x:f>((((('리그 투수'!E42/('리그 투수'!D42*3)+0.14))+0.155)+0.3)-(-1*((('리그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타자'!P42)))*(1/((((('리그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타자'!L42-'리그 타자'!N42+'리그 타자'!M42+'리그 타자'!F42))-(-1*((('리그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타자'!P42))))</x:f>
        <x:v>1.3289414909892237</x:v>
      </x:c>
      <x:c r="R42" t="n">
        <x:f>(((((('리그 투수'!E42/('리그 투수'!D42*3)+0.14))+0.155)+0.3)+0.27)-(-1*((('리그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타자'!P42)))*(1/((((('리그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타자'!L42-'리그 타자'!N42+'리그 타자'!M42+'리그 타자'!F42))-(-1*((('리그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타자'!P42))))</x:f>
        <x:v>1.6905185074030282</x:v>
      </x:c>
      <x:c r="S42" t="n">
        <x:f>((1.4)-(-1*((('리그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타자'!P42)))*(1/((((('리그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타자'!L42-'리그 타자'!N42+'리그 타자'!M42+'리그 타자'!F42))-(-1*((('리그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타자'!P42))))</x:f>
        <x:v>2.2057046727281</x:v>
      </x:c>
      <x:c r="T42" t="n">
        <x:f>1/((((('리그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타자'!L42-'리그 타자'!N42+'리그 타자'!M42+'리그 타자'!F42))-(-1*((('리그 투수'!E42/('리그 투수'!D42*3)+0.14))*('리그 타자'!L42-'리그 타자'!N42)+((('리그 투수'!E42/('리그 투수'!D42*3)+0.14))+0.025)*'리그 타자'!M42+((('리그 투수'!E42/('리그 투수'!D42*3)+0.14))+0.155)*('리그 타자'!F42-'리그 타자'!G42-'리그 타자'!H42-'리그 타자'!I42)+(((('리그 투수'!E42/('리그 투수'!D42*3)+0.14))+0.155)+0.3)*'리그 타자'!G42+((((('리그 투수'!E42/('리그 투수'!D42*3)+0.14))+0.155)+0.3)+0.27)*'리그 타자'!H42+(1.4)*'리그 타자'!I42)/('리그 타자'!D42-'리그 타자'!F42+'리그 타자'!P42)))</x:f>
        <x:v>1.339174134865943</x:v>
      </x:c>
      <x:c r="U42" t="n">
        <x:f>1.5*('리그 투수'!R42+2)</x:f>
        <x:v>9.850469349652526</x:v>
      </x:c>
      <x:c r="V42" t="n">
        <x:f>((9*'리그 투수'!E42)-(Y42*'리그 투수'!K42)-(Z42*('리그 투수'!L42+'리그 투수'!M42-'리그 투수'!N42))-(AA42*'리그 투수'!O42))/'리그 투수'!D42</x:f>
        <x:v>3.7261876361373303</x:v>
      </x:c>
      <x:c r="W42" t="n">
        <x:f>'리그 타자'!E42/'리그 타자'!C42</x:f>
        <x:v>0.11655915515608527</x:v>
      </x:c>
      <x:c r="X42" s="4">
        <x:v>2022</x:v>
      </x:c>
      <x:c r="Y42">
        <x:v>12</x:v>
      </x:c>
      <x:c r="Z42">
        <x:v>3.1999999999999997</x:v>
      </x:c>
      <x:c r="AA42">
        <x:v>-2.5</x:v>
      </x:c>
      <x:c r="AB42">
        <x:v>0.2</x:v>
      </x:c>
      <x:c r="AC42">
        <x:v>0.4</x:v>
      </x:c>
      <x:c r="AD42">
        <x:v>0.70799999999999996</x:v>
      </x:c>
      <x:c r="AG42">
        <x:v>12.7</x:v>
      </x:c>
      <x:c r="AH42">
        <x:v>9.3000000000000007</x:v>
      </x:c>
      <x:c r="AI42">
        <x:v>2.5</x:v>
      </x:c>
    </x:row>
    <x:row r="43">
      <x:c r="A43" s="4">
        <x:v>2023</x:v>
      </x:c>
      <x:c r="B43">
        <x:v>0.90500000000000003</x:v>
      </x:c>
      <x:c r="C43">
        <x:v>0.95899999999999996</x:v>
      </x:c>
      <x:c r="D43">
        <x:v>1.05</x:v>
      </x:c>
      <x:c r="E43">
        <x:v>1.091</x:v>
      </x:c>
      <x:c r="F43">
        <x:v>1.006</x:v>
      </x:c>
      <x:c r="G43">
        <x:v>0.97099999999999997</x:v>
      </x:c>
      <x:c r="H43">
        <x:v>1.0629999999999999</x:v>
      </x:c>
      <x:c r="I43">
        <x:v>1.0760000000000001</x:v>
      </x:c>
      <x:c r="J43">
        <x:v>1.006</x:v>
      </x:c>
      <x:c r="L43">
        <x:v>1</x:v>
      </x:c>
      <x:c r="M43" s="4">
        <x:v>2023</x:v>
      </x:c>
      <x:c r="N43" t="n">
        <x:f>((('리그 투수'!E43/('리그 투수'!D43*3)+0.14))-(-1*((('리그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타자'!P43)))*(1/((((('리그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타자'!L43-'리그 타자'!N43+'리그 타자'!M43+'리그 타자'!F43))-(-1*((('리그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타자'!P43))))</x:f>
        <x:v>0.7321167049816365</x:v>
      </x:c>
      <x:c r="O43" t="n">
        <x:f>(((('리그 투수'!E43/('리그 투수'!D43*3)+0.14))+0.025)-(-1*((('리그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타자'!P43)))*(1/((((('리그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타자'!L43-'리그 타자'!N43+'리그 타자'!M43+'리그 타자'!F43))-(-1*((('리그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타자'!P43))))</x:f>
        <x:v>0.765839734408464</x:v>
      </x:c>
      <x:c r="P43" t="n">
        <x:f>(((('리그 투수'!E43/('리그 투수'!D43*3)+0.14))+0.155)-(-1*((('리그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타자'!P43)))*(1/((((('리그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타자'!L43-'리그 타자'!N43+'리그 타자'!M43+'리그 타자'!F43))-(-1*((('리그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타자'!P43))))</x:f>
        <x:v>0.941199487427967</x:v>
      </x:c>
      <x:c r="Q43" t="n">
        <x:f>((((('리그 투수'!E43/('리그 투수'!D43*3)+0.14))+0.155)+0.3)-(-1*((('리그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타자'!P43)))*(1/((((('리그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타자'!L43-'리그 타자'!N43+'리그 타자'!M43+'리그 타자'!F43))-(-1*((('리그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타자'!P43))))</x:f>
        <x:v>1.3458758405498967</x:v>
      </x:c>
      <x:c r="R43" t="n">
        <x:f>(((((('리그 투수'!E43/('리그 투수'!D43*3)+0.14))+0.155)+0.3)+0.27)-(-1*((('리그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타자'!P43)))*(1/((((('리그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타자'!L43-'리그 타자'!N43+'리그 타자'!M43+'리그 타자'!F43))-(-1*((('리그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타자'!P43))))</x:f>
        <x:v>1.7100845583596338</x:v>
      </x:c>
      <x:c r="S43" t="n">
        <x:f>((1.4)-(-1*((('리그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타자'!P43)))*(1/((((('리그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타자'!L43-'리그 타자'!N43+'리그 타자'!M43+'리그 타자'!F43))-(-1*((('리그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타자'!P43))))</x:f>
        <x:v>2.2248805330274704</x:v>
      </x:c>
      <x:c r="T43" t="n">
        <x:f>1/((((('리그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타자'!L43-'리그 타자'!N43+'리그 타자'!M43+'리그 타자'!F43))-(-1*((('리그 투수'!E43/('리그 투수'!D43*3)+0.14))*('리그 타자'!L43-'리그 타자'!N43)+((('리그 투수'!E43/('리그 투수'!D43*3)+0.14))+0.025)*'리그 타자'!M43+((('리그 투수'!E43/('리그 투수'!D43*3)+0.14))+0.155)*('리그 타자'!F43-'리그 타자'!G43-'리그 타자'!H43-'리그 타자'!I43)+(((('리그 투수'!E43/('리그 투수'!D43*3)+0.14))+0.155)+0.3)*'리그 타자'!G43+((((('리그 투수'!E43/('리그 투수'!D43*3)+0.14))+0.155)+0.3)+0.27)*'리그 타자'!H43+(1.4)*'리그 타자'!I43)/('리그 타자'!D43-'리그 타자'!F43+'리그 타자'!P43)))</x:f>
        <x:v>1.3489211770730998</x:v>
      </x:c>
      <x:c r="U43" t="n">
        <x:f>1.5*('리그 투수'!R43+2)</x:f>
        <x:v>9.965457237098406</x:v>
      </x:c>
      <x:c r="V43" t="n">
        <x:f>((9*'리그 투수'!E43)-(Y43*'리그 투수'!K43)-(Z43*('리그 투수'!L43+'리그 투수'!M43-'리그 투수'!N43))-(AA43*'리그 투수'!O43))/'리그 투수'!D43</x:f>
        <x:v>3.8075059086304965</x:v>
      </x:c>
      <x:c r="W43" t="n">
        <x:f>'리그 타자'!E43/'리그 타자'!C43</x:f>
        <x:v>0.11776422258184988</x:v>
      </x:c>
      <x:c r="X43" s="4">
        <x:v>2023</x:v>
      </x:c>
      <x:c r="Y43">
        <x:v>12</x:v>
      </x:c>
      <x:c r="Z43">
        <x:v>3.1999999999999997</x:v>
      </x:c>
      <x:c r="AA43">
        <x:v>-2.5</x:v>
      </x:c>
      <x:c r="AB43">
        <x:v>0.2</x:v>
      </x:c>
      <x:c r="AC43">
        <x:v>0.4</x:v>
      </x:c>
      <x:c r="AD43">
        <x:v>0.72399999999999998</x:v>
      </x:c>
      <x:c r="AG43">
        <x:v>12.7</x:v>
      </x:c>
      <x:c r="AH43">
        <x:v>9.3000000000000007</x:v>
      </x:c>
      <x:c r="AI43">
        <x:v>2.5</x:v>
      </x:c>
    </x:row>
    <x:row r="44">
      <x:c r="A44" s="4">
        <x:v>2024</x:v>
      </x:c>
      <x:c r="B44">
        <x:v>0.93300000000000005</x:v>
      </x:c>
      <x:c r="C44">
        <x:v>0.91500000000000004</x:v>
      </x:c>
      <x:c r="D44">
        <x:v>1.071</x:v>
      </x:c>
      <x:c r="E44">
        <x:v>1.038</x:v>
      </x:c>
      <x:c r="F44">
        <x:v>1.0069999999999999</x:v>
      </x:c>
      <x:c r="G44">
        <x:v>0.98699999999999999</x:v>
      </x:c>
      <x:c r="H44">
        <x:v>1.073</x:v>
      </x:c>
      <x:c r="I44">
        <x:v>1.0609999999999999</x:v>
      </x:c>
      <x:c r="J44">
        <x:v>0.94899999999999995</x:v>
      </x:c>
      <x:c r="L44">
        <x:v>1</x:v>
      </x:c>
      <x:c r="M44" s="4">
        <x:v>2024</x:v>
      </x:c>
      <x:c r="N44" t="n">
        <x:f>((('리그 투수'!E44/('리그 투수'!D44*3)+0.14))-(-1*((('리그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타자'!P44)))*(1/((((('리그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타자'!L44-'리그 타자'!N44+'리그 타자'!M44+'리그 타자'!F44))-(-1*((('리그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타자'!P44))))</x:f>
        <x:v>0.7364601399071684</x:v>
      </x:c>
      <x:c r="O44" t="n">
        <x:f>(((('리그 투수'!E44/('리그 투수'!D44*3)+0.14))+0.025)-(-1*((('리그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타자'!P44)))*(1/((((('리그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타자'!L44-'리그 타자'!N44+'리그 타자'!M44+'리그 타자'!F44))-(-1*((('리그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타자'!P44))))</x:f>
        <x:v>0.7664826086665129</x:v>
      </x:c>
      <x:c r="P44" t="n">
        <x:f>(((('리그 투수'!E44/('리그 투수'!D44*3)+0.14))+0.155)-(-1*((('리그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타자'!P44)))*(1/((((('리그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타자'!L44-'리그 타자'!N44+'리그 타자'!M44+'리그 타자'!F44))-(-1*((('리그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타자'!P44))))</x:f>
        <x:v>0.9225994462151043</x:v>
      </x:c>
      <x:c r="Q44" t="n">
        <x:f>((((('리그 투수'!E44/('리그 투수'!D44*3)+0.14))+0.155)+0.3)-(-1*((('리그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타자'!P44)))*(1/((((('리그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타자'!L44-'리그 타자'!N44+'리그 타자'!M44+'리그 타자'!F44))-(-1*((('리그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타자'!P44))))</x:f>
        <x:v>1.2828690713272382</x:v>
      </x:c>
      <x:c r="R44" t="n">
        <x:f>(((((('리그 투수'!E44/('리그 투수'!D44*3)+0.14))+0.155)+0.3)+0.27)-(-1*((('리그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타자'!P44)))*(1/((((('리그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타자'!L44-'리그 타자'!N44+'리그 타자'!M44+'리그 타자'!F44))-(-1*((('리그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타자'!P44))))</x:f>
        <x:v>1.6071117339281589</x:v>
      </x:c>
      <x:c r="S44" t="n">
        <x:f>((1.4)-(-1*((('리그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타자'!P44)))*(1/((((('리그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타자'!L44-'리그 타자'!N44+'리그 타자'!M44+'리그 타자'!F44))-(-1*((('리그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타자'!P44))))</x:f>
        <x:v>2.031366848287767</x:v>
      </x:c>
      <x:c r="T44" t="n">
        <x:f>1/((((('리그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타자'!L44-'리그 타자'!N44+'리그 타자'!M44+'리그 타자'!F44))-(-1*((('리그 투수'!E44/('리그 투수'!D44*3)+0.14))*('리그 타자'!L44-'리그 타자'!N44)+((('리그 투수'!E44/('리그 투수'!D44*3)+0.14))+0.025)*'리그 타자'!M44+((('리그 투수'!E44/('리그 투수'!D44*3)+0.14))+0.155)*('리그 타자'!F44-'리그 타자'!G44-'리그 타자'!H44-'리그 타자'!I44)+(((('리그 투수'!E44/('리그 투수'!D44*3)+0.14))+0.155)+0.3)*'리그 타자'!G44+((((('리그 투수'!E44/('리그 투수'!D44*3)+0.14))+0.155)+0.3)+0.27)*'리그 타자'!H44+(1.4)*'리그 타자'!I44)/('리그 타자'!D44-'리그 타자'!F44+'리그 타자'!P44)))</x:f>
        <x:v>1.2008987503737798</x:v>
      </x:c>
      <x:c r="U44" t="n">
        <x:f>1.5*('리그 투수'!R44+2)</x:f>
        <x:v>11.170302603800142</x:v>
      </x:c>
      <x:c r="V44" t="n">
        <x:f>((9*'리그 투수'!E44)-(Y44*'리그 투수'!K44)-(Z44*('리그 투수'!L44+'리그 투수'!M44-'리그 투수'!N44))-(AA44*'리그 투수'!O44))/'리그 투수'!D44</x:f>
        <x:v>4.197622957228869</x:v>
      </x:c>
      <x:c r="W44" t="n">
        <x:f>'리그 타자'!E44/'리그 타자'!C44</x:f>
        <x:v>0.1351610931633633</x:v>
      </x:c>
      <x:c r="X44" s="4">
        <x:v>2024</x:v>
      </x:c>
      <x:c r="Y44">
        <x:v>12</x:v>
      </x:c>
      <x:c r="Z44">
        <x:v>3.1999999999999997</x:v>
      </x:c>
      <x:c r="AA44">
        <x:v>-2.5</x:v>
      </x:c>
      <x:c r="AB44">
        <x:v>0.2</x:v>
      </x:c>
      <x:c r="AC44">
        <x:v>0.4</x:v>
      </x:c>
      <x:c r="AD44">
        <x:v>0.74399999999999999</x:v>
      </x:c>
      <x:c r="AG44">
        <x:v>12.7</x:v>
      </x:c>
      <x:c r="AH44">
        <x:v>9.3000000000000007</x:v>
      </x:c>
      <x:c r="AI44">
        <x:v>2.5</x:v>
      </x:c>
    </x:row>
    <x:row r="45">
      <x:c r="A45" s="4">
        <x:v>2025</x:v>
      </x:c>
      <x:c r="B45">
        <x:v>0.92700000000000005</x:v>
      </x:c>
      <x:c r="C45">
        <x:v>0.90900000000000003</x:v>
      </x:c>
      <x:c r="D45">
        <x:v>1.028</x:v>
      </x:c>
      <x:c r="E45">
        <x:v>1.034</x:v>
      </x:c>
      <x:c r="F45">
        <x:v>1.056</x:v>
      </x:c>
      <x:c r="G45">
        <x:v>0.97799999999999998</x:v>
      </x:c>
      <x:c r="H45">
        <x:v>1.077</x:v>
      </x:c>
      <x:c r="I45">
        <x:v>1.069</x:v>
      </x:c>
      <x:c r="J45">
        <x:v>1.0269999999999999</x:v>
      </x:c>
      <x:c r="L45">
        <x:v>1</x:v>
      </x:c>
      <x:c r="M45" s="4">
        <x:v>2025</x:v>
      </x:c>
      <x:c r="N45" t="n">
        <x:f>((('리그 투수'!E45/('리그 투수'!D45*3)+0.14))-(-1*((('리그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타자'!P45)))*(1/((((('리그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타자'!L45-'리그 타자'!N45+'리그 타자'!M45+'리그 타자'!F45))-(-1*((('리그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타자'!P45))))</x:f>
        <x:v>0.725375527536933</x:v>
      </x:c>
      <x:c r="O45" t="n">
        <x:f>(((('리그 투수'!E45/('리그 투수'!D45*3)+0.14))+0.025)-(-1*((('리그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타자'!P45)))*(1/((((('리그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타자'!L45-'리그 타자'!N45+'리그 타자'!M45+'리그 타자'!F45))-(-1*((('리그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타자'!P45))))</x:f>
        <x:v>0.7578484244610102</x:v>
      </x:c>
      <x:c r="P45" t="n">
        <x:f>(((('리그 투수'!E45/('리그 투수'!D45*3)+0.14))+0.155)-(-1*((('리그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타자'!P45)))*(1/((((('리그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타자'!L45-'리그 타자'!N45+'리그 타자'!M45+'리그 타자'!F45))-(-1*((('리그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타자'!P45))))</x:f>
        <x:v>0.9267074884662118</x:v>
      </x:c>
      <x:c r="Q45" t="n">
        <x:f>((((('리그 투수'!E45/('리그 투수'!D45*3)+0.14))+0.155)+0.3)-(-1*((('리그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타자'!P45)))*(1/((((('리그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타자'!L45-'리그 타자'!N45+'리그 타자'!M45+'리그 타자'!F45))-(-1*((('리그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타자'!P45))))</x:f>
        <x:v>1.3163822515551384</x:v>
      </x:c>
      <x:c r="R45" t="n">
        <x:f>(((((('리그 투수'!E45/('리그 투수'!D45*3)+0.14))+0.155)+0.3)+0.27)-(-1*((('리그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타자'!P45)))*(1/((((('리그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타자'!L45-'리그 타자'!N45+'리그 타자'!M45+'리그 타자'!F45))-(-1*((('리그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타자'!P45))))</x:f>
        <x:v>1.6670895383351725</x:v>
      </x:c>
      <x:c r="S45" t="n">
        <x:f>((1.4)-(-1*((('리그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타자'!P45)))*(1/((((('리그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타자'!L45-'리그 타자'!N45+'리그 타자'!M45+'리그 타자'!F45))-(-1*((('리그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타자'!P45))))</x:f>
        <x:v>2.1547375253177816</x:v>
      </x:c>
      <x:c r="T45" t="n">
        <x:f>1/((((('리그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타자'!L45-'리그 타자'!N45+'리그 타자'!M45+'리그 타자'!F45))-(-1*((('리그 투수'!E45/('리그 투수'!D45*3)+0.14))*('리그 타자'!L45-'리그 타자'!N45)+((('리그 투수'!E45/('리그 투수'!D45*3)+0.14))+0.025)*'리그 타자'!M45+((('리그 투수'!E45/('리그 투수'!D45*3)+0.14))+0.155)*('리그 타자'!F45-'리그 타자'!G45-'리그 타자'!H45-'리그 타자'!I45)+(((('리그 투수'!E45/('리그 투수'!D45*3)+0.14))+0.155)+0.3)*'리그 타자'!G45+((((('리그 투수'!E45/('리그 투수'!D45*3)+0.14))+0.155)+0.3)+0.27)*'리그 타자'!H45+(1.4)*'리그 타자'!I45)/('리그 타자'!D45-'리그 타자'!F45+'리그 타자'!P45)))</x:f>
        <x:v>1.298915876963089</x:v>
      </x:c>
      <x:c r="U45" t="n">
        <x:f>1.5*('리그 투수'!R45+2)</x:f>
        <x:v>10.200399258891991</x:v>
      </x:c>
      <x:c r="V45" t="n">
        <x:f>((9*'리그 투수'!E45)-(Y45*'리그 투수'!K45)-(Z45*('리그 투수'!L45+'리그 투수'!M45-'리그 투수'!N45))-(AA45*'리그 투수'!O45))/'리그 투수'!D45</x:f>
        <x:v>3.908713238172282</x:v>
      </x:c>
      <x:c r="W45" t="n">
        <x:f>'리그 타자'!E45/'리그 타자'!C45</x:f>
        <x:v>0.12166940495749697</x:v>
      </x:c>
      <x:c r="X45" s="4">
        <x:v>2025</x:v>
      </x:c>
      <x:c r="Y45">
        <x:v>12</x:v>
      </x:c>
      <x:c r="Z45">
        <x:v>3.1999999999999997</x:v>
      </x:c>
      <x:c r="AA45">
        <x:v>-2.5</x:v>
      </x:c>
      <x:c r="AB45">
        <x:v>0.2</x:v>
      </x:c>
      <x:c r="AC45">
        <x:v>0.4</x:v>
      </x:c>
      <x:c r="AD45">
        <x:v>0.749</x:v>
      </x:c>
      <x:c r="AG45">
        <x:v>12.7</x:v>
      </x:c>
      <x:c r="AH45">
        <x:v>9.3000000000000007</x:v>
      </x:c>
      <x:c r="AI45">
        <x:v>2.5</x:v>
      </x:c>
    </x:row>
    <x:row r="46">
      <x:c r="A46" s="4">
        <x:v>2026</x:v>
      </x:c>
      <x:c r="B46" t="n">
        <x:v>0.871842</x:v>
      </x:c>
      <x:c r="C46" t="n">
        <x:v>0.931727</x:v>
      </x:c>
      <x:c r="D46" t="n">
        <x:v>0.943387</x:v>
      </x:c>
      <x:c r="E46" t="n">
        <x:v>1.069855</x:v>
      </x:c>
      <x:c r="F46" t="n">
        <x:v>1.170772</x:v>
      </x:c>
      <x:c r="G46" t="n">
        <x:v>0.919389</x:v>
      </x:c>
      <x:c r="H46" t="n">
        <x:v>1.055356</x:v>
      </x:c>
      <x:c r="I46" t="n">
        <x:v>1.163773</x:v>
      </x:c>
      <x:c r="J46" t="n">
        <x:v>0.968492</x:v>
      </x:c>
      <x:c r="L46">
        <x:v>1</x:v>
      </x:c>
      <x:c r="M46" s="4">
        <x:v>2026</x:v>
      </x:c>
      <x:c r="N46" t="n">
        <x:f>((('리그 투수'!E46/('리그 투수'!D46*3)+0.14))-(-1*((('리그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타자'!P46)))*(1/((((('리그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타자'!L46-'리그 타자'!N46+'리그 타자'!M46+'리그 타자'!F46))-(-1*((('리그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타자'!P46))))</x:f>
        <x:v>0.7350465625272101</x:v>
      </x:c>
      <x:c r="O46" t="n">
        <x:f>(((('리그 투수'!E46/('리그 투수'!D46*3)+0.14))+0.025)-(-1*((('리그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타자'!P46)))*(1/((((('리그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타자'!L46-'리그 타자'!N46+'리그 타자'!M46+'리그 타자'!F46))-(-1*((('리그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타자'!P46))))</x:f>
        <x:v>0.7660149235454504</x:v>
      </x:c>
      <x:c r="P46" t="n">
        <x:f>(((('리그 투수'!E46/('리그 투수'!D46*3)+0.14))+0.155)-(-1*((('리그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타자'!P46)))*(1/((((('리그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타자'!L46-'리그 타자'!N46+'리그 타자'!M46+'리그 타자'!F46))-(-1*((('리그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타자'!P46))))</x:f>
        <x:v>0.9270504008403005</x:v>
      </x:c>
      <x:c r="Q46" t="n">
        <x:f>((((('리그 투수'!E46/('리그 투수'!D46*3)+0.14))+0.155)+0.3)-(-1*((('리그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타자'!P46)))*(1/((((('리그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타자'!L46-'리그 타자'!N46+'리그 타자'!M46+'리그 타자'!F46))-(-1*((('리그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타자'!P46))))</x:f>
        <x:v>1.2986707330591851</x:v>
      </x:c>
      <x:c r="R46" t="n">
        <x:f>(((((('리그 투수'!E46/('리그 투수'!D46*3)+0.14))+0.155)+0.3)+0.27)-(-1*((('리그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타자'!P46)))*(1/((((('리그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타자'!L46-'리그 타자'!N46+'리그 타자'!M46+'리그 타자'!F46))-(-1*((('리그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타자'!P46))))</x:f>
        <x:v>1.633129032056181</x:v>
      </x:c>
      <x:c r="S46" t="n">
        <x:f>((1.4)-(-1*((('리그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타자'!P46)))*(1/((((('리그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타자'!L46-'리그 타자'!N46+'리그 타자'!M46+'리그 타자'!F46))-(-1*((('리그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타자'!P46))))</x:f>
        <x:v>2.0805798903308954</x:v>
      </x:c>
      <x:c r="T46" t="n">
        <x:f>1/((((('리그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타자'!L46-'리그 타자'!N46+'리그 타자'!M46+'리그 타자'!F46))-(-1*((('리그 투수'!E46/('리그 투수'!D46*3)+0.14))*('리그 타자'!L46-'리그 타자'!N46)+((('리그 투수'!E46/('리그 투수'!D46*3)+0.14))+0.025)*'리그 타자'!M46+((('리그 투수'!E46/('리그 투수'!D46*3)+0.14))+0.155)*('리그 타자'!F46-'리그 타자'!G46-'리그 타자'!H46-'리그 타자'!I46)+(((('리그 투수'!E46/('리그 투수'!D46*3)+0.14))+0.155)+0.3)*'리그 타자'!G46+((((('리그 투수'!E46/('리그 투수'!D46*3)+0.14))+0.155)+0.3)+0.27)*'리그 타자'!H46+(1.4)*'리그 타자'!I46)/('리그 타자'!D46-'리그 타자'!F46+'리그 타자'!P46)))</x:f>
        <x:v>1.238734440729615</x:v>
      </x:c>
      <x:c r="U46" t="n">
        <x:f>1.5*('리그 투수'!R46+2)</x:f>
        <x:v>10.580535466257963</x:v>
      </x:c>
      <x:c r="V46" t="n">
        <x:f>((9*'리그 투수'!E46)-(Y46*'리그 투수'!K46)-(Z46*('리그 투수'!L46+'리그 투수'!M46-'리그 투수'!N46))-(AA46*'리그 투수'!O46))/'리그 투수'!D46</x:f>
        <x:v>4.0380313418217435</x:v>
      </x:c>
      <x:c r="W46" t="n">
        <x:f>'리그 타자'!E46/'리그 타자'!C46</x:f>
        <x:v>0.12963044338005889</x:v>
      </x:c>
      <x:c r="X46" s="4">
        <x:v>2026</x:v>
      </x:c>
      <x:c r="Y46">
        <x:v>12</x:v>
      </x:c>
      <x:c r="Z46">
        <x:v>3.1999999999999997</x:v>
      </x:c>
      <x:c r="AA46">
        <x:v>-2.5</x:v>
      </x:c>
      <x:c r="AB46">
        <x:v>0.2</x:v>
      </x:c>
      <x:c r="AC46">
        <x:v>0.4</x:v>
      </x:c>
      <x:c r="AD46">
        <x:v>0.749</x:v>
      </x:c>
      <x:c r="AG46">
        <x:v>12.7</x:v>
      </x:c>
      <x:c r="AH46">
        <x:v>9.3000000000000007</x:v>
      </x:c>
      <x:c r="AI46">
        <x:v>2.5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796875" defaultRowHeight="17.399999618530273"/>
  <x:cols>
    <x:col min="1" max="1" width="5.59765625" style="3" customWidth="1"/>
    <x:col min="2" max="2" width="5.19921875" customWidth="1"/>
    <x:col min="3" max="4" width="5.5" customWidth="1"/>
    <x:col min="5" max="5" width="5" customWidth="1"/>
    <x:col min="6" max="16" width="5.5" customWidth="1"/>
    <x:col min="17" max="23" width="4.8984375" customWidth="1"/>
    <x:col min="24" max="32" width="5.5" customWidth="1"/>
    <x:col min="33" max="522" width="5.296875" customWidth="1"/>
  </x:cols>
  <x:sheetData>
    <x:row r="1" s="4" customFormat="1">
      <x:c r="A1" s="5" t="s">
        <x:v>42</x:v>
      </x:c>
      <x:c r="B1" s="1" t="s">
        <x:v>43</x:v>
      </x:c>
      <x:c r="C1" s="1" t="s">
        <x:v>44</x:v>
      </x:c>
      <x:c r="D1" s="1" t="s">
        <x:v>45</x:v>
      </x:c>
      <x:c r="E1" s="1" t="s">
        <x:v>46</x:v>
      </x:c>
      <x:c r="F1" s="1" t="s">
        <x:v>47</x:v>
      </x:c>
      <x:c r="G1" s="1" t="s">
        <x:v>33</x:v>
      </x:c>
      <x:c r="H1" s="1" t="s">
        <x:v>34</x:v>
      </x:c>
      <x:c r="I1" s="1" t="s">
        <x:v>22</x:v>
      </x:c>
      <x:c r="J1" s="4" t="s">
        <x:v>48</x:v>
      </x:c>
      <x:c r="K1" s="4" t="s">
        <x:v>49</x:v>
      </x:c>
      <x:c r="L1" s="1" t="s">
        <x:v>23</x:v>
      </x:c>
      <x:c r="M1" s="1" t="s">
        <x:v>50</x:v>
      </x:c>
      <x:c r="N1" s="1" t="s">
        <x:v>51</x:v>
      </x:c>
      <x:c r="O1" s="4" t="s">
        <x:v>52</x:v>
      </x:c>
      <x:c r="P1" s="1" t="s">
        <x:v>53</x:v>
      </x:c>
      <x:c r="Q1" s="1" t="s">
        <x:v>54</x:v>
      </x:c>
      <x:c r="R1" s="1" t="s">
        <x:v>55</x:v>
      </x:c>
      <x:c r="S1" s="1" t="s">
        <x:v>56</x:v>
      </x:c>
      <x:c r="T1" s="1" t="s">
        <x:v>57</x:v>
      </x:c>
    </x:row>
    <x:row r="2">
      <x:c r="A2" s="6">
        <x:v>1982</x:v>
      </x:c>
      <x:c r="B2" t="n">
        <x:f>('리그 투수'!N2*(L2-N2)+'연도별 상수'!O2*M2+'연도별 상수'!P2*(F2-G2-H2-I2)+'연도별 상수'!Q2*G2+'연도별 상수'!R2*H2+'연도별 상수'!S2*I2)/(D2+L2+M2-N2+P2)</x:f>
        <x:v>6.18495859218822</x:v>
      </x:c>
      <x:c r="C2">
        <x:v>18208</x:v>
      </x:c>
      <x:c r="D2">
        <x:v>16026</x:v>
      </x:c>
      <x:c r="E2">
        <x:v>2272</x:v>
      </x:c>
      <x:c r="F2">
        <x:v>4247</x:v>
      </x:c>
      <x:c r="G2">
        <x:v>726</x:v>
      </x:c>
      <x:c r="H2">
        <x:v>95</x:v>
      </x:c>
      <x:c r="I2">
        <x:v>362</x:v>
      </x:c>
      <x:c r="J2">
        <x:v>700</x:v>
      </x:c>
      <x:c r="K2">
        <x:v>311</x:v>
      </x:c>
      <x:c r="L2">
        <x:v>1604</x:v>
      </x:c>
      <x:c r="M2">
        <x:v>228</x:v>
      </x:c>
      <x:c r="N2">
        <x:v>69</x:v>
      </x:c>
      <x:c r="O2">
        <x:v>306</x:v>
      </x:c>
      <x:c r="P2">
        <x:v>130</x:v>
      </x:c>
      <x:c r="Q2" t="n">
        <x:f t="shared" ref="Q2:Q20" si="0">F2/D2</x:f>
        <x:v>0.26500686384624983</x:v>
      </x:c>
      <x:c r="R2" t="n">
        <x:f t="shared" ref="R2:R20" si="1">(F2+L2+M2)/(D2+L2+M2+P2)</x:f>
        <x:v>0.3379475205692684</x:v>
      </x:c>
      <x:c r="S2" t="n">
        <x:f t="shared" ref="S2:S20" si="2">(1*(F2-G2-H2-I2)+2*G2+3*H2+4*I2)/D2</x:f>
        <x:v>0.3899288655934107</x:v>
      </x:c>
      <x:c r="T2" t="n">
        <x:f t="shared" ref="T2:T20" si="3">R2+S2</x:f>
        <x:v>0.7278763861626791</x:v>
      </x:c>
    </x:row>
    <x:row r="3">
      <x:c r="A3" s="6">
        <x:v>1983</x:v>
      </x:c>
      <x:c r="B3" t="n">
        <x:f>('연도별 상수'!N3*(L3-N3)+'연도별 상수'!O3*M3+'연도별 상수'!P3*(F3-G3-H3-I3)+'연도별 상수'!Q3*G3+'연도별 상수'!R3*H3+'연도별 상수'!S3*I3)/(D3+L3+M3-N3+P3)</x:f>
        <x:v>0.32046926665760744</x:v>
      </x:c>
      <x:c r="C3">
        <x:v>22546</x:v>
      </x:c>
      <x:c r="D3">
        <x:v>19957</x:v>
      </x:c>
      <x:c r="E3">
        <x:v>2411</x:v>
      </x:c>
      <x:c r="F3">
        <x:v>5103</x:v>
      </x:c>
      <x:c r="G3">
        <x:v>805</x:v>
      </x:c>
      <x:c r="H3">
        <x:v>108</x:v>
      </x:c>
      <x:c r="I3">
        <x:v>403</x:v>
      </x:c>
      <x:c r="J3">
        <x:v>498</x:v>
      </x:c>
      <x:c r="K3">
        <x:v>351</x:v>
      </x:c>
      <x:c r="L3">
        <x:v>1757</x:v>
      </x:c>
      <x:c r="M3">
        <x:v>292</x:v>
      </x:c>
      <x:c r="N3">
        <x:v>77</x:v>
      </x:c>
      <x:c r="O3">
        <x:v>405</x:v>
      </x:c>
      <x:c r="P3">
        <x:v>148</x:v>
      </x:c>
      <x:c r="Q3">
        <x:f t="shared" si="0"/>
        <x:v>0.25569975447211507</x:v>
      </x:c>
      <x:c r="R3">
        <x:f t="shared" si="1"/>
        <x:v>0.32283109145075384</x:v>
      </x:c>
      <x:c r="S3">
        <x:f t="shared" si="2"/>
        <x:v>0.3674399959913815</x:v>
      </x:c>
      <x:c r="T3">
        <x:f t="shared" si="3"/>
        <x:v>0.69027108744213539</x:v>
      </x:c>
    </x:row>
    <x:row r="4">
      <x:c r="A4" s="6">
        <x:v>1984</x:v>
      </x:c>
      <x:c r="B4" t="n">
        <x:f>('연도별 상수'!N4*(L4-N4)+'연도별 상수'!O4*M4+'연도별 상수'!P4*(F4-G4-H4-I4)+'연도별 상수'!Q4*G4+'연도별 상수'!R4*H4+'연도별 상수'!S4*I4)/(D4+L4+M4-N4+P4)</x:f>
        <x:v>0.32363520466238677</x:v>
      </x:c>
      <x:c r="C4">
        <x:v>22399</x:v>
      </x:c>
      <x:c r="D4">
        <x:v>19703</x:v>
      </x:c>
      <x:c r="E4">
        <x:v>2300</x:v>
      </x:c>
      <x:c r="F4">
        <x:v>4995</x:v>
      </x:c>
      <x:c r="G4">
        <x:v>824</x:v>
      </x:c>
      <x:c r="H4">
        <x:v>115</x:v>
      </x:c>
      <x:c r="I4">
        <x:v>383</x:v>
      </x:c>
      <x:c r="J4">
        <x:v>522</x:v>
      </x:c>
      <x:c r="K4">
        <x:v>338</x:v>
      </x:c>
      <x:c r="L4">
        <x:v>1937</x:v>
      </x:c>
      <x:c r="M4">
        <x:v>261</x:v>
      </x:c>
      <x:c r="N4">
        <x:v>85</x:v>
      </x:c>
      <x:c r="O4">
        <x:v>414</x:v>
      </x:c>
      <x:c r="P4">
        <x:v>147</x:v>
      </x:c>
      <x:c r="Q4">
        <x:f t="shared" si="0"/>
        <x:v>0.25351469319392989</x:v>
      </x:c>
      <x:c r="R4">
        <x:f t="shared" si="1"/>
        <x:v>0.32624274310595064</x:v>
      </x:c>
      <x:c r="S4">
        <x:f t="shared" si="2"/>
        <x:v>0.3653250773993808</x:v>
      </x:c>
      <x:c r="T4">
        <x:f t="shared" si="3"/>
        <x:v>0.6915678205053315</x:v>
      </x:c>
    </x:row>
    <x:row r="5">
      <x:c r="A5" s="6">
        <x:v>1985</x:v>
      </x:c>
      <x:c r="B5" t="n">
        <x:f>('연도별 상수'!N5*(L5-N5)+'연도별 상수'!O5*M5+'연도별 상수'!P5*(F5-G5-H5-I5)+'연도별 상수'!Q5*G5+'연도별 상수'!R5*H5+'연도별 상수'!S5*I5)/(D5+L5+M5-N5+P5)</x:f>
        <x:v>0.32967842238769335</x:v>
      </x:c>
      <x:c r="C5">
        <x:v>24995</x:v>
      </x:c>
      <x:c r="D5">
        <x:v>21893</x:v>
      </x:c>
      <x:c r="E5">
        <x:v>2695</x:v>
      </x:c>
      <x:c r="F5">
        <x:v>5700</x:v>
      </x:c>
      <x:c r="G5">
        <x:v>943</x:v>
      </x:c>
      <x:c r="H5">
        <x:v>109</x:v>
      </x:c>
      <x:c r="I5">
        <x:v>450</x:v>
      </x:c>
      <x:c r="J5">
        <x:v>632</x:v>
      </x:c>
      <x:c r="K5">
        <x:v>416</x:v>
      </x:c>
      <x:c r="L5">
        <x:v>2158</x:v>
      </x:c>
      <x:c r="M5">
        <x:v>273</x:v>
      </x:c>
      <x:c r="N5">
        <x:v>73</x:v>
      </x:c>
      <x:c r="O5">
        <x:v>453</x:v>
      </x:c>
      <x:c r="P5">
        <x:v>191</x:v>
      </x:c>
      <x:c r="Q5">
        <x:f t="shared" si="0"/>
        <x:v>0.2603571917964646</x:v>
      </x:c>
      <x:c r="R5">
        <x:f t="shared" si="1"/>
        <x:v>0.33167448500917807</x:v>
      </x:c>
      <x:c r="S5">
        <x:f t="shared" si="2"/>
        <x:v>0.37505138628785456</x:v>
      </x:c>
      <x:c r="T5">
        <x:f t="shared" si="3"/>
        <x:v>0.70672587129703257</x:v>
      </x:c>
    </x:row>
    <x:row r="6">
      <x:c r="A6" s="6">
        <x:v>1986</x:v>
      </x:c>
      <x:c r="B6" t="n">
        <x:f>('연도별 상수'!N6*(L6-N6)+'연도별 상수'!O6*M6+'연도별 상수'!P6*(F6-G6-H6-I6)+'연도별 상수'!Q6*G6+'연도별 상수'!R6*H6+'연도별 상수'!S6*I6)/(D6+L6+M6-N6+P6)</x:f>
        <x:v>0.3195589298626176</x:v>
      </x:c>
      <x:c r="C6">
        <x:v>28364</x:v>
      </x:c>
      <x:c r="D6">
        <x:v>24879</x:v>
      </x:c>
      <x:c r="E6">
        <x:v>2776</x:v>
      </x:c>
      <x:c r="F6">
        <x:v>6234</x:v>
      </x:c>
      <x:c r="G6">
        <x:v>977</x:v>
      </x:c>
      <x:c r="H6">
        <x:v>162</x:v>
      </x:c>
      <x:c r="I6">
        <x:v>397</x:v>
      </x:c>
      <x:c r="J6">
        <x:v>640</x:v>
      </x:c>
      <x:c r="K6">
        <x:v>462</x:v>
      </x:c>
      <x:c r="L6">
        <x:v>2415</x:v>
      </x:c>
      <x:c r="M6">
        <x:v>277</x:v>
      </x:c>
      <x:c r="N6">
        <x:v>87</x:v>
      </x:c>
      <x:c r="O6">
        <x:v>537</x:v>
      </x:c>
      <x:c r="P6">
        <x:v>176</x:v>
      </x:c>
      <x:c r="Q6">
        <x:f t="shared" si="0"/>
        <x:v>0.25057277221753288</x:v>
      </x:c>
      <x:c r="R6">
        <x:f t="shared" si="1"/>
        <x:v>0.32169243521822177</x:v>
      </x:c>
      <x:c r="S6">
        <x:f t="shared" si="2"/>
        <x:v>0.35073756983801602</x:v>
      </x:c>
      <x:c r="T6">
        <x:f t="shared" si="3"/>
        <x:v>0.67243000505623773</x:v>
      </x:c>
    </x:row>
    <x:row r="7">
      <x:c r="A7" s="6">
        <x:v>1987</x:v>
      </x:c>
      <x:c r="B7" t="n">
        <x:f>('연도별 상수'!N7*(L7-N7)+'연도별 상수'!O7*M7+'연도별 상수'!P7*(F7-G7-H7-I7)+'연도별 상수'!Q7*G7+'연도별 상수'!R7*H7+'연도별 상수'!S7*I7)/(D7+L7+M7-N7+P7)</x:f>
        <x:v>0.3330231892356141</x:v>
      </x:c>
      <x:c r="C7">
        <x:v>28567</x:v>
      </x:c>
      <x:c r="D7">
        <x:v>25125</x:v>
      </x:c>
      <x:c r="E7">
        <x:v>3022</x:v>
      </x:c>
      <x:c r="F7">
        <x:v>6666</x:v>
      </x:c>
      <x:c r="G7">
        <x:v>1013</x:v>
      </x:c>
      <x:c r="H7">
        <x:v>176</x:v>
      </x:c>
      <x:c r="I7">
        <x:v>384</x:v>
      </x:c>
      <x:c r="J7">
        <x:v>661</x:v>
      </x:c>
      <x:c r="K7">
        <x:v>413</x:v>
      </x:c>
      <x:c r="L7">
        <x:v>2469</x:v>
      </x:c>
      <x:c r="M7">
        <x:v>266</x:v>
      </x:c>
      <x:c r="N7">
        <x:v>95</x:v>
      </x:c>
      <x:c r="O7">
        <x:v>618</x:v>
      </x:c>
      <x:c r="P7">
        <x:v>179</x:v>
      </x:c>
      <x:c r="Q7">
        <x:f t="shared" si="0"/>
        <x:v>0.26531343283582087</x:v>
      </x:c>
      <x:c r="R7">
        <x:f t="shared" si="1"/>
        <x:v>0.33528299868040945</x:v>
      </x:c>
      <x:c r="S7">
        <x:f t="shared" si="2"/>
        <x:v>0.36549253731343284</x:v>
      </x:c>
      <x:c r="T7">
        <x:f t="shared" si="3"/>
        <x:v>0.70077553599384235</x:v>
      </x:c>
    </x:row>
    <x:row r="8">
      <x:c r="A8" s="6">
        <x:v>1988</x:v>
      </x:c>
      <x:c r="B8" t="n">
        <x:f>('연도별 상수'!N8*(L8-N8)+'연도별 상수'!O8*M8+'연도별 상수'!P8*(F8-G8-H8-I8)+'연도별 상수'!Q8*G8+'연도별 상수'!R8*H8+'연도별 상수'!S8*I8)/(D8+L8+M8-N8+P8)</x:f>
        <x:v>0.3330834047415025</x:v>
      </x:c>
      <x:c r="C8">
        <x:v>28655</x:v>
      </x:c>
      <x:c r="D8">
        <x:v>25255</x:v>
      </x:c>
      <x:c r="E8">
        <x:v>3222</x:v>
      </x:c>
      <x:c r="F8">
        <x:v>6769</x:v>
      </x:c>
      <x:c r="G8">
        <x:v>1044</x:v>
      </x:c>
      <x:c r="H8">
        <x:v>148</x:v>
      </x:c>
      <x:c r="I8">
        <x:v>482</x:v>
      </x:c>
      <x:c r="J8">
        <x:v>747</x:v>
      </x:c>
      <x:c r="K8">
        <x:v>401</x:v>
      </x:c>
      <x:c r="L8">
        <x:v>2386</x:v>
      </x:c>
      <x:c r="M8">
        <x:v>267</x:v>
      </x:c>
      <x:c r="N8">
        <x:v>93</x:v>
      </x:c>
      <x:c r="O8">
        <x:v>578</x:v>
      </x:c>
      <x:c r="P8">
        <x:v>193</x:v>
      </x:c>
      <x:c r="Q8">
        <x:f t="shared" si="0"/>
        <x:v>0.26802613343892301</x:v>
      </x:c>
      <x:c r="R8">
        <x:f t="shared" si="1"/>
        <x:v>0.3352905590548379</x:v>
      </x:c>
      <x:c r="S8">
        <x:f t="shared" si="2"/>
        <x:v>0.37834092258958624</x:v>
      </x:c>
      <x:c r="T8">
        <x:f t="shared" si="3"/>
        <x:v>0.71363148164442414</x:v>
      </x:c>
    </x:row>
    <x:row r="9">
      <x:c r="A9" s="6">
        <x:v>1989</x:v>
      </x:c>
      <x:c r="B9" t="n">
        <x:f>('연도별 상수'!N9*(L9-N9)+'연도별 상수'!O9*M9+'연도별 상수'!P9*(F9-G9-H9-I9)+'연도별 상수'!Q9*G9+'연도별 상수'!R9*H9+'연도별 상수'!S9*I9)/(D9+L9+M9-N9+P9)</x:f>
        <x:v>0.33336523125996814</x:v>
      </x:c>
      <x:c r="C9">
        <x:v>32030</x:v>
      </x:c>
      <x:c r="D9">
        <x:v>27781</x:v>
      </x:c>
      <x:c r="E9">
        <x:v>3530</x:v>
      </x:c>
      <x:c r="F9">
        <x:v>7136</x:v>
      </x:c>
      <x:c r="G9">
        <x:v>1169</x:v>
      </x:c>
      <x:c r="H9">
        <x:v>168</x:v>
      </x:c>
      <x:c r="I9">
        <x:v>460</x:v>
      </x:c>
      <x:c r="J9">
        <x:v>969</x:v>
      </x:c>
      <x:c r="K9">
        <x:v>535</x:v>
      </x:c>
      <x:c r="L9">
        <x:v>3161</x:v>
      </x:c>
      <x:c r="M9">
        <x:v>292</x:v>
      </x:c>
      <x:c r="N9">
        <x:v>138</x:v>
      </x:c>
      <x:c r="O9">
        <x:v>590</x:v>
      </x:c>
      <x:c r="P9">
        <x:v>254</x:v>
      </x:c>
      <x:c r="Q9">
        <x:f t="shared" si="0"/>
        <x:v>0.25686620352039163</x:v>
      </x:c>
      <x:c r="R9">
        <x:f t="shared" si="1"/>
        <x:v>0.33628683943089432</x:v>
      </x:c>
      <x:c r="S9">
        <x:f t="shared" si="2"/>
        <x:v>0.36071415715776972</x:v>
      </x:c>
      <x:c r="T9">
        <x:f t="shared" si="3"/>
        <x:v>0.6970009965886641</x:v>
      </x:c>
    </x:row>
    <x:row r="10">
      <x:c r="A10" s="6">
        <x:v>1990</x:v>
      </x:c>
      <x:c r="B10" t="n">
        <x:f>('연도별 상수'!N10*(L10-N10)+'연도별 상수'!O10*M10+'연도별 상수'!P10*(F10-G10-H10-I10)+'연도별 상수'!Q10*G10+'연도별 상수'!R10*H10+'연도별 상수'!S10*I10)/(D10+L10+M10-N10+P10)</x:f>
        <x:v>0.3357638555758099</x:v>
      </x:c>
      <x:c r="C10">
        <x:v>31961</x:v>
      </x:c>
      <x:c r="D10">
        <x:v>27607</x:v>
      </x:c>
      <x:c r="E10">
        <x:v>3679</x:v>
      </x:c>
      <x:c r="F10">
        <x:v>7084</x:v>
      </x:c>
      <x:c r="G10">
        <x:v>1170</x:v>
      </x:c>
      <x:c r="H10">
        <x:v>178</x:v>
      </x:c>
      <x:c r="I10">
        <x:v>541</x:v>
      </x:c>
      <x:c r="J10">
        <x:v>828</x:v>
      </x:c>
      <x:c r="K10">
        <x:v>510</x:v>
      </x:c>
      <x:c r="L10">
        <x:v>3196</x:v>
      </x:c>
      <x:c r="M10">
        <x:v>347</x:v>
      </x:c>
      <x:c r="N10">
        <x:v>128</x:v>
      </x:c>
      <x:c r="O10">
        <x:v>619</x:v>
      </x:c>
      <x:c r="P10">
        <x:v>247</x:v>
      </x:c>
      <x:c r="Q10">
        <x:f t="shared" si="0"/>
        <x:v>0.25660158655413484</x:v>
      </x:c>
      <x:c r="R10">
        <x:f t="shared" si="1"/>
        <x:v>0.33847182851864827</x:v>
      </x:c>
      <x:c r="S10">
        <x:f t="shared" si="2"/>
        <x:v>0.37066685985438474</x:v>
      </x:c>
      <x:c r="T10">
        <x:f t="shared" si="3"/>
        <x:v>0.70913868837303307</x:v>
      </x:c>
    </x:row>
    <x:row r="11">
      <x:c r="A11" s="6">
        <x:v>1991</x:v>
      </x:c>
      <x:c r="B11" t="n">
        <x:f>('연도별 상수'!N11*(L11-N11)+'연도별 상수'!O11*M11+'연도별 상수'!P11*(F11-G11-H11-I11)+'연도별 상수'!Q11*G11+'연도별 상수'!R11*H11+'연도별 상수'!S11*I11)/(D11+L11+M11-N11+P11)</x:f>
        <x:v>0.3330574761739502</x:v>
      </x:c>
      <x:c r="C11">
        <x:v>38292</x:v>
      </x:c>
      <x:c r="D11">
        <x:v>33238</x:v>
      </x:c>
      <x:c r="E11">
        <x:v>4437</x:v>
      </x:c>
      <x:c r="F11">
        <x:v>8514</x:v>
      </x:c>
      <x:c r="G11">
        <x:v>1443</x:v>
      </x:c>
      <x:c r="H11">
        <x:v>278</x:v>
      </x:c>
      <x:c r="I11">
        <x:v>711</x:v>
      </x:c>
      <x:c r="J11">
        <x:v>1015</x:v>
      </x:c>
      <x:c r="K11">
        <x:v>617</x:v>
      </x:c>
      <x:c r="L11">
        <x:v>3684</x:v>
      </x:c>
      <x:c r="M11">
        <x:v>449</x:v>
      </x:c>
      <x:c r="N11">
        <x:v>171</x:v>
      </x:c>
      <x:c r="O11">
        <x:v>722</x:v>
      </x:c>
      <x:c r="P11">
        <x:v>259</x:v>
      </x:c>
      <x:c r="Q11">
        <x:f t="shared" si="0"/>
        <x:v>0.2561525964257777</x:v>
      </x:c>
      <x:c r="R11">
        <x:f t="shared" si="1"/>
        <x:v>0.33608822747807598</x:v>
      </x:c>
      <x:c r="S11">
        <x:f t="shared" si="2"/>
        <x:v>0.38046813887718878</x:v>
      </x:c>
      <x:c r="T11">
        <x:f t="shared" si="3"/>
        <x:v>0.71655636635526476</x:v>
      </x:c>
    </x:row>
    <x:row r="12">
      <x:c r="A12" s="6">
        <x:v>1992</x:v>
      </x:c>
      <x:c r="B12" t="n">
        <x:f>('연도별 상수'!N12*(L12-N12)+'연도별 상수'!O12*M12+'연도별 상수'!P12*(F12-G12-H12-I12)+'연도별 상수'!Q12*G12+'연도별 상수'!R12*H12+'연도별 상수'!S12*I12)/(D12+L12+M12-N12+P12)</x:f>
        <x:v>0.34295335560758733</x:v>
      </x:c>
      <x:c r="C12">
        <x:v>38797</x:v>
      </x:c>
      <x:c r="D12">
        <x:v>33563</x:v>
      </x:c>
      <x:c r="E12">
        <x:v>4801</x:v>
      </x:c>
      <x:c r="F12">
        <x:v>8872</x:v>
      </x:c>
      <x:c r="G12">
        <x:v>1479</x:v>
      </x:c>
      <x:c r="H12">
        <x:v>239</x:v>
      </x:c>
      <x:c r="I12">
        <x:v>871</x:v>
      </x:c>
      <x:c r="J12">
        <x:v>844</x:v>
      </x:c>
      <x:c r="K12">
        <x:v>447</x:v>
      </x:c>
      <x:c r="L12">
        <x:v>3871</x:v>
      </x:c>
      <x:c r="M12">
        <x:v>446</x:v>
      </x:c>
      <x:c r="N12">
        <x:v>153</x:v>
      </x:c>
      <x:c r="O12">
        <x:v>834</x:v>
      </x:c>
      <x:c r="P12">
        <x:v>284</x:v>
      </x:c>
      <x:c r="Q12">
        <x:f t="shared" si="0"/>
        <x:v>0.26433870631349998</x:v>
      </x:c>
      <x:c r="R12">
        <x:f t="shared" si="1"/>
        <x:v>0.34558746462634943</x:v>
      </x:c>
      <x:c r="S12">
        <x:f t="shared" si="2"/>
        <x:v>0.40050055120221673</x:v>
      </x:c>
      <x:c r="T12">
        <x:f t="shared" si="3"/>
        <x:v>0.7460880158285661</x:v>
      </x:c>
    </x:row>
    <x:row r="13">
      <x:c r="A13" s="6">
        <x:v>1993</x:v>
      </x:c>
      <x:c r="B13" t="n">
        <x:f>('연도별 상수'!N13*(L13-N13)+'연도별 상수'!O13*M13+'연도별 상수'!P13*(F13-G13-H13-I13)+'연도별 상수'!Q13*G13+'연도별 상수'!R13*H13+'연도별 상수'!S13*I13)/(D13+L13+M13-N13+P13)</x:f>
        <x:v>0.3179034093988834</x:v>
      </x:c>
      <x:c r="C13">
        <x:v>37717</x:v>
      </x:c>
      <x:c r="D13">
        <x:v>33070</x:v>
      </x:c>
      <x:c r="E13">
        <x:v>3721</x:v>
      </x:c>
      <x:c r="F13">
        <x:v>8156</x:v>
      </x:c>
      <x:c r="G13">
        <x:v>1339</x:v>
      </x:c>
      <x:c r="H13">
        <x:v>180</x:v>
      </x:c>
      <x:c r="I13">
        <x:v>552</x:v>
      </x:c>
      <x:c r="J13">
        <x:v>936</x:v>
      </x:c>
      <x:c r="K13">
        <x:v>521</x:v>
      </x:c>
      <x:c r="L13">
        <x:v>3263</x:v>
      </x:c>
      <x:c r="M13">
        <x:v>419</x:v>
      </x:c>
      <x:c r="N13">
        <x:v>108</x:v>
      </x:c>
      <x:c r="O13">
        <x:v>774</x:v>
      </x:c>
      <x:c r="P13">
        <x:v>254</x:v>
      </x:c>
      <x:c r="Q13">
        <x:f t="shared" si="0"/>
        <x:v>0.24662836407620201</x:v>
      </x:c>
      <x:c r="R13">
        <x:f t="shared" si="1"/>
        <x:v>0.31989407123169217</x:v>
      </x:c>
      <x:c r="S13">
        <x:f t="shared" si="2"/>
        <x:v>0.34807983066223164</x:v>
      </x:c>
      <x:c r="T13">
        <x:f t="shared" si="3"/>
        <x:v>0.6679739018939238</x:v>
      </x:c>
    </x:row>
    <x:row r="14">
      <x:c r="A14" s="6">
        <x:v>1994</x:v>
      </x:c>
      <x:c r="B14" t="n">
        <x:f>('연도별 상수'!N14*(L14-N14)+'연도별 상수'!O14*M14+'연도별 상수'!P14*(F14-G14-H14-I14)+'연도별 상수'!Q14*G14+'연도별 상수'!R14*H14+'연도별 상수'!S14*I14)/(D14+L14+M14-N14+P14)</x:f>
        <x:v>0.3247220493954068</x:v>
      </x:c>
      <x:c r="C14">
        <x:v>37828</x:v>
      </x:c>
      <x:c r="D14">
        <x:v>33221</x:v>
      </x:c>
      <x:c r="E14">
        <x:v>4186</x:v>
      </x:c>
      <x:c r="F14">
        <x:v>8540</x:v>
      </x:c>
      <x:c r="G14">
        <x:v>1397</x:v>
      </x:c>
      <x:c r="H14">
        <x:v>179</x:v>
      </x:c>
      <x:c r="I14">
        <x:v>666</x:v>
      </x:c>
      <x:c r="J14">
        <x:v>995</x:v>
      </x:c>
      <x:c r="K14">
        <x:v>528</x:v>
      </x:c>
      <x:c r="L14">
        <x:v>3167</x:v>
      </x:c>
      <x:c r="M14">
        <x:v>445</x:v>
      </x:c>
      <x:c r="N14">
        <x:v>148</x:v>
      </x:c>
      <x:c r="O14">
        <x:v>681</x:v>
      </x:c>
      <x:c r="P14">
        <x:v>282</x:v>
      </x:c>
      <x:c r="Q14">
        <x:f t="shared" si="0"/>
        <x:v>0.25706631347641551</x:v>
      </x:c>
      <x:c r="R14">
        <x:f t="shared" si="1"/>
        <x:v>0.32741479186312811</x:v>
      </x:c>
      <x:c r="S14">
        <x:f t="shared" si="2"/>
        <x:v>0.37003702477348666</x:v>
      </x:c>
      <x:c r="T14">
        <x:f t="shared" si="3"/>
        <x:v>0.69745181663661482</x:v>
      </x:c>
    </x:row>
    <x:row r="15">
      <x:c r="A15" s="6">
        <x:v>1995</x:v>
      </x:c>
      <x:c r="B15" t="n">
        <x:f>('연도별 상수'!N15*(L15-N15)+'연도별 상수'!O15*M15+'연도별 상수'!P15*(F15-G15-H15-I15)+'연도별 상수'!Q15*G15+'연도별 상수'!R15*H15+'연도별 상수'!S15*I15)/(D15+L15+M15-N15+P15)</x:f>
        <x:v>0.3189423283839036</x:v>
      </x:c>
      <x:c r="C15">
        <x:v>37945</x:v>
      </x:c>
      <x:c r="D15">
        <x:v>33393</x:v>
      </x:c>
      <x:c r="E15">
        <x:v>4188</x:v>
      </x:c>
      <x:c r="F15">
        <x:v>8381</x:v>
      </x:c>
      <x:c r="G15">
        <x:v>1425</x:v>
      </x:c>
      <x:c r="H15">
        <x:v>221</x:v>
      </x:c>
      <x:c r="I15">
        <x:v>680</x:v>
      </x:c>
      <x:c r="J15">
        <x:v>1012</x:v>
      </x:c>
      <x:c r="K15">
        <x:v>455</x:v>
      </x:c>
      <x:c r="L15">
        <x:v>3123</x:v>
      </x:c>
      <x:c r="M15">
        <x:v>514</x:v>
      </x:c>
      <x:c r="N15">
        <x:v>161</x:v>
      </x:c>
      <x:c r="O15">
        <x:v>680</x:v>
      </x:c>
      <x:c r="P15">
        <x:v>307</x:v>
      </x:c>
      <x:c r="Q15">
        <x:f t="shared" si="0"/>
        <x:v>0.25098074446740337</x:v>
      </x:c>
      <x:c r="R15">
        <x:f t="shared" si="1"/>
        <x:v>0.32187910115970753</x:v>
      </x:c>
      <x:c r="S15">
        <x:f t="shared" si="2"/>
        <x:v>0.36798131344892643</x:v>
      </x:c>
      <x:c r="T15">
        <x:f t="shared" si="3"/>
        <x:v>0.68986041460863401</x:v>
      </x:c>
    </x:row>
    <x:row r="16">
      <x:c r="A16" s="6">
        <x:v>1996</x:v>
      </x:c>
      <x:c r="B16" t="n">
        <x:f>('연도별 상수'!N16*(L16-N16)+'연도별 상수'!O16*M16+'연도별 상수'!P16*(F16-G16-H16-I16)+'연도별 상수'!Q16*G16+'연도별 상수'!R16*H16+'연도별 상수'!S16*I16)/(D16+L16+M16-N16+P16)</x:f>
        <x:v>0.32293824835194407</x:v>
      </x:c>
      <x:c r="C16">
        <x:v>38138</x:v>
      </x:c>
      <x:c r="D16">
        <x:v>33234</x:v>
      </x:c>
      <x:c r="E16">
        <x:v>4161</x:v>
      </x:c>
      <x:c r="F16">
        <x:v>8342</x:v>
      </x:c>
      <x:c r="G16">
        <x:v>1506</x:v>
      </x:c>
      <x:c r="H16">
        <x:v>197</x:v>
      </x:c>
      <x:c r="I16">
        <x:v>686</x:v>
      </x:c>
      <x:c r="J16">
        <x:v>909</x:v>
      </x:c>
      <x:c r="K16">
        <x:v>530</x:v>
      </x:c>
      <x:c r="L16">
        <x:v>3307</x:v>
      </x:c>
      <x:c r="M16">
        <x:v>573</x:v>
      </x:c>
      <x:c r="N16">
        <x:v>220</x:v>
      </x:c>
      <x:c r="O16">
        <x:v>692</x:v>
      </x:c>
      <x:c r="P16">
        <x:v>271</x:v>
      </x:c>
      <x:c r="Q16">
        <x:f t="shared" si="0"/>
        <x:v>0.25100800385147742</x:v>
      </x:c>
      <x:c r="R16">
        <x:f t="shared" si="1"/>
        <x:v>0.3269225625250769</x:v>
      </x:c>
      <x:c r="S16">
        <x:f t="shared" si="2"/>
        <x:v>0.3701029066618523</x:v>
      </x:c>
      <x:c r="T16">
        <x:f t="shared" si="3"/>
        <x:v>0.6970254691869292</x:v>
      </x:c>
    </x:row>
    <x:row r="17">
      <x:c r="A17" s="6">
        <x:v>1997</x:v>
      </x:c>
      <x:c r="B17" t="n">
        <x:f>('연도별 상수'!N17*(L17-N17)+'연도별 상수'!O17*M17+'연도별 상수'!P17*(F17-G17-H17-I17)+'연도별 상수'!Q17*G17+'연도별 상수'!R17*H17+'연도별 상수'!S17*I17)/(D17+L17+M17-N17+P17)</x:f>
        <x:v>0.33003424934602626</x:v>
      </x:c>
      <x:c r="C17">
        <x:v>38142</x:v>
      </x:c>
      <x:c r="D17">
        <x:v>33091</x:v>
      </x:c>
      <x:c r="E17">
        <x:v>4453</x:v>
      </x:c>
      <x:c r="F17">
        <x:v>8532</x:v>
      </x:c>
      <x:c r="G17">
        <x:v>1577</x:v>
      </x:c>
      <x:c r="H17">
        <x:v>170</x:v>
      </x:c>
      <x:c r="I17">
        <x:v>834</x:v>
      </x:c>
      <x:c r="J17">
        <x:v>966</x:v>
      </x:c>
      <x:c r="K17">
        <x:v>529</x:v>
      </x:c>
      <x:c r="L17">
        <x:v>3380</x:v>
      </x:c>
      <x:c r="M17">
        <x:v>566</x:v>
      </x:c>
      <x:c r="N17">
        <x:v>240</x:v>
      </x:c>
      <x:c r="O17">
        <x:v>715</x:v>
      </x:c>
      <x:c r="P17">
        <x:v>284</x:v>
      </x:c>
      <x:c r="Q17">
        <x:f t="shared" si="0"/>
        <x:v>0.25783445649874587</x:v>
      </x:c>
      <x:c r="R17">
        <x:f t="shared" si="1"/>
        <x:v>0.33434259532166877</x:v>
      </x:c>
      <x:c r="S17">
        <x:f t="shared" si="2"/>
        <x:v>0.39137529841950985</x:v>
      </x:c>
      <x:c r="T17">
        <x:f t="shared" si="3"/>
        <x:v>0.72571789374117857</x:v>
      </x:c>
    </x:row>
    <x:row r="18">
      <x:c r="A18" s="6">
        <x:v>1998</x:v>
      </x:c>
      <x:c r="B18" t="n">
        <x:f>('연도별 상수'!N18*(L18-N18)+'연도별 상수'!O18*M18+'연도별 상수'!P18*(F18-G18-H18-I18)+'연도별 상수'!Q18*G18+'연도별 상수'!R18*H18+'연도별 상수'!S18*I18)/(D18+L18+M18-N18+P18)</x:f>
        <x:v>0.3276814938026506</x:v>
      </x:c>
      <x:c r="C18">
        <x:v>38180</x:v>
      </x:c>
      <x:c r="D18">
        <x:v>33540</x:v>
      </x:c>
      <x:c r="E18">
        <x:v>4446</x:v>
      </x:c>
      <x:c r="F18">
        <x:v>8745</x:v>
      </x:c>
      <x:c r="G18">
        <x:v>1597</x:v>
      </x:c>
      <x:c r="H18">
        <x:v>172</x:v>
      </x:c>
      <x:c r="I18">
        <x:v>891</x:v>
      </x:c>
      <x:c r="J18">
        <x:v>794</x:v>
      </x:c>
      <x:c r="K18">
        <x:v>430</x:v>
      </x:c>
      <x:c r="L18">
        <x:v>3163</x:v>
      </x:c>
      <x:c r="M18">
        <x:v>508</x:v>
      </x:c>
      <x:c r="N18">
        <x:v>202</x:v>
      </x:c>
      <x:c r="O18">
        <x:v>744</x:v>
      </x:c>
      <x:c r="P18">
        <x:v>265</x:v>
      </x:c>
      <x:c r="Q18">
        <x:f t="shared" si="0"/>
        <x:v>0.26073345259391772</x:v>
      </x:c>
      <x:c r="R18">
        <x:f t="shared" si="1"/>
        <x:v>0.33130536876934569</x:v>
      </x:c>
      <x:c r="S18">
        <x:f t="shared" si="2"/>
        <x:v>0.39830053667262971</x:v>
      </x:c>
      <x:c r="T18">
        <x:f t="shared" si="3"/>
        <x:v>0.72960590544197546</x:v>
      </x:c>
    </x:row>
    <x:row r="19">
      <x:c r="A19" s="6">
        <x:v>1999</x:v>
      </x:c>
      <x:c r="B19" t="n">
        <x:f>('연도별 상수'!N19*(L19-N19)+'연도별 상수'!O19*M19+'연도별 상수'!P19*(F19-G19-H19-I19)+'연도별 상수'!Q19*G19+'연도별 상수'!R19*H19+'연도별 상수'!S19*I19)/(D19+L19+M19-N19+P19)</x:f>
        <x:v>0.34980605882064125</x:v>
      </x:c>
      <x:c r="C19">
        <x:v>41598</x:v>
      </x:c>
      <x:c r="D19">
        <x:v>36160</x:v>
      </x:c>
      <x:c r="E19">
        <x:v>5684</x:v>
      </x:c>
      <x:c r="F19">
        <x:v>9995</x:v>
      </x:c>
      <x:c r="G19">
        <x:v>1722</x:v>
      </x:c>
      <x:c r="H19">
        <x:v>206</x:v>
      </x:c>
      <x:c r="I19">
        <x:v>1274</x:v>
      </x:c>
      <x:c r="J19">
        <x:v>934</x:v>
      </x:c>
      <x:c r="K19">
        <x:v>426</x:v>
      </x:c>
      <x:c r="L19">
        <x:v>3796</x:v>
      </x:c>
      <x:c r="M19">
        <x:v>592</x:v>
      </x:c>
      <x:c r="N19">
        <x:v>134</x:v>
      </x:c>
      <x:c r="O19">
        <x:v>769</x:v>
      </x:c>
      <x:c r="P19">
        <x:v>320</x:v>
      </x:c>
      <x:c r="Q19">
        <x:f t="shared" si="0"/>
        <x:v>0.27641039823008851</x:v>
      </x:c>
      <x:c r="R19">
        <x:f t="shared" si="1"/>
        <x:v>0.35193794655965549</x:v>
      </x:c>
      <x:c r="S19">
        <x:f t="shared" si="2"/>
        <x:v>0.44112278761061946</x:v>
      </x:c>
      <x:c r="T19">
        <x:f t="shared" si="3"/>
        <x:v>0.79306073417027489</x:v>
      </x:c>
    </x:row>
    <x:row r="20">
      <x:c r="A20" s="6">
        <x:v>2000</x:v>
      </x:c>
      <x:c r="B20" t="n">
        <x:f>('연도별 상수'!N20*(L20-N20)+'연도별 상수'!O20*M20+'연도별 상수'!P20*(F20-G20-H20-I20)+'연도별 상수'!Q20*G20+'연도별 상수'!R20*H20+'연도별 상수'!S20*I20)/(D20+L20+M20-N20+P20)</x:f>
        <x:v>0.3447854858007961</x:v>
      </x:c>
      <x:c r="C20">
        <x:v>41605</x:v>
      </x:c>
      <x:c r="D20">
        <x:v>36308</x:v>
      </x:c>
      <x:c r="E20">
        <x:v>5375</x:v>
      </x:c>
      <x:c r="F20">
        <x:v>9792</x:v>
      </x:c>
      <x:c r="G20">
        <x:v>1804</x:v>
      </x:c>
      <x:c r="H20">
        <x:v>159</x:v>
      </x:c>
      <x:c r="I20">
        <x:v>1132</x:v>
      </x:c>
      <x:c r="J20">
        <x:v>747</x:v>
      </x:c>
      <x:c r="K20">
        <x:v>359</x:v>
      </x:c>
      <x:c r="L20">
        <x:v>3925</x:v>
      </x:c>
      <x:c r="M20">
        <x:v>536</x:v>
      </x:c>
      <x:c r="N20">
        <x:v>133</x:v>
      </x:c>
      <x:c r="O20">
        <x:v>836</x:v>
      </x:c>
      <x:c r="P20">
        <x:v>317</x:v>
      </x:c>
      <x:c r="Q20">
        <x:f t="shared" si="0"/>
        <x:v>0.26969262972347691</x:v>
      </x:c>
      <x:c r="R20">
        <x:f t="shared" si="1"/>
        <x:v>0.34690648882831132</x:v>
      </x:c>
      <x:c r="S20">
        <x:f t="shared" si="2"/>
        <x:v>0.42167015533766661</x:v>
      </x:c>
      <x:c r="T20">
        <x:f t="shared" si="3"/>
        <x:v>0.76857664416597793</x:v>
      </x:c>
    </x:row>
    <x:row r="21">
      <x:c r="A21" s="6">
        <x:v>2001</x:v>
      </x:c>
      <x:c r="B21" t="n">
        <x:f>('연도별 상수'!N21*(L21-N21)+'연도별 상수'!O21*M21+'연도별 상수'!P21*(F21-G21-H21-I21)+'연도별 상수'!Q21*G21+'연도별 상수'!R21*H21+'연도별 상수'!S21*I21)/(D21+L21+M21-N21+P21)</x:f>
        <x:v>0.35378445874555753</x:v>
      </x:c>
      <x:c r="C21">
        <x:v>42503</x:v>
      </x:c>
      <x:c r="D21">
        <x:v>36606</x:v>
      </x:c>
      <x:c r="E21">
        <x:v>5571</x:v>
      </x:c>
      <x:c r="F21">
        <x:v>10017</x:v>
      </x:c>
      <x:c r="G21">
        <x:v>1765</x:v>
      </x:c>
      <x:c r="H21">
        <x:v>161</x:v>
      </x:c>
      <x:c r="I21">
        <x:v>1080</x:v>
      </x:c>
      <x:c r="J21">
        <x:v>874</x:v>
      </x:c>
      <x:c r="K21">
        <x:v>445</x:v>
      </x:c>
      <x:c r="L21">
        <x:v>4397</x:v>
      </x:c>
      <x:c r="M21">
        <x:v>523</x:v>
      </x:c>
      <x:c r="N21">
        <x:v>204</x:v>
      </x:c>
      <x:c r="O21">
        <x:v>868</x:v>
      </x:c>
      <x:c r="P21">
        <x:v>322</x:v>
      </x:c>
      <x:c r="Q21" t="n">
        <x:f t="shared" ref="Q21:Q46" si="4">F21/D21</x:f>
        <x:v>0.2736436649729553</x:v>
      </x:c>
      <x:c r="R21" t="n">
        <x:f t="shared" ref="R21:R46" si="5">(F21+L21+M21)/(D21+L21+M21+P21)</x:f>
        <x:v>0.35693462053144714</x:v>
      </x:c>
      <x:c r="S21" t="n">
        <x:f t="shared" ref="S21:S46" si="6">(1*(F21-G21-H21-I21)+2*G21+3*H21+4*I21)/D21</x:f>
        <x:v>0.4191662568977763</x:v>
      </x:c>
      <x:c r="T21" t="n">
        <x:f t="shared" ref="T21:T46" si="7">R21+S21</x:f>
        <x:v>0.7761008774292235</x:v>
      </x:c>
    </x:row>
    <x:row r="22">
      <x:c r="A22" s="6">
        <x:v>2002</x:v>
      </x:c>
      <x:c r="B22" t="n">
        <x:f>('연도별 상수'!N22*(L22-N22)+'연도별 상수'!O22*M22+'연도별 상수'!P22*(F22-G22-H22-I22)+'연도별 상수'!Q22*G22+'연도별 상수'!R22*H22+'연도별 상수'!S22*I22)/(D22+L22+M22-N22+P22)</x:f>
        <x:v>0.3323564474468507</x:v>
      </x:c>
      <x:c r="C22">
        <x:v>40986</x:v>
      </x:c>
      <x:c r="D22">
        <x:v>36135</x:v>
      </x:c>
      <x:c r="E22">
        <x:v>4932</x:v>
      </x:c>
      <x:c r="F22">
        <x:v>9517</x:v>
      </x:c>
      <x:c r="G22">
        <x:v>1679</x:v>
      </x:c>
      <x:c r="H22">
        <x:v>154</x:v>
      </x:c>
      <x:c r="I22">
        <x:v>1127</x:v>
      </x:c>
      <x:c r="J22">
        <x:v>777</x:v>
      </x:c>
      <x:c r="K22">
        <x:v>406</x:v>
      </x:c>
      <x:c r="L22">
        <x:v>3388</x:v>
      </x:c>
      <x:c r="M22">
        <x:v>658</x:v>
      </x:c>
      <x:c r="N22">
        <x:v>181</x:v>
      </x:c>
      <x:c r="O22">
        <x:v>777</x:v>
      </x:c>
      <x:c r="P22">
        <x:v>264</x:v>
      </x:c>
      <x:c r="Q22">
        <x:f t="shared" si="4"/>
        <x:v>0.26337346063373462</x:v>
      </x:c>
      <x:c r="R22">
        <x:f t="shared" si="5"/>
        <x:v>0.33534429472122634</x:v>
      </x:c>
      <x:c r="S22">
        <x:f t="shared" si="6"/>
        <x:v>0.41192749411927493</x:v>
      </x:c>
      <x:c r="T22">
        <x:f t="shared" si="7"/>
        <x:v>0.74727178884050127</x:v>
      </x:c>
    </x:row>
    <x:row r="23">
      <x:c r="A23" s="6">
        <x:v>2003</x:v>
      </x:c>
      <x:c r="B23" t="n">
        <x:f>('연도별 상수'!N23*(L23-N23)+'연도별 상수'!O23*M23+'연도별 상수'!P23*(F23-G23-H23-I23)+'연도별 상수'!Q23*G23+'연도별 상수'!R23*H23+'연도별 상수'!S23*I23)/(D23+L23+M23-N23+P23)</x:f>
        <x:v>0.34299480912997055</x:v>
      </x:c>
      <x:c r="C23">
        <x:v>41152</x:v>
      </x:c>
      <x:c r="D23">
        <x:v>35774</x:v>
      </x:c>
      <x:c r="E23">
        <x:v>4933</x:v>
      </x:c>
      <x:c r="F23">
        <x:v>9607</x:v>
      </x:c>
      <x:c r="G23">
        <x:v>1715</x:v>
      </x:c>
      <x:c r="H23">
        <x:v>149</x:v>
      </x:c>
      <x:c r="I23">
        <x:v>1063</x:v>
      </x:c>
      <x:c r="J23">
        <x:v>714</x:v>
      </x:c>
      <x:c r="K23">
        <x:v>425</x:v>
      </x:c>
      <x:c r="L23">
        <x:v>3729</x:v>
      </x:c>
      <x:c r="M23">
        <x:v>605</x:v>
      </x:c>
      <x:c r="N23">
        <x:v>131</x:v>
      </x:c>
      <x:c r="O23">
        <x:v>765</x:v>
      </x:c>
      <x:c r="P23">
        <x:v>286</x:v>
      </x:c>
      <x:c r="Q23">
        <x:f t="shared" si="4"/>
        <x:v>0.26854698943366689</x:v>
      </x:c>
      <x:c r="R23">
        <x:f t="shared" si="5"/>
        <x:v>0.34512551369015199</x:v>
      </x:c>
      <x:c r="S23">
        <x:f t="shared" si="6"/>
        <x:v>0.41395985911555877</x:v>
      </x:c>
      <x:c r="T23">
        <x:f t="shared" si="7"/>
        <x:v>0.75908537280571076</x:v>
      </x:c>
    </x:row>
    <x:row r="24">
      <x:c r="A24" s="6">
        <x:v>2004</x:v>
      </x:c>
      <x:c r="B24" t="n">
        <x:f>('연도별 상수'!N24*(L24-N24)+'연도별 상수'!O24*M24+'연도별 상수'!P24*(F24-G24-H24-I24)+'연도별 상수'!Q24*G24+'연도별 상수'!R24*H24+'연도별 상수'!S24*I24)/(D24+L24+M24-N24+P24)</x:f>
        <x:v>0.34423276245002715</x:v>
      </x:c>
      <x:c r="C24">
        <x:v>41351</x:v>
      </x:c>
      <x:c r="D24">
        <x:v>35812</x:v>
      </x:c>
      <x:c r="E24">
        <x:v>4990</x:v>
      </x:c>
      <x:c r="F24">
        <x:v>9541</x:v>
      </x:c>
      <x:c r="G24">
        <x:v>1653</x:v>
      </x:c>
      <x:c r="H24">
        <x:v>121</x:v>
      </x:c>
      <x:c r="I24">
        <x:v>966</x:v>
      </x:c>
      <x:c r="J24">
        <x:v>678</x:v>
      </x:c>
      <x:c r="K24">
        <x:v>389</x:v>
      </x:c>
      <x:c r="L24">
        <x:v>3883</x:v>
      </x:c>
      <x:c r="M24">
        <x:v>681</x:v>
      </x:c>
      <x:c r="N24">
        <x:v>156</x:v>
      </x:c>
      <x:c r="O24">
        <x:v>828</x:v>
      </x:c>
      <x:c r="P24">
        <x:v>302</x:v>
      </x:c>
      <x:c r="Q24">
        <x:f t="shared" si="4"/>
        <x:v>0.26641907740422205</x:v>
      </x:c>
      <x:c r="R24">
        <x:f t="shared" si="5"/>
        <x:v>0.34674762771031026</x:v>
      </x:c>
      <x:c r="S24">
        <x:f t="shared" si="6"/>
        <x:v>0.40025689712945384</x:v>
      </x:c>
      <x:c r="T24">
        <x:f t="shared" si="7"/>
        <x:v>0.74700452483976409</x:v>
      </x:c>
    </x:row>
    <x:row r="25">
      <x:c r="A25" s="6">
        <x:v>2005</x:v>
      </x:c>
      <x:c r="B25" t="n">
        <x:f>('연도별 상수'!N25*(L25-N25)+'연도별 상수'!O25*M25+'연도별 상수'!P25*(F25-G25-H25-I25)+'연도별 상수'!Q25*G25+'연도별 상수'!R25*H25+'연도별 상수'!S25*I25)/(D25+L25+M25-N25+P25)</x:f>
        <x:v>0.33949500511287656</x:v>
      </x:c>
      <x:c r="C25">
        <x:v>38976</x:v>
      </x:c>
      <x:c r="D25">
        <x:v>33847</x:v>
      </x:c>
      <x:c r="E25">
        <x:v>4626</x:v>
      </x:c>
      <x:c r="F25">
        <x:v>8912</x:v>
      </x:c>
      <x:c r="G25">
        <x:v>1488</x:v>
      </x:c>
      <x:c r="H25">
        <x:v>117</x:v>
      </x:c>
      <x:c r="I25">
        <x:v>876</x:v>
      </x:c>
      <x:c r="J25">
        <x:v>782</x:v>
      </x:c>
      <x:c r="K25">
        <x:v>344</x:v>
      </x:c>
      <x:c r="L25">
        <x:v>3458</x:v>
      </x:c>
      <x:c r="M25">
        <x:v>711</x:v>
      </x:c>
      <x:c r="N25">
        <x:v>133</x:v>
      </x:c>
      <x:c r="O25">
        <x:v>755</x:v>
      </x:c>
      <x:c r="P25">
        <x:v>256</x:v>
      </x:c>
      <x:c r="Q25">
        <x:f t="shared" si="4"/>
        <x:v>0.26330250834638225</x:v>
      </x:c>
      <x:c r="R25">
        <x:f t="shared" si="5"/>
        <x:v>0.34179034280936454</x:v>
      </x:c>
      <x:c r="S25">
        <x:f t="shared" si="6"/>
        <x:v>0.39182202263125238</x:v>
      </x:c>
      <x:c r="T25">
        <x:f t="shared" si="7"/>
        <x:v>0.73361236544061692</x:v>
      </x:c>
    </x:row>
    <x:row r="26">
      <x:c r="A26" s="6">
        <x:v>2006</x:v>
      </x:c>
      <x:c r="B26" t="n">
        <x:f>('연도별 상수'!N26*(L26-N26)+'연도별 상수'!O26*M26+'연도별 상수'!P26*(F26-G26-H26-I26)+'연도별 상수'!Q26*G26+'연도별 상수'!R26*H26+'연도별 상수'!S26*I26)/(D26+L26+M26-N26+P26)</x:f>
        <x:v>0.3273931301819749</x:v>
      </x:c>
      <x:c r="C26">
        <x:v>38091</x:v>
      </x:c>
      <x:c r="D26">
        <x:v>33212</x:v>
      </x:c>
      <x:c r="E26">
        <x:v>3981</x:v>
      </x:c>
      <x:c r="F26">
        <x:v>8469</x:v>
      </x:c>
      <x:c r="G26">
        <x:v>1423</x:v>
      </x:c>
      <x:c r="H26">
        <x:v>109</x:v>
      </x:c>
      <x:c r="I26">
        <x:v>660</x:v>
      </x:c>
      <x:c r="J26">
        <x:v>745</x:v>
      </x:c>
      <x:c r="K26">
        <x:v>348</x:v>
      </x:c>
      <x:c r="L26">
        <x:v>3293</x:v>
      </x:c>
      <x:c r="M26">
        <x:v>533</x:v>
      </x:c>
      <x:c r="N26">
        <x:v>133</x:v>
      </x:c>
      <x:c r="O26">
        <x:v>781</x:v>
      </x:c>
      <x:c r="P26">
        <x:v>243</x:v>
      </x:c>
      <x:c r="Q26">
        <x:f t="shared" si="4"/>
        <x:v>0.2549981934240636</x:v>
      </x:c>
      <x:c r="R26">
        <x:f t="shared" si="5"/>
        <x:v>0.32979265577640082</x:v>
      </x:c>
      <x:c r="S26">
        <x:f t="shared" si="6"/>
        <x:v>0.36402505118631817</x:v>
      </x:c>
      <x:c r="T26">
        <x:f t="shared" si="7"/>
        <x:v>0.69381770696271894</x:v>
      </x:c>
    </x:row>
    <x:row r="27">
      <x:c r="A27" s="6">
        <x:v>2007</x:v>
      </x:c>
      <x:c r="B27" t="n">
        <x:f>('연도별 상수'!N27*(L27-N27)+'연도별 상수'!O27*M27+'연도별 상수'!P27*(F27-G27-H27-I27)+'연도별 상수'!Q27*G27+'연도별 상수'!R27*H27+'연도별 상수'!S27*I27)/(D27+L27+M27-N27+P27)</x:f>
        <x:v>0.3368183251024483</x:v>
      </x:c>
      <x:c r="C27">
        <x:v>38995</x:v>
      </x:c>
      <x:c r="D27">
        <x:v>33808</x:v>
      </x:c>
      <x:c r="E27">
        <x:v>4306</x:v>
      </x:c>
      <x:c r="F27">
        <x:v>8879</x:v>
      </x:c>
      <x:c r="G27">
        <x:v>1532</x:v>
      </x:c>
      <x:c r="H27">
        <x:v>134</x:v>
      </x:c>
      <x:c r="I27">
        <x:v>703</x:v>
      </x:c>
      <x:c r="J27">
        <x:v>764</x:v>
      </x:c>
      <x:c r="K27">
        <x:v>366</x:v>
      </x:c>
      <x:c r="L27">
        <x:v>3615</x:v>
      </x:c>
      <x:c r="M27">
        <x:v>519</x:v>
      </x:c>
      <x:c r="N27">
        <x:v>191</x:v>
      </x:c>
      <x:c r="O27">
        <x:v>831</x:v>
      </x:c>
      <x:c r="P27">
        <x:v>317</x:v>
      </x:c>
      <x:c r="Q27">
        <x:f t="shared" si="4"/>
        <x:v>0.26263014671083768</x:v>
      </x:c>
      <x:c r="R27">
        <x:f t="shared" si="5"/>
        <x:v>0.34012911994563372</x:v>
      </x:c>
      <x:c r="S27">
        <x:f t="shared" si="6"/>
        <x:v>0.37825366777094177</x:v>
      </x:c>
      <x:c r="T27">
        <x:f t="shared" si="7"/>
        <x:v>0.71838278771657549</x:v>
      </x:c>
    </x:row>
    <x:row r="28">
      <x:c r="A28" s="6">
        <x:v>2008</x:v>
      </x:c>
      <x:c r="B28" t="n">
        <x:f>('연도별 상수'!N28*(L28-N28)+'연도별 상수'!O28*M28+'연도별 상수'!P28*(F28-G28-H28-I28)+'연도별 상수'!Q28*G28+'연도별 상수'!R28*H28+'연도별 상수'!S28*I28)/(D28+L28+M28-N28+P28)</x:f>
        <x:v>0.34000521240552517</x:v>
      </x:c>
      <x:c r="C28">
        <x:v>39018</x:v>
      </x:c>
      <x:c r="D28">
        <x:v>34098</x:v>
      </x:c>
      <x:c r="E28">
        <x:v>4522</x:v>
      </x:c>
      <x:c r="F28">
        <x:v>9098</x:v>
      </x:c>
      <x:c r="G28">
        <x:v>1512</x:v>
      </x:c>
      <x:c r="H28">
        <x:v>188</x:v>
      </x:c>
      <x:c r="I28">
        <x:v>646</x:v>
      </x:c>
      <x:c r="J28">
        <x:v>987</x:v>
      </x:c>
      <x:c r="K28">
        <x:v>443</x:v>
      </x:c>
      <x:c r="L28">
        <x:v>3589</x:v>
      </x:c>
      <x:c r="M28">
        <x:v>482</x:v>
      </x:c>
      <x:c r="N28">
        <x:v>123</x:v>
      </x:c>
      <x:c r="O28">
        <x:v>827</x:v>
      </x:c>
      <x:c r="P28">
        <x:v>324</x:v>
      </x:c>
      <x:c r="Q28">
        <x:f t="shared" si="4"/>
        <x:v>0.26681916827966451</x:v>
      </x:c>
      <x:c r="R28">
        <x:f t="shared" si="5"/>
        <x:v>0.34211415062478895</x:v>
      </x:c>
      <x:c r="S28">
        <x:f t="shared" si="6"/>
        <x:v>0.37902516276614462</x:v>
      </x:c>
      <x:c r="T28">
        <x:f t="shared" si="7"/>
        <x:v>0.72113931339093362</x:v>
      </x:c>
    </x:row>
    <x:row r="29">
      <x:c r="A29" s="6">
        <x:v>2009</x:v>
      </x:c>
      <x:c r="B29" t="n">
        <x:f>('연도별 상수'!N29*(L29-N29)+'연도별 상수'!O29*M29+'연도별 상수'!P29*(F29-G29-H29-I29)+'연도별 상수'!Q29*G29+'연도별 상수'!R29*H29+'연도별 상수'!S29*I29)/(D29+L29+M29-N29+P29)</x:f>
        <x:v>0.35559228918005686</x:v>
      </x:c>
      <x:c r="C29">
        <x:v>41864</x:v>
      </x:c>
      <x:c r="D29">
        <x:v>36110</x:v>
      </x:c>
      <x:c r="E29">
        <x:v>5492</x:v>
      </x:c>
      <x:c r="F29">
        <x:v>9938</x:v>
      </x:c>
      <x:c r="G29">
        <x:v>1753</x:v>
      </x:c>
      <x:c r="H29">
        <x:v>158</x:v>
      </x:c>
      <x:c r="I29">
        <x:v>1155</x:v>
      </x:c>
      <x:c r="J29">
        <x:v>1056</x:v>
      </x:c>
      <x:c r="K29">
        <x:v>399</x:v>
      </x:c>
      <x:c r="L29">
        <x:v>4290</x:v>
      </x:c>
      <x:c r="M29">
        <x:v>564</x:v>
      </x:c>
      <x:c r="N29">
        <x:v>164</x:v>
      </x:c>
      <x:c r="O29">
        <x:v>938</x:v>
      </x:c>
      <x:c r="P29">
        <x:v>337</x:v>
      </x:c>
      <x:c r="Q29">
        <x:f t="shared" si="4"/>
        <x:v>0.27521462198836888</x:v>
      </x:c>
      <x:c r="R29">
        <x:f t="shared" si="5"/>
        <x:v>0.35815113435510038</x:v>
      </x:c>
      <x:c r="S29">
        <x:f t="shared" si="6"/>
        <x:v>0.42846856826363888</x:v>
      </x:c>
      <x:c r="T29">
        <x:f t="shared" si="7"/>
        <x:v>0.78661970261873926</x:v>
      </x:c>
    </x:row>
    <x:row r="30">
      <x:c r="A30" s="6">
        <x:v>2010</x:v>
      </x:c>
      <x:c r="B30" t="n">
        <x:f>('연도별 상수'!N30*(L30-N30)+'연도별 상수'!O30*M30+'연도별 상수'!P30*(F30-G30-H30-I30)+'연도별 상수'!Q30*G30+'연도별 상수'!R30*H30+'연도별 상수'!S30*I30)/(D30+L30+M30-N30+P30)</x:f>
        <x:v>0.3484360795105531</x:v>
      </x:c>
      <x:c r="C30">
        <x:v>41597</x:v>
      </x:c>
      <x:c r="D30">
        <x:v>35879</x:v>
      </x:c>
      <x:c r="E30">
        <x:v>5301</x:v>
      </x:c>
      <x:c r="F30">
        <x:v>9681</x:v>
      </x:c>
      <x:c r="G30">
        <x:v>1650</x:v>
      </x:c>
      <x:c r="H30">
        <x:v>138</x:v>
      </x:c>
      <x:c r="I30">
        <x:v>990</x:v>
      </x:c>
      <x:c r="J30">
        <x:v>1113</x:v>
      </x:c>
      <x:c r="K30">
        <x:v>470</x:v>
      </x:c>
      <x:c r="L30">
        <x:v>4045</x:v>
      </x:c>
      <x:c r="M30">
        <x:v>616</x:v>
      </x:c>
      <x:c r="N30">
        <x:v>161</x:v>
      </x:c>
      <x:c r="O30">
        <x:v>831</x:v>
      </x:c>
      <x:c r="P30">
        <x:v>320</x:v>
      </x:c>
      <x:c r="Q30">
        <x:f t="shared" si="4"/>
        <x:v>0.26982357367819615</x:v>
      </x:c>
      <x:c r="R30">
        <x:f t="shared" si="5"/>
        <x:v>0.35100342633382281</x:v>
      </x:c>
      <x:c r="S30">
        <x:f t="shared" si="6"/>
        <x:v>0.40628222637197248</x:v>
      </x:c>
      <x:c r="T30">
        <x:f t="shared" si="7"/>
        <x:v>0.75728565270579529</x:v>
      </x:c>
    </x:row>
    <x:row r="31">
      <x:c r="A31" s="6">
        <x:v>2011</x:v>
      </x:c>
      <x:c r="B31" t="n">
        <x:f>('연도별 상수'!N31*(L31-N31)+'연도별 상수'!O31*M31+'연도별 상수'!P31*(F31-G31-H31-I31)+'연도별 상수'!Q31*G31+'연도별 상수'!R31*H31+'연도별 상수'!S31*I31)/(D31+L31+M31-N31+P31)</x:f>
        <x:v>0.34191716683684903</x:v>
      </x:c>
      <x:c r="C31">
        <x:v>41068</x:v>
      </x:c>
      <x:c r="D31">
        <x:v>35543</x:v>
      </x:c>
      <x:c r="E31">
        <x:v>4822</x:v>
      </x:c>
      <x:c r="F31">
        <x:v>9409</x:v>
      </x:c>
      <x:c r="G31">
        <x:v>1562</x:v>
      </x:c>
      <x:c r="H31">
        <x:v>162</x:v>
      </x:c>
      <x:c r="I31">
        <x:v>770</x:v>
      </x:c>
      <x:c r="J31">
        <x:v>933</x:v>
      </x:c>
      <x:c r="K31">
        <x:v>448</x:v>
      </x:c>
      <x:c r="L31">
        <x:v>3936</x:v>
      </x:c>
      <x:c r="M31">
        <x:v>514</x:v>
      </x:c>
      <x:c r="N31">
        <x:v>130</x:v>
      </x:c>
      <x:c r="O31">
        <x:v>830</x:v>
      </x:c>
      <x:c r="P31">
        <x:v>290</x:v>
      </x:c>
      <x:c r="Q31">
        <x:f t="shared" si="4"/>
        <x:v>0.26472160481670087</x:v>
      </x:c>
      <x:c r="R31">
        <x:f t="shared" si="5"/>
        <x:v>0.34404091055780356</x:v>
      </x:c>
      <x:c r="S31">
        <x:f t="shared" si="6"/>
        <x:v>0.38277579270179785</x:v>
      </x:c>
      <x:c r="T31">
        <x:f t="shared" si="7"/>
        <x:v>0.72681670325960135</x:v>
      </x:c>
    </x:row>
    <x:row r="32">
      <x:c r="A32" s="6">
        <x:v>2012</x:v>
      </x:c>
      <x:c r="B32" t="n">
        <x:f>('연도별 상수'!N32*(L32-N32)+'연도별 상수'!O32*M32+'연도별 상수'!P32*(F32-G32-H32-I32)+'연도별 상수'!Q32*G32+'연도별 상수'!R32*H32+'연도별 상수'!S32*I32)/(D32+L32+M32-N32+P32)</x:f>
        <x:v>0.3318251902029674</x:v>
      </x:c>
      <x:c r="C32">
        <x:v>40527</x:v>
      </x:c>
      <x:c r="D32">
        <x:v>35199</x:v>
      </x:c>
      <x:c r="E32">
        <x:v>4380</x:v>
      </x:c>
      <x:c r="F32">
        <x:v>9072</x:v>
      </x:c>
      <x:c r="G32">
        <x:v>1577</x:v>
      </x:c>
      <x:c r="H32">
        <x:v>160</x:v>
      </x:c>
      <x:c r="I32">
        <x:v>615</x:v>
      </x:c>
      <x:c r="J32">
        <x:v>1022</x:v>
      </x:c>
      <x:c r="K32">
        <x:v>460</x:v>
      </x:c>
      <x:c r="L32">
        <x:v>3698</x:v>
      </x:c>
      <x:c r="M32">
        <x:v>498</x:v>
      </x:c>
      <x:c r="N32">
        <x:v>140</x:v>
      </x:c>
      <x:c r="O32">
        <x:v>784</x:v>
      </x:c>
      <x:c r="P32">
        <x:v>308</x:v>
      </x:c>
      <x:c r="Q32">
        <x:f t="shared" si="4"/>
        <x:v>0.25773459473280491</x:v>
      </x:c>
      <x:c r="R32">
        <x:f t="shared" si="5"/>
        <x:v>0.33418129612371861</x:v>
      </x:c>
      <x:c r="S32">
        <x:f t="shared" si="6"/>
        <x:v>0.36404443308048523</x:v>
      </x:c>
      <x:c r="T32">
        <x:f t="shared" si="7"/>
        <x:v>0.69822572920420378</x:v>
      </x:c>
    </x:row>
    <x:row r="33">
      <x:c r="A33" s="6">
        <x:v>2013</x:v>
      </x:c>
      <x:c r="B33" t="n">
        <x:f>('연도별 상수'!N33*(L33-N33)+'연도별 상수'!O33*M33+'연도별 상수'!P33*(F33-G33-H33-I33)+'연도별 상수'!Q33*G33+'연도별 상수'!R33*H33+'연도별 상수'!S33*I33)/(D33+L33+M33-N33+P33)</x:f>
        <x:v>0.3479049930809193</x:v>
      </x:c>
      <x:c r="C33">
        <x:v>44893</x:v>
      </x:c>
      <x:c r="D33">
        <x:v>38794</x:v>
      </x:c>
      <x:c r="E33">
        <x:v>5353</x:v>
      </x:c>
      <x:c r="F33">
        <x:v>10411</x:v>
      </x:c>
      <x:c r="G33">
        <x:v>1845</x:v>
      </x:c>
      <x:c r="H33">
        <x:v>192</x:v>
      </x:c>
      <x:c r="I33">
        <x:v>798</x:v>
      </x:c>
      <x:c r="J33">
        <x:v>1167</x:v>
      </x:c>
      <x:c r="K33">
        <x:v>502</x:v>
      </x:c>
      <x:c r="L33">
        <x:v>4351</x:v>
      </x:c>
      <x:c r="M33">
        <x:v>703</x:v>
      </x:c>
      <x:c r="N33">
        <x:v>129</x:v>
      </x:c>
      <x:c r="O33">
        <x:v>912</x:v>
      </x:c>
      <x:c r="P33">
        <x:v>362</x:v>
      </x:c>
      <x:c r="Q33">
        <x:f t="shared" si="4"/>
        <x:v>0.26836624220240246</x:v>
      </x:c>
      <x:c r="R33">
        <x:f t="shared" si="5"/>
        <x:v>0.34980773580637864</x:v>
      </x:c>
      <x:c r="S33">
        <x:f t="shared" si="6"/>
        <x:v>0.38753415476620096</x:v>
      </x:c>
      <x:c r="T33">
        <x:f t="shared" si="7"/>
        <x:v>0.73734189057257959</x:v>
      </x:c>
    </x:row>
    <x:row r="34">
      <x:c r="A34" s="6">
        <x:v>2014</x:v>
      </x:c>
      <x:c r="B34" t="n">
        <x:f>('연도별 상수'!N34*(L34-N34)+'연도별 상수'!O34*M34+'연도별 상수'!P34*(F34-G34-H34-I34)+'연도별 상수'!Q34*G34+'연도별 상수'!R34*H34+'연도별 상수'!S34*I34)/(D34+L34+M34-N34+P34)</x:f>
        <x:v>0.36327986529599443</x:v>
      </x:c>
      <x:c r="C34">
        <x:v>45853</x:v>
      </x:c>
      <x:c r="D34">
        <x:v>39870</x:v>
      </x:c>
      <x:c r="E34">
        <x:v>6477</x:v>
      </x:c>
      <x:c r="F34">
        <x:v>11533</x:v>
      </x:c>
      <x:c r="G34">
        <x:v>2155</x:v>
      </x:c>
      <x:c r="H34">
        <x:v>237</x:v>
      </x:c>
      <x:c r="I34">
        <x:v>1162</x:v>
      </x:c>
      <x:c r="J34">
        <x:v>1024</x:v>
      </x:c>
      <x:c r="K34">
        <x:v>436</x:v>
      </x:c>
      <x:c r="L34">
        <x:v>4351</x:v>
      </x:c>
      <x:c r="M34">
        <x:v>617</x:v>
      </x:c>
      <x:c r="N34">
        <x:v>104</x:v>
      </x:c>
      <x:c r="O34">
        <x:v>900</x:v>
      </x:c>
      <x:c r="P34">
        <x:v>402</x:v>
      </x:c>
      <x:c r="Q34">
        <x:f t="shared" si="4"/>
        <x:v>0.28926511161274143</x:v>
      </x:c>
      <x:c r="R34">
        <x:f t="shared" si="5"/>
        <x:v>0.36474358974358972</x:v>
      </x:c>
      <x:c r="S34">
        <x:f t="shared" si="6"/>
        <x:v>0.44263857536995233</x:v>
      </x:c>
      <x:c r="T34">
        <x:f t="shared" si="7"/>
        <x:v>0.80738216511354199</x:v>
      </x:c>
    </x:row>
    <x:row r="35">
      <x:c r="A35" s="6">
        <x:v>2015</x:v>
      </x:c>
      <x:c r="B35" t="n">
        <x:f>('연도별 상수'!N35*(L35-N35)+'연도별 상수'!O35*M35+'연도별 상수'!P35*(F35-G35-H35-I35)+'연도별 상수'!Q35*G35+'연도별 상수'!R35*H35+'연도별 상수'!S35*I35)/(D35+L35+M35-N35+P35)</x:f>
        <x:v>0.3540417280137897</x:v>
      </x:c>
      <x:c r="C35">
        <x:v>56742</x:v>
      </x:c>
      <x:c r="D35">
        <x:v>49342</x:v>
      </x:c>
      <x:c r="E35">
        <x:v>7598</x:v>
      </x:c>
      <x:c r="F35">
        <x:v>13804</x:v>
      </x:c>
      <x:c r="G35">
        <x:v>2482</x:v>
      </x:c>
      <x:c r="H35">
        <x:v>202</x:v>
      </x:c>
      <x:c r="I35">
        <x:v>1511</x:v>
      </x:c>
      <x:c r="J35">
        <x:v>1202</x:v>
      </x:c>
      <x:c r="K35">
        <x:v>526</x:v>
      </x:c>
      <x:c r="L35">
        <x:v>5254</x:v>
      </x:c>
      <x:c r="M35">
        <x:v>871</x:v>
      </x:c>
      <x:c r="N35">
        <x:v>211</x:v>
      </x:c>
      <x:c r="O35">
        <x:v>1147</x:v>
      </x:c>
      <x:c r="P35">
        <x:v>438</x:v>
      </x:c>
      <x:c r="Q35">
        <x:f t="shared" si="4"/>
        <x:v>0.2797616634915488</x:v>
      </x:c>
      <x:c r="R35">
        <x:f t="shared" si="5"/>
        <x:v>0.3564797424201771</x:v>
      </x:c>
      <x:c r="S35">
        <x:f t="shared" si="6"/>
        <x:v>0.43012038425681975</x:v>
      </x:c>
      <x:c r="T35">
        <x:f t="shared" si="7"/>
        <x:v>0.78660012667699686</x:v>
      </x:c>
    </x:row>
    <x:row r="36">
      <x:c r="A36" s="6">
        <x:v>2016</x:v>
      </x:c>
      <x:c r="B36" t="n">
        <x:f>('연도별 상수'!N36*(L36-N36)+'연도별 상수'!O36*M36+'연도별 상수'!P36*(F36-G36-H36-I36)+'연도별 상수'!Q36*G36+'연도별 상수'!R36*H36+'연도별 상수'!S36*I36)/(D36+L36+M36-N36+P36)</x:f>
        <x:v>0.3624252023935234</x:v>
      </x:c>
      <x:c r="C36">
        <x:v>57614</x:v>
      </x:c>
      <x:c r="D36">
        <x:v>50280</x:v>
      </x:c>
      <x:c r="E36">
        <x:v>8074</x:v>
      </x:c>
      <x:c r="F36">
        <x:v>14560</x:v>
      </x:c>
      <x:c r="G36">
        <x:v>2480</x:v>
      </x:c>
      <x:c r="H36">
        <x:v>248</x:v>
      </x:c>
      <x:c r="I36">
        <x:v>1483</x:v>
      </x:c>
      <x:c r="J36">
        <x:v>1058</x:v>
      </x:c>
      <x:c r="K36">
        <x:v>547</x:v>
      </x:c>
      <x:c r="L36">
        <x:v>5373</x:v>
      </x:c>
      <x:c r="M36">
        <x:v>800</x:v>
      </x:c>
      <x:c r="N36">
        <x:v>140</x:v>
      </x:c>
      <x:c r="O36">
        <x:v>1172</x:v>
      </x:c>
      <x:c r="P36">
        <x:v>507</x:v>
      </x:c>
      <x:c r="Q36">
        <x:f t="shared" si="4"/>
        <x:v>0.28957836117740654</x:v>
      </x:c>
      <x:c r="R36">
        <x:f t="shared" si="5"/>
        <x:v>0.36399227528089889</x:v>
      </x:c>
      <x:c r="S36">
        <x:f t="shared" si="6"/>
        <x:v>0.43725139220365949</x:v>
      </x:c>
      <x:c r="T36">
        <x:f t="shared" si="7"/>
        <x:v>0.80124366748455844</x:v>
      </x:c>
    </x:row>
    <x:row r="37">
      <x:c r="A37" s="6">
        <x:v>2017</x:v>
      </x:c>
      <x:c r="B37" t="n">
        <x:f>('연도별 상수'!N37*(L37-N37)+'연도별 상수'!O37*M37+'연도별 상수'!P37*(F37-G37-H37-I37)+'연도별 상수'!Q37*G37+'연도별 상수'!R37*H37+'연도별 상수'!S37*I37)/(D37+L37+M37-N37+P37)</x:f>
        <x:v>0.35093505428484845</x:v>
      </x:c>
      <x:c r="C37">
        <x:v>56882</x:v>
      </x:c>
      <x:c r="D37">
        <x:v>50346</x:v>
      </x:c>
      <x:c r="E37">
        <x:v>7682</x:v>
      </x:c>
      <x:c r="F37">
        <x:v>14397</x:v>
      </x:c>
      <x:c r="G37">
        <x:v>2584</x:v>
      </x:c>
      <x:c r="H37">
        <x:v>219</x:v>
      </x:c>
      <x:c r="I37">
        <x:v>1547</x:v>
      </x:c>
      <x:c r="J37">
        <x:v>778</x:v>
      </x:c>
      <x:c r="K37">
        <x:v>407</x:v>
      </x:c>
      <x:c r="L37">
        <x:v>4520</x:v>
      </x:c>
      <x:c r="M37">
        <x:v>953</x:v>
      </x:c>
      <x:c r="N37">
        <x:v>185</x:v>
      </x:c>
      <x:c r="O37">
        <x:v>1178</x:v>
      </x:c>
      <x:c r="P37">
        <x:v>459</x:v>
      </x:c>
      <x:c r="Q37">
        <x:f t="shared" si="4"/>
        <x:v>0.28596114884995827</x:v>
      </x:c>
      <x:c r="R37">
        <x:f t="shared" si="5"/>
        <x:v>0.35306869469419666</x:v>
      </x:c>
      <x:c r="S37">
        <x:f t="shared" si="6"/>
        <x:v>0.43816787828228659</x:v>
      </x:c>
      <x:c r="T37">
        <x:f t="shared" si="7"/>
        <x:v>0.7912365729764832</x:v>
      </x:c>
    </x:row>
    <x:row r="38">
      <x:c r="A38" s="6">
        <x:v>2018</x:v>
      </x:c>
      <x:c r="B38" t="n">
        <x:f>('연도별 상수'!N38*(L38-N38)+'연도별 상수'!O38*M38+'연도별 상수'!P38*(F38-G38-H38-I38)+'연도별 상수'!Q38*G38+'연도별 상수'!R38*H38+'연도별 상수'!S38*I38)/(D38+L38+M38-N38+P38)</x:f>
        <x:v>0.3510109085740682</x:v>
      </x:c>
      <x:c r="C38">
        <x:v>56903</x:v>
      </x:c>
      <x:c r="D38">
        <x:v>50547</x:v>
      </x:c>
      <x:c r="E38">
        <x:v>7994</x:v>
      </x:c>
      <x:c r="F38">
        <x:v>14445</x:v>
      </x:c>
      <x:c r="G38">
        <x:v>2639</x:v>
      </x:c>
      <x:c r="H38">
        <x:v>187</x:v>
      </x:c>
      <x:c r="I38">
        <x:v>1756</x:v>
      </x:c>
      <x:c r="J38">
        <x:v>928</x:v>
      </x:c>
      <x:c r="K38">
        <x:v>410</x:v>
      </x:c>
      <x:c r="L38">
        <x:v>4622</x:v>
      </x:c>
      <x:c r="M38">
        <x:v>860</x:v>
      </x:c>
      <x:c r="N38">
        <x:v>170</x:v>
      </x:c>
      <x:c r="O38">
        <x:v>1138</x:v>
      </x:c>
      <x:c r="P38">
        <x:v>427</x:v>
      </x:c>
      <x:c r="Q38">
        <x:f t="shared" si="4"/>
        <x:v>0.28577363641759157</x:v>
      </x:c>
      <x:c r="R38">
        <x:f t="shared" si="5"/>
        <x:v>0.35296514099475695</x:v>
      </x:c>
      <x:c r="S38">
        <x:f t="shared" si="6"/>
        <x:v>0.44960136110946247</x:v>
      </x:c>
      <x:c r="T38">
        <x:f t="shared" si="7"/>
        <x:v>0.80256650210421943</x:v>
      </x:c>
    </x:row>
    <x:row r="39">
      <x:c r="A39" s="6">
        <x:v>2019</x:v>
      </x:c>
      <x:c r="B39" t="n">
        <x:f>('연도별 상수'!N39*(L39-N39)+'연도별 상수'!O39*M39+'연도별 상수'!P39*(F39-G39-H39-I39)+'연도별 상수'!Q39*G39+'연도별 상수'!R39*H39+'연도별 상수'!S39*I39)/(D39+L39+M39-N39+P39)</x:f>
        <x:v>0.33533782678996427</x:v>
      </x:c>
      <x:c r="C39">
        <x:v>55627</x:v>
      </x:c>
      <x:c r="D39">
        <x:v>49225</x:v>
      </x:c>
      <x:c r="E39">
        <x:v>6548</x:v>
      </x:c>
      <x:c r="F39">
        <x:v>13145</x:v>
      </x:c>
      <x:c r="G39">
        <x:v>2288</x:v>
      </x:c>
      <x:c r="H39">
        <x:v>227</x:v>
      </x:c>
      <x:c r="I39">
        <x:v>1014</x:v>
      </x:c>
      <x:c r="J39">
        <x:v>993</x:v>
      </x:c>
      <x:c r="K39">
        <x:v>423</x:v>
      </x:c>
      <x:c r="L39">
        <x:v>4749</x:v>
      </x:c>
      <x:c r="M39">
        <x:v>711</x:v>
      </x:c>
      <x:c r="N39">
        <x:v>147</x:v>
      </x:c>
      <x:c r="O39">
        <x:v>1122</x:v>
      </x:c>
      <x:c r="P39">
        <x:v>505</x:v>
      </x:c>
      <x:c r="Q39">
        <x:f t="shared" si="4"/>
        <x:v>0.26703910614525139</x:v>
      </x:c>
      <x:c r="R39">
        <x:f t="shared" si="5"/>
        <x:v>0.33710817177024821</x:v>
      </x:c>
      <x:c r="S39">
        <x:f t="shared" si="6"/>
        <x:v>0.38454037582529205</x:v>
      </x:c>
      <x:c r="T39">
        <x:f t="shared" si="7"/>
        <x:v>0.72164854759554031</x:v>
      </x:c>
    </x:row>
    <x:row r="40">
      <x:c r="A40" s="6">
        <x:v>2020</x:v>
      </x:c>
      <x:c r="B40" t="n">
        <x:f>('연도별 상수'!N40*(L40-N40)+'연도별 상수'!O40*M40+'연도별 상수'!P40*(F40-G40-H40-I40)+'연도별 상수'!Q40*G40+'연도별 상수'!R40*H40+'연도별 상수'!S40*I40)/(D40+L40+M40-N40+P40)</x:f>
        <x:v>0.34672191166752986</x:v>
      </x:c>
      <x:c r="C40">
        <x:v>56643</x:v>
      </x:c>
      <x:c r="D40">
        <x:v>49658</x:v>
      </x:c>
      <x:c r="E40">
        <x:v>7436</x:v>
      </x:c>
      <x:c r="F40">
        <x:v>13547</x:v>
      </x:c>
      <x:c r="G40">
        <x:v>2325</x:v>
      </x:c>
      <x:c r="H40">
        <x:v>183</x:v>
      </x:c>
      <x:c r="I40">
        <x:v>1363</x:v>
      </x:c>
      <x:c r="J40">
        <x:v>892</x:v>
      </x:c>
      <x:c r="K40">
        <x:v>377</x:v>
      </x:c>
      <x:c r="L40">
        <x:v>5314</x:v>
      </x:c>
      <x:c r="M40">
        <x:v>716</x:v>
      </x:c>
      <x:c r="N40">
        <x:v>163</x:v>
      </x:c>
      <x:c r="O40">
        <x:v>1174</x:v>
      </x:c>
      <x:c r="P40">
        <x:v>468</x:v>
      </x:c>
      <x:c r="Q40">
        <x:f t="shared" si="4"/>
        <x:v>0.2728059929920657</x:v>
      </x:c>
      <x:c r="R40">
        <x:f t="shared" si="5"/>
        <x:v>0.34861813519481444</x:v>
      </x:c>
      <x:c r="S40">
        <x:f t="shared" si="6"/>
        <x:v>0.40933988481211486</x:v>
      </x:c>
      <x:c r="T40">
        <x:f t="shared" si="7"/>
        <x:v>0.75795802000692936</x:v>
      </x:c>
    </x:row>
    <x:row r="41">
      <x:c r="A41" s="6">
        <x:v>2021</x:v>
      </x:c>
      <x:c r="B41" t="n">
        <x:f>('연도별 상수'!N41*(L41-N41)+'연도별 상수'!O41*M41+'연도별 상수'!P41*(F41-G41-H41-I41)+'연도별 상수'!Q41*G41+'연도별 상수'!R41*H41+'연도별 상수'!S41*I41)/(D41+L41+M41-N41+P41)</x:f>
        <x:v>0.3442182028232066</x:v>
      </x:c>
      <x:c r="C41">
        <x:v>56076</x:v>
      </x:c>
      <x:c r="D41">
        <x:v>48402</x:v>
      </x:c>
      <x:c r="E41">
        <x:v>6896</x:v>
      </x:c>
      <x:c r="F41">
        <x:v>12566</x:v>
      </x:c>
      <x:c r="G41">
        <x:v>2181</x:v>
      </x:c>
      <x:c r="H41">
        <x:v>163</x:v>
      </x:c>
      <x:c r="I41">
        <x:v>1158</x:v>
      </x:c>
      <x:c r="J41">
        <x:v>941</x:v>
      </x:c>
      <x:c r="K41">
        <x:v>394</x:v>
      </x:c>
      <x:c r="L41">
        <x:v>5891</x:v>
      </x:c>
      <x:c r="M41">
        <x:v>792</x:v>
      </x:c>
      <x:c r="N41">
        <x:v>180</x:v>
      </x:c>
      <x:c r="O41">
        <x:v>1078</x:v>
      </x:c>
      <x:c r="P41">
        <x:v>493</x:v>
      </x:c>
      <x:c r="Q41">
        <x:f t="shared" si="4"/>
        <x:v>0.25961737118300898</x:v>
      </x:c>
      <x:c r="R41">
        <x:f t="shared" si="5"/>
        <x:v>0.34634207780056858</x:v>
      </x:c>
      <x:c r="S41">
        <x:f t="shared" si="6"/>
        <x:v>0.38318664517995127</x:v>
      </x:c>
      <x:c r="T41">
        <x:f t="shared" si="7"/>
        <x:v>0.72952872298051985</x:v>
      </x:c>
    </x:row>
    <x:row r="42">
      <x:c r="A42" s="6">
        <x:v>2022</x:v>
      </x:c>
      <x:c r="B42" t="n">
        <x:f>('연도별 상수'!N42*(L42-N42)+'연도별 상수'!O42*M42+'연도별 상수'!P42*(F42-G42-H42-I42)+'연도별 상수'!Q42*G42+'연도별 상수'!R42*H42+'연도별 상수'!S42*I42)/(D42+L42+M42-N42+P42)</x:f>
        <x:v>0.3308608839157795</x:v>
      </x:c>
      <x:c r="C42">
        <x:v>55963</x:v>
      </x:c>
      <x:c r="D42">
        <x:v>49276</x:v>
      </x:c>
      <x:c r="E42">
        <x:v>6523</x:v>
      </x:c>
      <x:c r="F42">
        <x:v>12801</x:v>
      </x:c>
      <x:c r="G42">
        <x:v>2220</x:v>
      </x:c>
      <x:c r="H42">
        <x:v>203</x:v>
      </x:c>
      <x:c r="I42">
        <x:v>1085</x:v>
      </x:c>
      <x:c r="J42">
        <x:v>890</x:v>
      </x:c>
      <x:c r="K42">
        <x:v>367</x:v>
      </x:c>
      <x:c r="L42">
        <x:v>4930</x:v>
      </x:c>
      <x:c r="M42">
        <x:v>721</x:v>
      </x:c>
      <x:c r="N42">
        <x:v>208</x:v>
      </x:c>
      <x:c r="O42">
        <x:v>1076</x:v>
      </x:c>
      <x:c r="P42">
        <x:v>422</x:v>
      </x:c>
      <x:c r="Q42">
        <x:f t="shared" si="4"/>
        <x:v>0.25978163811997729</x:v>
      </x:c>
      <x:c r="R42">
        <x:f t="shared" si="5"/>
        <x:v>0.333375490072088</x:v>
      </x:c>
      <x:c r="S42">
        <x:f t="shared" si="6"/>
        <x:v>0.37912979949671238</x:v>
      </x:c>
      <x:c r="T42">
        <x:f t="shared" si="7"/>
        <x:v>0.71250528956880044</x:v>
      </x:c>
    </x:row>
    <x:row r="43">
      <x:c r="A43" s="6">
        <x:v>2023</x:v>
      </x:c>
      <x:c r="B43" t="n">
        <x:f>('연도별 상수'!N43*(L43-N43)+'연도별 상수'!O43*M43+'연도별 상수'!P43*(F43-G43-H43-I43)+'연도별 상수'!Q43*G43+'연도별 상수'!R43*H43+'연도별 상수'!S43*I43)/(D43+L43+M43-N43+P43)</x:f>
        <x:v>0.3363908851251308</x:v>
      </x:c>
      <x:c r="C43">
        <x:v>56231</x:v>
      </x:c>
      <x:c r="D43">
        <x:v>49236</x:v>
      </x:c>
      <x:c r="E43">
        <x:v>6622</x:v>
      </x:c>
      <x:c r="F43">
        <x:v>12969</x:v>
      </x:c>
      <x:c r="G43">
        <x:v>2221</x:v>
      </x:c>
      <x:c r="H43">
        <x:v>222</x:v>
      </x:c>
      <x:c r="I43">
        <x:v>924</x:v>
      </x:c>
      <x:c r="J43">
        <x:v>1040</x:v>
      </x:c>
      <x:c r="K43">
        <x:v>397</x:v>
      </x:c>
      <x:c r="L43">
        <x:v>5140</x:v>
      </x:c>
      <x:c r="M43">
        <x:v>696</x:v>
      </x:c>
      <x:c r="N43">
        <x:v>175</x:v>
      </x:c>
      <x:c r="O43">
        <x:v>1015</x:v>
      </x:c>
      <x:c r="P43">
        <x:v>485</x:v>
      </x:c>
      <x:c r="Q43">
        <x:f t="shared" si="4"/>
        <x:v>0.26340482573726542</x:v>
      </x:c>
      <x:c r="R43">
        <x:f t="shared" si="5"/>
        <x:v>0.33848119948881328</x:v>
      </x:c>
      <x:c r="S43">
        <x:f t="shared" si="6"/>
        <x:v>0.37383215533349584</x:v>
      </x:c>
      <x:c r="T43">
        <x:f t="shared" si="7"/>
        <x:v>0.71231335482230906</x:v>
      </x:c>
    </x:row>
    <x:row r="44">
      <x:c r="A44" s="6">
        <x:v>2024</x:v>
      </x:c>
      <x:c r="B44" t="n">
        <x:f>('연도별 상수'!N44*(L44-N44)+'연도별 상수'!O44*M44+'연도별 상수'!P44*(F44-G44-H44-I44)+'연도별 상수'!Q44*G44+'연도별 상수'!R44*H44+'연도별 상수'!S44*I44)/(D44+L44+M44-N44+P44)</x:f>
        <x:v>0.3501085977644753</x:v>
      </x:c>
      <x:c r="C44">
        <x:v>57265</x:v>
      </x:c>
      <x:c r="D44">
        <x:v>50205</x:v>
      </x:c>
      <x:c r="E44">
        <x:v>7740</x:v>
      </x:c>
      <x:c r="F44">
        <x:v>13929</x:v>
      </x:c>
      <x:c r="G44">
        <x:v>2381</x:v>
      </x:c>
      <x:c r="H44">
        <x:v>229</x:v>
      </x:c>
      <x:c r="I44">
        <x:v>1438</x:v>
      </x:c>
      <x:c r="J44">
        <x:v>1152</x:v>
      </x:c>
      <x:c r="K44">
        <x:v>397</x:v>
      </x:c>
      <x:c r="L44">
        <x:v>5265</x:v>
      </x:c>
      <x:c r="M44">
        <x:v>783</x:v>
      </x:c>
      <x:c r="N44">
        <x:v>150</x:v>
      </x:c>
      <x:c r="O44">
        <x:v>1013</x:v>
      </x:c>
      <x:c r="P44">
        <x:v>528</x:v>
      </x:c>
      <x:c r="Q44">
        <x:f t="shared" si="4"/>
        <x:v>0.27744248580818642</x:v>
      </x:c>
      <x:c r="R44">
        <x:f t="shared" si="5"/>
        <x:v>0.35182543456437892</x:v>
      </x:c>
      <x:c r="S44">
        <x:f t="shared" si="6"/>
        <x:v>0.41991833482720847</x:v>
      </x:c>
      <x:c r="T44">
        <x:f t="shared" si="7"/>
        <x:v>0.7717437693915874</x:v>
      </x:c>
    </x:row>
    <x:row r="45">
      <x:c r="A45" s="6">
        <x:v>2025</x:v>
      </x:c>
      <x:c r="B45" t="n">
        <x:f>('연도별 상수'!N45*(L45-N45)+'연도별 상수'!O45*M45+'연도별 상수'!P45*(F45-G45-H45-I45)+'연도별 상수'!Q45*G45+'연도별 상수'!R45*H45+'연도별 상수'!S45*I45)/(D45+L45+M45-N45+P45)</x:f>
        <x:v>0.3362552975694571</x:v>
      </x:c>
      <x:c r="C45">
        <x:v>55996</x:v>
      </x:c>
      <x:c r="D45">
        <x:v>49021</x:v>
      </x:c>
      <x:c r="E45">
        <x:v>6813</x:v>
      </x:c>
      <x:c r="F45">
        <x:v>12824</x:v>
      </x:c>
      <x:c r="G45">
        <x:v>2243</x:v>
      </x:c>
      <x:c r="H45">
        <x:v>208</x:v>
      </x:c>
      <x:c r="I45">
        <x:v>1191</x:v>
      </x:c>
      <x:c r="J45">
        <x:v>1078</x:v>
      </x:c>
      <x:c r="K45">
        <x:v>362</x:v>
      </x:c>
      <x:c r="L45">
        <x:v>5123</x:v>
      </x:c>
      <x:c r="M45">
        <x:v>806</x:v>
      </x:c>
      <x:c r="N45">
        <x:v>187</x:v>
      </x:c>
      <x:c r="O45">
        <x:v>1003</x:v>
      </x:c>
      <x:c r="P45">
        <x:v>451</x:v>
      </x:c>
      <x:c r="Q45">
        <x:f t="shared" si="4"/>
        <x:v>0.26160217049835782</x:v>
      </x:c>
      <x:c r="R45">
        <x:f t="shared" si="5"/>
        <x:v>0.33849569502355553</x:v>
      </x:c>
      <x:c r="S45">
        <x:f t="shared" si="6"/>
        <x:v>0.38873136002937514</x:v>
      </x:c>
      <x:c r="T45">
        <x:f t="shared" si="7"/>
        <x:v>0.72722705505293073</x:v>
      </x:c>
    </x:row>
    <x:row r="46">
      <x:c r="A46" s="6">
        <x:v>2026</x:v>
      </x:c>
      <x:c r="B46" t="n">
        <x:f>('연도별 상수'!N46*(L46-N46)+'연도별 상수'!O46*M46+'연도별 상수'!P46*(F46-G46-H46-I46)+'연도별 상수'!Q46*G46+'연도별 상수'!R46*H46+'연도별 상수'!S46*I46)/(D46+L46+M46-N46+P46)</x:f>
        <x:v>0.3463516733094343</x:v>
      </x:c>
      <x:c r="C46" t="n">
        <x:v>45514</x:v>
      </x:c>
      <x:c r="D46" t="n">
        <x:v>39688</x:v>
      </x:c>
      <x:c r="E46" t="n">
        <x:v>5900</x:v>
      </x:c>
      <x:c r="F46" t="n">
        <x:v>10689</x:v>
      </x:c>
      <x:c r="G46" t="n">
        <x:v>1831</x:v>
      </x:c>
      <x:c r="H46" t="n">
        <x:v>156</x:v>
      </x:c>
      <x:c r="I46" t="n">
        <x:v>1090</x:v>
      </x:c>
      <x:c r="J46" t="n">
        <x:v>744</x:v>
      </x:c>
      <x:c r="K46" t="n">
        <x:v>234</x:v>
      </x:c>
      <x:c r="L46" t="n">
        <x:v>4303</x:v>
      </x:c>
      <x:c r="M46" t="n">
        <x:v>681</x:v>
      </x:c>
      <x:c r="N46" t="n">
        <x:v>118</x:v>
      </x:c>
      <x:c r="O46" t="n">
        <x:v>851</x:v>
      </x:c>
      <x:c r="P46" t="n">
        <x:v>357</x:v>
      </x:c>
      <x:c r="Q46">
        <x:f t="shared" si="4"/>
        <x:v>0.26635218957768453</x:v>
      </x:c>
      <x:c r="R46">
        <x:f t="shared" si="5"/>
        <x:v>0.34637619623085214</x:v>
      </x:c>
      <x:c r="S46">
        <x:f t="shared" si="6"/>
        <x:v>0.39772685064814473</x:v>
      </x:c>
      <x:c r="T46">
        <x:f t="shared" si="7"/>
        <x:v>0.74410304687899687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5.296875" defaultRowHeight="17.399999618530273"/>
  <x:cols>
    <x:col min="1" max="1" width="5.59765625" style="13" customWidth="1"/>
    <x:col min="2" max="3" width="5" style="14" customWidth="1"/>
    <x:col min="4" max="4" width="8.69921875" style="15" customWidth="1"/>
    <x:col min="5" max="6" width="5.296875" style="14" customWidth="1"/>
    <x:col min="7" max="7" width="5.5" style="14" customWidth="1"/>
    <x:col min="8" max="8" width="7.5" style="14" customWidth="1"/>
    <x:col min="9" max="14" width="5" style="14" customWidth="1"/>
    <x:col min="15" max="15" width="5.5" style="14" customWidth="1"/>
    <x:col min="16" max="18" width="4.296875" style="14" customWidth="1"/>
    <x:col min="19" max="23" width="6.296875" style="14" customWidth="1"/>
    <x:col min="24" max="24" width="5.296875" style="14" customWidth="1"/>
    <x:col min="25" max="16384" width="5.296875" style="14" customWidth="0"/>
  </x:cols>
  <x:sheetData>
    <x:row r="1" s="10" customFormat="1">
      <x:c r="A1" s="11" t="s">
        <x:v>42</x:v>
      </x:c>
      <x:c r="B1" s="10" t="s">
        <x:v>58</x:v>
      </x:c>
      <x:c r="C1" s="10" t="s">
        <x:v>59</x:v>
      </x:c>
      <x:c r="D1" s="16" t="s">
        <x:v>60</x:v>
      </x:c>
      <x:c r="E1" s="10" t="s">
        <x:v>61</x:v>
      </x:c>
      <x:c r="F1" s="10" t="s">
        <x:v>62</x:v>
      </x:c>
      <x:c r="G1" s="10" t="s">
        <x:v>63</x:v>
      </x:c>
      <x:c r="H1" s="10" t="s">
        <x:v>47</x:v>
      </x:c>
      <x:c r="I1" s="10" t="s">
        <x:v>33</x:v>
      </x:c>
      <x:c r="J1" s="10" t="s">
        <x:v>34</x:v>
      </x:c>
      <x:c r="K1" s="10" t="s">
        <x:v>22</x:v>
      </x:c>
      <x:c r="L1" s="10" t="s">
        <x:v>23</x:v>
      </x:c>
      <x:c r="M1" s="10" t="s">
        <x:v>50</x:v>
      </x:c>
      <x:c r="N1" s="10" t="s">
        <x:v>51</x:v>
      </x:c>
      <x:c r="O1" s="10" t="s">
        <x:v>24</x:v>
      </x:c>
      <x:c r="P1" s="10" t="s">
        <x:v>64</x:v>
      </x:c>
      <x:c r="Q1" s="10" t="s">
        <x:v>65</x:v>
      </x:c>
      <x:c r="R1" s="10" t="s">
        <x:v>66</x:v>
      </x:c>
      <x:c r="S1" s="10" t="s">
        <x:v>67</x:v>
      </x:c>
      <x:c r="T1" s="10" t="s">
        <x:v>68</x:v>
      </x:c>
      <x:c r="U1" s="10" t="s">
        <x:v>69</x:v>
      </x:c>
      <x:c r="V1" s="12" t="s">
        <x:v>70</x:v>
      </x:c>
      <x:c r="W1" s="10" t="s">
        <x:v>71</x:v>
      </x:c>
      <x:c r="X1" s="10" t="s">
        <x:v>72</x:v>
      </x:c>
      <x:c r="Y1" s="10" t="s">
        <x:v>73</x:v>
      </x:c>
    </x:row>
    <x:row r="2">
      <x:c r="A2" s="6">
        <x:v>1982</x:v>
      </x:c>
      <x:c r="B2" s="14">
        <x:v>1014</x:v>
      </x:c>
      <x:c r="C2" s="14">
        <x:v>478</x:v>
      </x:c>
      <x:c r="D2" s="15" t="n">
        <x:f>4251+1/3</x:f>
        <x:v>4251.333333333333</x:v>
      </x:c>
      <x:c r="E2" s="14">
        <x:v>1832</x:v>
      </x:c>
      <x:c r="F2" s="14" t="n">
        <x:f>'리그 타자'!E2</x:f>
        <x:v>2272</x:v>
      </x:c>
      <x:c r="G2" s="14" t="n">
        <x:f>'리그 타자'!C2</x:f>
        <x:v>18208</x:v>
      </x:c>
      <x:c r="H2" s="14" t="n">
        <x:f>'리그 타자'!F2</x:f>
        <x:v>4247</x:v>
      </x:c>
      <x:c r="I2" s="14" t="n">
        <x:f>'리그 타자'!G2</x:f>
        <x:v>726</x:v>
      </x:c>
      <x:c r="J2" s="14" t="n">
        <x:f>'리그 타자'!H2</x:f>
        <x:v>95</x:v>
      </x:c>
      <x:c r="K2" s="14" t="n">
        <x:f>'리그 타자'!I2</x:f>
        <x:v>362</x:v>
      </x:c>
      <x:c r="L2" s="14" t="n">
        <x:f>'리그 타자'!L2</x:f>
        <x:v>1604</x:v>
      </x:c>
      <x:c r="M2" s="14" t="n">
        <x:f>'리그 타자'!M2</x:f>
        <x:v>228</x:v>
      </x:c>
      <x:c r="N2" s="14" t="n">
        <x:f>'리그 타자'!N2</x:f>
        <x:v>69</x:v>
      </x:c>
      <x:c r="O2" s="14">
        <x:v>1903</x:v>
      </x:c>
      <x:c r="P2" s="14" t="n">
        <x:f t="shared" ref="P2:P21" si="0">E2/D2*9</x:f>
        <x:v>3.8783126862160895</x:v>
      </x:c>
      <x:c r="Q2" s="14" t="n">
        <x:f>(('연도별 상수'!Y2*K2)+('연도별 상수'!Z2*(L2+M2)+('연도별 상수'!AA2*O2)))/D2+'연도별 상수'!V2</x:f>
        <x:v>3.9302493335424185</x:v>
      </x:c>
      <x:c r="R2" s="14" t="n">
        <x:f t="shared" ref="R2:R21" si="1">F2/D2*9</x:f>
        <x:v>4.809785165438294</x:v>
      </x:c>
    </x:row>
    <x:row r="3">
      <x:c r="A3" s="6">
        <x:v>1983</x:v>
      </x:c>
      <x:c r="B3" s="14">
        <x:v>1191</x:v>
      </x:c>
      <x:c r="C3" s="14">
        <x:v>600</x:v>
      </x:c>
      <x:c r="D3" s="15" t="n">
        <x:f>5390+2/3</x:f>
        <x:v>5390.666666666667</x:v>
      </x:c>
      <x:c r="E3" s="14">
        <x:v>1964</x:v>
      </x:c>
      <x:c r="F3" s="14" t="n">
        <x:f>'리그 타자'!E3</x:f>
        <x:v>2411</x:v>
      </x:c>
      <x:c r="G3" s="14" t="n">
        <x:f>'리그 타자'!C3</x:f>
        <x:v>22546</x:v>
      </x:c>
      <x:c r="H3" s="14" t="n">
        <x:f>'리그 타자'!F3</x:f>
        <x:v>5103</x:v>
      </x:c>
      <x:c r="I3" s="14" t="n">
        <x:f>'리그 타자'!G3</x:f>
        <x:v>805</x:v>
      </x:c>
      <x:c r="J3" s="14" t="n">
        <x:f>'리그 타자'!H3</x:f>
        <x:v>108</x:v>
      </x:c>
      <x:c r="K3" s="14" t="n">
        <x:f>'리그 타자'!I3</x:f>
        <x:v>403</x:v>
      </x:c>
      <x:c r="L3" s="14" t="n">
        <x:f>'리그 타자'!L3</x:f>
        <x:v>1757</x:v>
      </x:c>
      <x:c r="M3" s="14" t="n">
        <x:f>'리그 타자'!M3</x:f>
        <x:v>292</x:v>
      </x:c>
      <x:c r="N3" s="14" t="n">
        <x:f>'리그 타자'!N3</x:f>
        <x:v>77</x:v>
      </x:c>
      <x:c r="O3" s="14">
        <x:v>2358</x:v>
      </x:c>
      <x:c r="P3" s="14">
        <x:f t="shared" si="0"/>
        <x:v>3.2790007420232499</x:v>
      </x:c>
      <x:c r="Q3" s="14" t="n">
        <x:f>(('연도별 상수'!Y3*K3)+('연도별 상수'!Z3*(L3+M3)+('연도별 상수'!AA3*O3)))/D3+'연도별 상수'!V3</x:f>
        <x:v>3.3247093742270586</x:v>
      </x:c>
      <x:c r="R3" s="14">
        <x:f t="shared" si="1"/>
        <x:v>4.0252906257729402</x:v>
      </x:c>
    </x:row>
    <x:row r="4">
      <x:c r="A4" s="6">
        <x:v>1984</x:v>
      </x:c>
      <x:c r="B4" s="14">
        <x:v>1278</x:v>
      </x:c>
      <x:c r="C4" s="14">
        <x:v>600</x:v>
      </x:c>
      <x:c r="D4" s="15" t="n">
        <x:f>5345+1/3</x:f>
        <x:v>5345.333333333333</x:v>
      </x:c>
      <x:c r="E4" s="14">
        <x:v>1943</x:v>
      </x:c>
      <x:c r="F4" s="14" t="n">
        <x:f>'리그 타자'!E4</x:f>
        <x:v>2300</x:v>
      </x:c>
      <x:c r="G4" s="14" t="n">
        <x:f>'리그 타자'!C4</x:f>
        <x:v>22399</x:v>
      </x:c>
      <x:c r="H4" s="14" t="n">
        <x:f>'리그 타자'!F4</x:f>
        <x:v>4995</x:v>
      </x:c>
      <x:c r="I4" s="14" t="n">
        <x:f>'리그 타자'!G4</x:f>
        <x:v>824</x:v>
      </x:c>
      <x:c r="J4" s="14" t="n">
        <x:f>'리그 타자'!H4</x:f>
        <x:v>115</x:v>
      </x:c>
      <x:c r="K4" s="14" t="n">
        <x:f>'리그 타자'!I4</x:f>
        <x:v>383</x:v>
      </x:c>
      <x:c r="L4" s="14" t="n">
        <x:f>'리그 타자'!L4</x:f>
        <x:v>1937</x:v>
      </x:c>
      <x:c r="M4" s="14" t="n">
        <x:f>'리그 타자'!M4</x:f>
        <x:v>261</x:v>
      </x:c>
      <x:c r="N4" s="14" t="n">
        <x:f>'리그 타자'!N4</x:f>
        <x:v>85</x:v>
      </x:c>
      <x:c r="O4" s="14">
        <x:v>2651</x:v>
      </x:c>
      <x:c r="P4" s="14">
        <x:f t="shared" si="0"/>
        <x:v>3.2714517335994016</x:v>
      </x:c>
      <x:c r="Q4" s="14" t="n">
        <x:f>(('연도별 상수'!Y4*K4)+('연도별 상수'!Z4*(L4+M4)+('연도별 상수'!AA4*O4)))/D4+'연도별 상수'!V4</x:f>
        <x:v>3.3223372412072836</x:v>
      </x:c>
      <x:c r="R4" s="14">
        <x:f t="shared" si="1"/>
        <x:v>3.8725367922175109</x:v>
      </x:c>
    </x:row>
    <x:row r="5">
      <x:c r="A5" s="6">
        <x:v>1985</x:v>
      </x:c>
      <x:c r="B5" s="14">
        <x:v>1455</x:v>
      </x:c>
      <x:c r="C5" s="14">
        <x:v>660</x:v>
      </x:c>
      <x:c r="D5" s="15" t="n">
        <x:f>5935+2/3</x:f>
        <x:v>5935.666666666667</x:v>
      </x:c>
      <x:c r="E5" s="14">
        <x:v>2297</x:v>
      </x:c>
      <x:c r="F5" s="14" t="n">
        <x:f>'리그 타자'!E5</x:f>
        <x:v>2695</x:v>
      </x:c>
      <x:c r="G5" s="14" t="n">
        <x:f>'리그 타자'!C5</x:f>
        <x:v>24995</x:v>
      </x:c>
      <x:c r="H5" s="14" t="n">
        <x:f>'리그 타자'!F5</x:f>
        <x:v>5700</x:v>
      </x:c>
      <x:c r="I5" s="14" t="n">
        <x:f>'리그 타자'!G5</x:f>
        <x:v>943</x:v>
      </x:c>
      <x:c r="J5" s="14" t="n">
        <x:f>'리그 타자'!H5</x:f>
        <x:v>109</x:v>
      </x:c>
      <x:c r="K5" s="14" t="n">
        <x:f>'리그 타자'!I5</x:f>
        <x:v>450</x:v>
      </x:c>
      <x:c r="L5" s="14" t="n">
        <x:f>'리그 타자'!L5</x:f>
        <x:v>2158</x:v>
      </x:c>
      <x:c r="M5" s="14" t="n">
        <x:f>'리그 타자'!M5</x:f>
        <x:v>273</x:v>
      </x:c>
      <x:c r="N5" s="14" t="n">
        <x:f>'리그 타자'!N5</x:f>
        <x:v>73</x:v>
      </x:c>
      <x:c r="O5" s="14">
        <x:v>2639</x:v>
      </x:c>
      <x:c r="P5" s="14">
        <x:f t="shared" si="0"/>
        <x:v>3.482843825461897</x:v>
      </x:c>
      <x:c r="Q5" s="14" t="n">
        <x:f>(('연도별 상수'!Y5*K5)+('연도별 상수'!Z5*(L5+M5)+('연도별 상수'!AA5*O5)))/D5+'연도별 상수'!V5</x:f>
        <x:v>3.5221991351715616</x:v>
      </x:c>
      <x:c r="R5" s="14">
        <x:f t="shared" si="1"/>
        <x:v>4.0863143707530742</x:v>
      </x:c>
    </x:row>
    <x:row r="6">
      <x:c r="A6" s="6">
        <x:v>1986</x:v>
      </x:c>
      <x:c r="B6" s="14">
        <x:v>1681</x:v>
      </x:c>
      <x:c r="C6" s="14">
        <x:v>756</x:v>
      </x:c>
      <x:c r="D6" s="15" t="n">
        <x:f>6180+2/3</x:f>
        <x:v>6180.666666666667</x:v>
      </x:c>
      <x:c r="E6" s="14">
        <x:v>2330</x:v>
      </x:c>
      <x:c r="F6" s="14" t="n">
        <x:f>'리그 타자'!E6</x:f>
        <x:v>2776</x:v>
      </x:c>
      <x:c r="G6" s="14" t="n">
        <x:f>'리그 타자'!C6</x:f>
        <x:v>28364</x:v>
      </x:c>
      <x:c r="H6" s="14" t="n">
        <x:f>'리그 타자'!F6</x:f>
        <x:v>6234</x:v>
      </x:c>
      <x:c r="I6" s="14" t="n">
        <x:f>'리그 타자'!G6</x:f>
        <x:v>977</x:v>
      </x:c>
      <x:c r="J6" s="14" t="n">
        <x:f>'리그 타자'!H6</x:f>
        <x:v>162</x:v>
      </x:c>
      <x:c r="K6" s="14" t="n">
        <x:f>'리그 타자'!I6</x:f>
        <x:v>397</x:v>
      </x:c>
      <x:c r="L6" s="14" t="n">
        <x:f>'리그 타자'!L6</x:f>
        <x:v>2415</x:v>
      </x:c>
      <x:c r="M6" s="14" t="n">
        <x:f>'리그 타자'!M6</x:f>
        <x:v>277</x:v>
      </x:c>
      <x:c r="N6" s="14" t="n">
        <x:f>'리그 타자'!N6</x:f>
        <x:v>87</x:v>
      </x:c>
      <x:c r="O6" s="14">
        <x:v>3065</x:v>
      </x:c>
      <x:c r="P6" s="14">
        <x:f t="shared" si="0"/>
        <x:v>3.3928378815661739</x:v>
      </x:c>
      <x:c r="Q6" s="14" t="n">
        <x:f>(('연도별 상수'!Y6*K6)+('연도별 상수'!Z6*(L6+M6)+('연도별 상수'!AA6*O6)))/D6+'연도별 상수'!V6</x:f>
        <x:v>3.437881566174091</x:v>
      </x:c>
      <x:c r="R6" s="14">
        <x:f t="shared" si="1"/>
        <x:v>4.0422823859346346</x:v>
      </x:c>
    </x:row>
    <x:row r="7">
      <x:c r="A7" s="6">
        <x:v>1987</x:v>
      </x:c>
      <x:c r="B7" s="14">
        <x:v>1541</x:v>
      </x:c>
      <x:c r="C7" s="14">
        <x:v>756</x:v>
      </x:c>
      <x:c r="D7" s="15" t="n">
        <x:f>6760+1/3</x:f>
        <x:v>6760.333333333333</x:v>
      </x:c>
      <x:c r="E7" s="14">
        <x:v>2664</x:v>
      </x:c>
      <x:c r="F7" s="14" t="n">
        <x:f>'리그 타자'!E7</x:f>
        <x:v>3022</x:v>
      </x:c>
      <x:c r="G7" s="14" t="n">
        <x:f>'리그 타자'!C7</x:f>
        <x:v>28567</x:v>
      </x:c>
      <x:c r="H7" s="14" t="n">
        <x:f>'리그 타자'!F7</x:f>
        <x:v>6666</x:v>
      </x:c>
      <x:c r="I7" s="14" t="n">
        <x:f>'리그 타자'!G7</x:f>
        <x:v>1013</x:v>
      </x:c>
      <x:c r="J7" s="14" t="n">
        <x:f>'리그 타자'!H7</x:f>
        <x:v>176</x:v>
      </x:c>
      <x:c r="K7" s="14" t="n">
        <x:f>'리그 타자'!I7</x:f>
        <x:v>384</x:v>
      </x:c>
      <x:c r="L7" s="14" t="n">
        <x:f>'리그 타자'!L7</x:f>
        <x:v>2469</x:v>
      </x:c>
      <x:c r="M7" s="14" t="n">
        <x:f>'리그 타자'!M7</x:f>
        <x:v>266</x:v>
      </x:c>
      <x:c r="N7" s="14" t="n">
        <x:f>'리그 타자'!N7</x:f>
        <x:v>95</x:v>
      </x:c>
      <x:c r="O7" s="14">
        <x:v>2805</x:v>
      </x:c>
      <x:c r="P7" s="14">
        <x:f t="shared" si="0"/>
        <x:v>3.5465706819190377</x:v>
      </x:c>
      <x:c r="Q7" s="14" t="n">
        <x:f>(('연도별 상수'!Y7*K7)+('연도별 상수'!Z7*(L7+M7)+('연도별 상수'!AA7*O7)))/D7+'연도별 상수'!V7</x:f>
        <x:v>3.5915388787535134</x:v>
      </x:c>
      <x:c r="R7" s="14">
        <x:f t="shared" si="1"/>
        <x:v>4.023174399684434</x:v>
      </x:c>
    </x:row>
    <x:row r="8">
      <x:c r="A8" s="6">
        <x:v>1988</x:v>
      </x:c>
      <x:c r="B8" s="14">
        <x:v>1684</x:v>
      </x:c>
      <x:c r="C8" s="14">
        <x:v>756</x:v>
      </x:c>
      <x:c r="D8" s="15" t="n">
        <x:f>6752+2/3</x:f>
        <x:v>6752.666666666667</x:v>
      </x:c>
      <x:c r="E8" s="14">
        <x:v>2859</x:v>
      </x:c>
      <x:c r="F8" s="14" t="n">
        <x:f>'리그 타자'!E8</x:f>
        <x:v>3222</x:v>
      </x:c>
      <x:c r="G8" s="14" t="n">
        <x:f>'리그 타자'!C8</x:f>
        <x:v>28655</x:v>
      </x:c>
      <x:c r="H8" s="14" t="n">
        <x:f>'리그 타자'!F8</x:f>
        <x:v>6769</x:v>
      </x:c>
      <x:c r="I8" s="14" t="n">
        <x:f>'리그 타자'!G8</x:f>
        <x:v>1044</x:v>
      </x:c>
      <x:c r="J8" s="14" t="n">
        <x:f>'리그 타자'!H8</x:f>
        <x:v>148</x:v>
      </x:c>
      <x:c r="K8" s="14" t="n">
        <x:f>'리그 타자'!I8</x:f>
        <x:v>482</x:v>
      </x:c>
      <x:c r="L8" s="14" t="n">
        <x:f>'리그 타자'!L8</x:f>
        <x:v>2386</x:v>
      </x:c>
      <x:c r="M8" s="14" t="n">
        <x:f>'리그 타자'!M8</x:f>
        <x:v>267</x:v>
      </x:c>
      <x:c r="N8" s="14" t="n">
        <x:f>'리그 타자'!N8</x:f>
        <x:v>93</x:v>
      </x:c>
      <x:c r="O8" s="14">
        <x:v>2835</x:v>
      </x:c>
      <x:c r="P8" s="14">
        <x:f t="shared" si="0"/>
        <x:v>3.8104946194096154</x:v>
      </x:c>
      <x:c r="Q8" s="14" t="n">
        <x:f>(('연도별 상수'!Y8*K8)+('연도별 상수'!Z8*(L8+M8)+('연도별 상수'!AA8*O8)))/D8+'연도별 상수'!V8</x:f>
        <x:v>3.854566097344259</x:v>
      </x:c>
      <x:c r="R8" s="14">
        <x:f t="shared" si="1"/>
        <x:v>4.2943034850429456</x:v>
      </x:c>
    </x:row>
    <x:row r="9">
      <x:c r="A9" s="6">
        <x:v>1989</x:v>
      </x:c>
      <x:c r="B9" s="14">
        <x:v>2053</x:v>
      </x:c>
      <x:c r="C9" s="14">
        <x:v>840</x:v>
      </x:c>
      <x:c r="D9" s="15" t="n">
        <x:f>7532+2/3</x:f>
        <x:v>7532.666666666667</x:v>
      </x:c>
      <x:c r="E9" s="14">
        <x:v>3123</x:v>
      </x:c>
      <x:c r="F9" s="14" t="n">
        <x:f>'리그 타자'!E9</x:f>
        <x:v>3530</x:v>
      </x:c>
      <x:c r="G9" s="14" t="n">
        <x:f>'리그 타자'!C9</x:f>
        <x:v>32030</x:v>
      </x:c>
      <x:c r="H9" s="14" t="n">
        <x:f>'리그 타자'!F9</x:f>
        <x:v>7136</x:v>
      </x:c>
      <x:c r="I9" s="14" t="n">
        <x:f>'리그 타자'!G9</x:f>
        <x:v>1169</x:v>
      </x:c>
      <x:c r="J9" s="14" t="n">
        <x:f>'리그 타자'!H9</x:f>
        <x:v>168</x:v>
      </x:c>
      <x:c r="K9" s="14" t="n">
        <x:f>'리그 타자'!I9</x:f>
        <x:v>460</x:v>
      </x:c>
      <x:c r="L9" s="14" t="n">
        <x:f>'리그 타자'!L9</x:f>
        <x:v>3161</x:v>
      </x:c>
      <x:c r="M9" s="14" t="n">
        <x:f>'리그 타자'!M9</x:f>
        <x:v>292</x:v>
      </x:c>
      <x:c r="N9" s="14" t="n">
        <x:f>'리그 타자'!N9</x:f>
        <x:v>138</x:v>
      </x:c>
      <x:c r="O9" s="14">
        <x:v>3793</x:v>
      </x:c>
      <x:c r="P9" s="14">
        <x:f t="shared" si="0"/>
        <x:v>3.7313479068944155</x:v>
      </x:c>
      <x:c r="Q9" s="14" t="n">
        <x:f>(('연도별 상수'!Y9*K9)+('연도별 상수'!Z9*(L9+M9)+('연도별 상수'!AA9*O9)))/D9+'연도별 상수'!V9</x:f>
        <x:v>3.7899725639437114</x:v>
      </x:c>
      <x:c r="R9" s="14">
        <x:f t="shared" si="1"/>
        <x:v>4.2176298787503317</x:v>
      </x:c>
    </x:row>
    <x:row r="10">
      <x:c r="A10" s="6">
        <x:v>1990</x:v>
      </x:c>
      <x:c r="B10" s="14">
        <x:v>2172</x:v>
      </x:c>
      <x:c r="C10" s="14">
        <x:v>841</x:v>
      </x:c>
      <x:c r="D10" s="15" t="n">
        <x:f>7501+1/3</x:f>
        <x:v>7501.333333333333</x:v>
      </x:c>
      <x:c r="E10" s="14">
        <x:v>3229</x:v>
      </x:c>
      <x:c r="F10" s="14" t="n">
        <x:f>'리그 타자'!E10</x:f>
        <x:v>3679</x:v>
      </x:c>
      <x:c r="G10" s="14" t="n">
        <x:f>'리그 타자'!C10</x:f>
        <x:v>31961</x:v>
      </x:c>
      <x:c r="H10" s="14" t="n">
        <x:f>'리그 타자'!F10</x:f>
        <x:v>7084</x:v>
      </x:c>
      <x:c r="I10" s="14" t="n">
        <x:f>'리그 타자'!G10</x:f>
        <x:v>1170</x:v>
      </x:c>
      <x:c r="J10" s="14" t="n">
        <x:f>'리그 타자'!H10</x:f>
        <x:v>178</x:v>
      </x:c>
      <x:c r="K10" s="14" t="n">
        <x:f>'리그 타자'!I10</x:f>
        <x:v>541</x:v>
      </x:c>
      <x:c r="L10" s="14" t="n">
        <x:f>'리그 타자'!L10</x:f>
        <x:v>3196</x:v>
      </x:c>
      <x:c r="M10" s="14" t="n">
        <x:f>'리그 타자'!M10</x:f>
        <x:v>347</x:v>
      </x:c>
      <x:c r="N10" s="14" t="n">
        <x:f>'리그 타자'!N10</x:f>
        <x:v>128</x:v>
      </x:c>
      <x:c r="O10" s="14">
        <x:v>3769</x:v>
      </x:c>
      <x:c r="P10" s="14">
        <x:f t="shared" si="0"/>
        <x:v>3.8741112691077144</x:v>
      </x:c>
      <x:c r="Q10" s="14" t="n">
        <x:f>(('연도별 상수'!Y10*K10)+('연도별 상수'!Z10*(L10+M10)+('연도별 상수'!AA10*O10)))/D10+'연도별 상수'!V10</x:f>
        <x:v>3.9287148951297546</x:v>
      </x:c>
      <x:c r="R10" s="14">
        <x:f t="shared" si="1"/>
        <x:v>4.4140152861713471</x:v>
      </x:c>
    </x:row>
    <x:row r="11">
      <x:c r="A11" s="6">
        <x:v>1991</x:v>
      </x:c>
      <x:c r="B11" s="14">
        <x:v>2454</x:v>
      </x:c>
      <x:c r="C11" s="14">
        <x:v>1012</x:v>
      </x:c>
      <x:c r="D11" s="15" t="n">
        <x:f>9010+1/3</x:f>
        <x:v>9010.333333333334</x:v>
      </x:c>
      <x:c r="E11" s="14">
        <x:v>3982</x:v>
      </x:c>
      <x:c r="F11" s="14" t="n">
        <x:f>'리그 타자'!E11</x:f>
        <x:v>4437</x:v>
      </x:c>
      <x:c r="G11" s="14" t="n">
        <x:f>'리그 타자'!C11</x:f>
        <x:v>38292</x:v>
      </x:c>
      <x:c r="H11" s="14" t="n">
        <x:f>'리그 타자'!F11</x:f>
        <x:v>8514</x:v>
      </x:c>
      <x:c r="I11" s="14" t="n">
        <x:f>'리그 타자'!G11</x:f>
        <x:v>1443</x:v>
      </x:c>
      <x:c r="J11" s="14" t="n">
        <x:f>'리그 타자'!H11</x:f>
        <x:v>278</x:v>
      </x:c>
      <x:c r="K11" s="14" t="n">
        <x:f>'리그 타자'!I11</x:f>
        <x:v>711</x:v>
      </x:c>
      <x:c r="L11" s="14" t="n">
        <x:f>'리그 타자'!L11</x:f>
        <x:v>3684</x:v>
      </x:c>
      <x:c r="M11" s="14" t="n">
        <x:f>'리그 타자'!M11</x:f>
        <x:v>449</x:v>
      </x:c>
      <x:c r="N11" s="14" t="n">
        <x:f>'리그 타자'!N11</x:f>
        <x:v>171</x:v>
      </x:c>
      <x:c r="O11" s="14">
        <x:v>4822</x:v>
      </x:c>
      <x:c r="P11" s="14">
        <x:f t="shared" si="0"/>
        <x:v>3.9774333173023559</x:v>
      </x:c>
      <x:c r="Q11" s="14" t="n">
        <x:f>(('연도별 상수'!Y11*K11)+('연도별 상수'!Z11*(L11+M11)+('연도별 상수'!AA11*O11)))/D11+'연도별 상수'!V11</x:f>
        <x:v>4.038163589952276</x:v>
      </x:c>
      <x:c r="R11" s="14">
        <x:f t="shared" si="1"/>
        <x:v>4.4319115090081755</x:v>
      </x:c>
    </x:row>
    <x:row r="12">
      <x:c r="A12" s="6">
        <x:v>1992</x:v>
      </x:c>
      <x:c r="B12" s="14">
        <x:v>2459</x:v>
      </x:c>
      <x:c r="C12" s="14">
        <x:v>1008</x:v>
      </x:c>
      <x:c r="D12" s="15" t="n">
        <x:f>8925</x:f>
        <x:v>8925</x:v>
      </x:c>
      <x:c r="E12" s="14">
        <x:v>4280</x:v>
      </x:c>
      <x:c r="F12" s="14" t="n">
        <x:f>'리그 타자'!E12</x:f>
        <x:v>4801</x:v>
      </x:c>
      <x:c r="G12" s="14" t="n">
        <x:f>'리그 타자'!C12</x:f>
        <x:v>38797</x:v>
      </x:c>
      <x:c r="H12" s="14" t="n">
        <x:f>'리그 타자'!F12</x:f>
        <x:v>8872</x:v>
      </x:c>
      <x:c r="I12" s="14" t="n">
        <x:f>'리그 타자'!G12</x:f>
        <x:v>1479</x:v>
      </x:c>
      <x:c r="J12" s="14" t="n">
        <x:f>'리그 타자'!H12</x:f>
        <x:v>239</x:v>
      </x:c>
      <x:c r="K12" s="14" t="n">
        <x:f>'리그 타자'!I12</x:f>
        <x:v>871</x:v>
      </x:c>
      <x:c r="L12" s="14" t="n">
        <x:f>'리그 타자'!L12</x:f>
        <x:v>3871</x:v>
      </x:c>
      <x:c r="M12" s="14" t="n">
        <x:f>'리그 타자'!M12</x:f>
        <x:v>446</x:v>
      </x:c>
      <x:c r="N12" s="14" t="n">
        <x:f>'리그 타자'!N12</x:f>
        <x:v>153</x:v>
      </x:c>
      <x:c r="O12" s="14">
        <x:v>5049</x:v>
      </x:c>
      <x:c r="P12" s="14">
        <x:f t="shared" si="0"/>
        <x:v>4.3159663865546216</x:v>
      </x:c>
      <x:c r="Q12" s="14" t="n">
        <x:f>(('연도별 상수'!Y12*K12)+('연도별 상수'!Z12*(L12+M12)+('연도별 상수'!AA12*O12)))/D12+'연도별 상수'!V12</x:f>
        <x:v>4.370823529411765</x:v>
      </x:c>
      <x:c r="R12" s="14">
        <x:f t="shared" si="1"/>
        <x:v>4.8413445378151252</x:v>
      </x:c>
    </x:row>
    <x:row r="13">
      <x:c r="A13" s="6">
        <x:v>1993</x:v>
      </x:c>
      <x:c r="B13" s="14">
        <x:v>2317</x:v>
      </x:c>
      <x:c r="C13" s="14">
        <x:v>1008</x:v>
      </x:c>
      <x:c r="D13" s="15">
        <x:v>9010</x:v>
      </x:c>
      <x:c r="E13" s="14">
        <x:v>3276</x:v>
      </x:c>
      <x:c r="F13" s="14" t="n">
        <x:f>'리그 타자'!E13</x:f>
        <x:v>3721</x:v>
      </x:c>
      <x:c r="G13" s="14" t="n">
        <x:f>'리그 타자'!C13</x:f>
        <x:v>37717</x:v>
      </x:c>
      <x:c r="H13" s="14" t="n">
        <x:f>'리그 타자'!F13</x:f>
        <x:v>8156</x:v>
      </x:c>
      <x:c r="I13" s="14" t="n">
        <x:f>'리그 타자'!G13</x:f>
        <x:v>1339</x:v>
      </x:c>
      <x:c r="J13" s="14" t="n">
        <x:f>'리그 타자'!H13</x:f>
        <x:v>180</x:v>
      </x:c>
      <x:c r="K13" s="14" t="n">
        <x:f>'리그 타자'!I13</x:f>
        <x:v>552</x:v>
      </x:c>
      <x:c r="L13" s="14" t="n">
        <x:f>'리그 타자'!L13</x:f>
        <x:v>3263</x:v>
      </x:c>
      <x:c r="M13" s="14" t="n">
        <x:f>'리그 타자'!M13</x:f>
        <x:v>419</x:v>
      </x:c>
      <x:c r="N13" s="14" t="n">
        <x:f>'리그 타자'!N13</x:f>
        <x:v>108</x:v>
      </x:c>
      <x:c r="O13" s="14">
        <x:v>5294</x:v>
      </x:c>
      <x:c r="P13" s="14">
        <x:f t="shared" si="0"/>
        <x:v>3.2723640399556051</x:v>
      </x:c>
      <x:c r="Q13" s="14" t="n">
        <x:f>(('연도별 상수'!Y13*K13)+('연도별 상수'!Z13*(L13+M13)+('연도별 상수'!AA13*O13)))/D13+'연도별 상수'!V13</x:f>
        <x:v>3.310721420643729</x:v>
      </x:c>
      <x:c r="R13" s="14">
        <x:f t="shared" si="1"/>
        <x:v>3.7168701442841288</x:v>
      </x:c>
    </x:row>
    <x:row r="14">
      <x:c r="A14" s="6">
        <x:v>1994</x:v>
      </x:c>
      <x:c r="B14" s="14">
        <x:v>2492</x:v>
      </x:c>
      <x:c r="C14" s="14">
        <x:v>1008</x:v>
      </x:c>
      <x:c r="D14" s="15" t="n">
        <x:f>8936+2/3</x:f>
        <x:v>8936.666666666666</x:v>
      </x:c>
      <x:c r="E14" s="14">
        <x:v>3709</x:v>
      </x:c>
      <x:c r="F14" s="14" t="n">
        <x:f>'리그 타자'!E14</x:f>
        <x:v>4186</x:v>
      </x:c>
      <x:c r="G14" s="14" t="n">
        <x:f>'리그 타자'!C14</x:f>
        <x:v>37828</x:v>
      </x:c>
      <x:c r="H14" s="14" t="n">
        <x:f>'리그 타자'!F14</x:f>
        <x:v>8540</x:v>
      </x:c>
      <x:c r="I14" s="14" t="n">
        <x:f>'리그 타자'!G14</x:f>
        <x:v>1397</x:v>
      </x:c>
      <x:c r="J14" s="14" t="n">
        <x:f>'리그 타자'!H14</x:f>
        <x:v>179</x:v>
      </x:c>
      <x:c r="K14" s="14" t="n">
        <x:f>'리그 타자'!I14</x:f>
        <x:v>666</x:v>
      </x:c>
      <x:c r="L14" s="14" t="n">
        <x:f>'리그 타자'!L14</x:f>
        <x:v>3167</x:v>
      </x:c>
      <x:c r="M14" s="14" t="n">
        <x:f>'리그 타자'!M14</x:f>
        <x:v>445</x:v>
      </x:c>
      <x:c r="N14" s="14" t="n">
        <x:f>'리그 타자'!N14</x:f>
        <x:v>148</x:v>
      </x:c>
      <x:c r="O14" s="14">
        <x:v>5259</x:v>
      </x:c>
      <x:c r="P14" s="14">
        <x:f t="shared" si="0"/>
        <x:v>3.7352853412905636</x:v>
      </x:c>
      <x:c r="Q14" s="14" t="n">
        <x:f>(('연도별 상수'!Y14*K14)+('연도별 상수'!Z14*(L14+M14)+('연도별 상수'!AA14*O14)))/D14+'연도별 상수'!V14</x:f>
        <x:v>3.7882804923535995</x:v>
      </x:c>
      <x:c r="R14" s="14">
        <x:f t="shared" si="1"/>
        <x:v>4.2156657963446484</x:v>
      </x:c>
    </x:row>
    <x:row r="15">
      <x:c r="A15" s="6">
        <x:v>1995</x:v>
      </x:c>
      <x:c r="B15" s="14">
        <x:v>2572</x:v>
      </x:c>
      <x:c r="C15" s="14">
        <x:v>1008</x:v>
      </x:c>
      <x:c r="D15" s="15" t="n">
        <x:f>8990+2/3</x:f>
        <x:v>8990.666666666666</x:v>
      </x:c>
      <x:c r="E15" s="14">
        <x:v>3702</x:v>
      </x:c>
      <x:c r="F15" s="14" t="n">
        <x:f>'리그 타자'!E15</x:f>
        <x:v>4188</x:v>
      </x:c>
      <x:c r="G15" s="14" t="n">
        <x:f>'리그 타자'!C15</x:f>
        <x:v>37945</x:v>
      </x:c>
      <x:c r="H15" s="14" t="n">
        <x:f>'리그 타자'!F15</x:f>
        <x:v>8381</x:v>
      </x:c>
      <x:c r="I15" s="14" t="n">
        <x:f>'리그 타자'!G15</x:f>
        <x:v>1425</x:v>
      </x:c>
      <x:c r="J15" s="14" t="n">
        <x:f>'리그 타자'!H15</x:f>
        <x:v>221</x:v>
      </x:c>
      <x:c r="K15" s="14" t="n">
        <x:f>'리그 타자'!I15</x:f>
        <x:v>680</x:v>
      </x:c>
      <x:c r="L15" s="14" t="n">
        <x:f>'리그 타자'!L15</x:f>
        <x:v>3123</x:v>
      </x:c>
      <x:c r="M15" s="14" t="n">
        <x:f>'리그 타자'!M15</x:f>
        <x:v>514</x:v>
      </x:c>
      <x:c r="N15" s="14" t="n">
        <x:f>'리그 타자'!N15</x:f>
        <x:v>161</x:v>
      </x:c>
      <x:c r="O15" s="14">
        <x:v>5599</x:v>
      </x:c>
      <x:c r="P15" s="14">
        <x:f t="shared" si="0"/>
        <x:v>3.705843096544565</x:v>
      </x:c>
      <x:c r="Q15" s="14" t="n">
        <x:f>(('연도별 상수'!Y15*K15)+('연도별 상수'!Z15*(L15+M15)+('연도별 상수'!AA15*O15)))/D15+'연도별 상수'!V15</x:f>
        <x:v>3.7631469672252713</x:v>
      </x:c>
      <x:c r="R15" s="14">
        <x:f t="shared" si="1"/>
        <x:v>4.1923476197538196</x:v>
      </x:c>
    </x:row>
    <x:row r="16">
      <x:c r="A16" s="6">
        <x:v>1996</x:v>
      </x:c>
      <x:c r="B16" s="14">
        <x:v>3051</x:v>
      </x:c>
      <x:c r="C16" s="14">
        <x:v>1008</x:v>
      </x:c>
      <x:c r="D16" s="15" t="n">
        <x:f>9018+2/3</x:f>
        <x:v>9018.666666666666</x:v>
      </x:c>
      <x:c r="E16" s="14">
        <x:v>3693</x:v>
      </x:c>
      <x:c r="F16" s="14" t="n">
        <x:f>'리그 타자'!E16</x:f>
        <x:v>4161</x:v>
      </x:c>
      <x:c r="G16" s="14" t="n">
        <x:f>'리그 타자'!C16</x:f>
        <x:v>38138</x:v>
      </x:c>
      <x:c r="H16" s="14" t="n">
        <x:f>'리그 타자'!F16</x:f>
        <x:v>8342</x:v>
      </x:c>
      <x:c r="I16" s="14" t="n">
        <x:f>'리그 타자'!G16</x:f>
        <x:v>1506</x:v>
      </x:c>
      <x:c r="J16" s="14" t="n">
        <x:f>'리그 타자'!H16</x:f>
        <x:v>197</x:v>
      </x:c>
      <x:c r="K16" s="14" t="n">
        <x:f>'리그 타자'!I16</x:f>
        <x:v>686</x:v>
      </x:c>
      <x:c r="L16" s="14" t="n">
        <x:f>'리그 타자'!L16</x:f>
        <x:v>3307</x:v>
      </x:c>
      <x:c r="M16" s="14" t="n">
        <x:f>'리그 타자'!M16</x:f>
        <x:v>573</x:v>
      </x:c>
      <x:c r="N16" s="14" t="n">
        <x:f>'리그 타자'!N16</x:f>
        <x:v>220</x:v>
      </x:c>
      <x:c r="O16" s="14">
        <x:v>5904</x:v>
      </x:c>
      <x:c r="P16" s="14">
        <x:f t="shared" si="0"/>
        <x:v>3.6853562980484922</x:v>
      </x:c>
      <x:c r="Q16" s="14" t="n">
        <x:f>(('연도별 상수'!Y16*K16)+('연도별 상수'!Z16*(L16+M16)+('연도별 상수'!AA16*O16)))/D16+'연도별 상수'!V16</x:f>
        <x:v>3.763416617386162</x:v>
      </x:c>
      <x:c r="R16" s="14">
        <x:f t="shared" si="1"/>
        <x:v>4.1523876404494384</x:v>
      </x:c>
    </x:row>
    <x:row r="17">
      <x:c r="A17" s="6">
        <x:v>1997</x:v>
      </x:c>
      <x:c r="B17" s="14">
        <x:v>3315</x:v>
      </x:c>
      <x:c r="C17" s="14">
        <x:v>1008</x:v>
      </x:c>
      <x:c r="D17" s="15" t="n">
        <x:f>8948+2/3</x:f>
        <x:v>8948.666666666666</x:v>
      </x:c>
      <x:c r="E17" s="14">
        <x:v>3999</x:v>
      </x:c>
      <x:c r="F17" s="14" t="n">
        <x:f>'리그 타자'!E17</x:f>
        <x:v>4453</x:v>
      </x:c>
      <x:c r="G17" s="14" t="n">
        <x:f>'리그 타자'!C17</x:f>
        <x:v>38142</x:v>
      </x:c>
      <x:c r="H17" s="14" t="n">
        <x:f>'리그 타자'!F17</x:f>
        <x:v>8532</x:v>
      </x:c>
      <x:c r="I17" s="14" t="n">
        <x:f>'리그 타자'!G17</x:f>
        <x:v>1577</x:v>
      </x:c>
      <x:c r="J17" s="14" t="n">
        <x:f>'리그 타자'!H17</x:f>
        <x:v>170</x:v>
      </x:c>
      <x:c r="K17" s="14" t="n">
        <x:f>'리그 타자'!I17</x:f>
        <x:v>834</x:v>
      </x:c>
      <x:c r="L17" s="14" t="n">
        <x:f>'리그 타자'!L17</x:f>
        <x:v>3380</x:v>
      </x:c>
      <x:c r="M17" s="14" t="n">
        <x:f>'리그 타자'!M17</x:f>
        <x:v>566</x:v>
      </x:c>
      <x:c r="N17" s="14" t="n">
        <x:f>'리그 타자'!N17</x:f>
        <x:v>240</x:v>
      </x:c>
      <x:c r="O17" s="14">
        <x:v>5840</x:v>
      </x:c>
      <x:c r="P17" s="14">
        <x:f t="shared" si="0"/>
        <x:v>4.021939953810624</x:v>
      </x:c>
      <x:c r="Q17" s="14" t="n">
        <x:f>(('연도별 상수'!Y17*K17)+('연도별 상수'!Z17*(L17+M17)+('연도별 상수'!AA17*O17)))/D17+'연도별 상수'!V17</x:f>
        <x:v>4.107762795202265</x:v>
      </x:c>
      <x:c r="R17" s="14">
        <x:f t="shared" si="1"/>
        <x:v>4.4785442896520902</x:v>
      </x:c>
    </x:row>
    <x:row r="18">
      <x:c r="A18" s="6">
        <x:v>1998</x:v>
      </x:c>
      <x:c r="B18" s="14">
        <x:v>3330</x:v>
      </x:c>
      <x:c r="C18" s="14">
        <x:v>1008</x:v>
      </x:c>
      <x:c r="D18" s="15" t="n">
        <x:f>8943+1/3</x:f>
        <x:v>8943.333333333334</x:v>
      </x:c>
      <x:c r="E18" s="14">
        <x:v>3967</x:v>
      </x:c>
      <x:c r="F18" s="14" t="n">
        <x:f>'리그 타자'!E18</x:f>
        <x:v>4446</x:v>
      </x:c>
      <x:c r="G18" s="14" t="n">
        <x:f>'리그 타자'!C18</x:f>
        <x:v>38180</x:v>
      </x:c>
      <x:c r="H18" s="14" t="n">
        <x:f>'리그 타자'!F18</x:f>
        <x:v>8745</x:v>
      </x:c>
      <x:c r="I18" s="14" t="n">
        <x:f>'리그 타자'!G18</x:f>
        <x:v>1597</x:v>
      </x:c>
      <x:c r="J18" s="14" t="n">
        <x:f>'리그 타자'!H18</x:f>
        <x:v>172</x:v>
      </x:c>
      <x:c r="K18" s="14" t="n">
        <x:f>'리그 타자'!I18</x:f>
        <x:v>891</x:v>
      </x:c>
      <x:c r="L18" s="14" t="n">
        <x:f>'리그 타자'!L18</x:f>
        <x:v>3163</x:v>
      </x:c>
      <x:c r="M18" s="14" t="n">
        <x:f>'리그 타자'!M18</x:f>
        <x:v>508</x:v>
      </x:c>
      <x:c r="N18" s="14" t="n">
        <x:f>'리그 타자'!N18</x:f>
        <x:v>202</x:v>
      </x:c>
      <x:c r="O18" s="14">
        <x:v>6094</x:v>
      </x:c>
      <x:c r="P18" s="14">
        <x:f t="shared" si="0"/>
        <x:v>3.9921356690272081</x:v>
      </x:c>
      <x:c r="Q18" s="14" t="n">
        <x:f>(('연도별 상수'!Y18*K18)+('연도별 상수'!Z18*(L18+M18)+('연도별 상수'!AA18*O18)))/D18+'연도별 상수'!V18</x:f>
        <x:v>4.064412970555348</x:v>
      </x:c>
      <x:c r="R18" s="14">
        <x:f t="shared" si="1"/>
        <x:v>4.4741707044353332</x:v>
      </x:c>
    </x:row>
    <x:row r="19">
      <x:c r="A19" s="6">
        <x:v>1999</x:v>
      </x:c>
      <x:c r="B19" s="14">
        <x:v>3813</x:v>
      </x:c>
      <x:c r="C19" s="14">
        <x:v>1056</x:v>
      </x:c>
      <x:c r="D19" s="15" t="n">
        <x:f>9406+1/3</x:f>
        <x:v>9406.333333333334</x:v>
      </x:c>
      <x:c r="E19" s="14">
        <x:v>5200</x:v>
      </x:c>
      <x:c r="F19" s="14" t="n">
        <x:f>'리그 타자'!E19</x:f>
        <x:v>5684</x:v>
      </x:c>
      <x:c r="G19" s="14" t="n">
        <x:f>'리그 타자'!C19</x:f>
        <x:v>41598</x:v>
      </x:c>
      <x:c r="H19" s="14" t="n">
        <x:f>'리그 타자'!F19</x:f>
        <x:v>9995</x:v>
      </x:c>
      <x:c r="I19" s="14" t="n">
        <x:f>'리그 타자'!G19</x:f>
        <x:v>1722</x:v>
      </x:c>
      <x:c r="J19" s="14" t="n">
        <x:f>'리그 타자'!H19</x:f>
        <x:v>206</x:v>
      </x:c>
      <x:c r="K19" s="14" t="n">
        <x:f>'리그 타자'!I19</x:f>
        <x:v>1274</x:v>
      </x:c>
      <x:c r="L19" s="14" t="n">
        <x:f>'리그 타자'!L19</x:f>
        <x:v>3796</x:v>
      </x:c>
      <x:c r="M19" s="14" t="n">
        <x:f>'리그 타자'!M19</x:f>
        <x:v>592</x:v>
      </x:c>
      <x:c r="N19" s="14" t="n">
        <x:f>'리그 타자'!N19</x:f>
        <x:v>134</x:v>
      </x:c>
      <x:c r="O19" s="14">
        <x:v>6650</x:v>
      </x:c>
      <x:c r="P19" s="14">
        <x:f t="shared" si="0"/>
        <x:v>4.9753712037988587</x:v>
      </x:c>
      <x:c r="Q19" s="14" t="n">
        <x:f>(('연도별 상수'!Y19*K19)+('연도별 상수'!Z19*(L19+M19)+('연도별 상수'!AA19*O19)))/D19+'연도별 상수'!V19</x:f>
        <x:v>5.0209575108969124</x:v>
      </x:c>
      <x:c r="R19" s="14">
        <x:f t="shared" si="1"/>
        <x:v>5.4384634466139836</x:v>
      </x:c>
    </x:row>
    <x:row r="20">
      <x:c r="A20" s="6">
        <x:v>2000</x:v>
      </x:c>
      <x:c r="B20" s="14">
        <x:v>3658</x:v>
      </x:c>
      <x:c r="C20" s="14">
        <x:v>1064</x:v>
      </x:c>
      <x:c r="D20" s="15">
        <x:v>9475</x:v>
      </x:c>
      <x:c r="E20" s="14">
        <x:v>4885</x:v>
      </x:c>
      <x:c r="F20" s="14" t="n">
        <x:f>'리그 타자'!E20</x:f>
        <x:v>5375</x:v>
      </x:c>
      <x:c r="G20" s="14" t="n">
        <x:f>'리그 타자'!C20</x:f>
        <x:v>41605</x:v>
      </x:c>
      <x:c r="H20" s="14" t="n">
        <x:f>'리그 타자'!F20</x:f>
        <x:v>9792</x:v>
      </x:c>
      <x:c r="I20" s="14" t="n">
        <x:f>'리그 타자'!G20</x:f>
        <x:v>1804</x:v>
      </x:c>
      <x:c r="J20" s="14" t="n">
        <x:f>'리그 타자'!H20</x:f>
        <x:v>159</x:v>
      </x:c>
      <x:c r="K20" s="14" t="n">
        <x:f>'리그 타자'!I20</x:f>
        <x:v>1132</x:v>
      </x:c>
      <x:c r="L20" s="14" t="n">
        <x:f>'리그 타자'!L20</x:f>
        <x:v>3925</x:v>
      </x:c>
      <x:c r="M20" s="14" t="n">
        <x:f>'리그 타자'!M20</x:f>
        <x:v>536</x:v>
      </x:c>
      <x:c r="N20" s="14" t="n">
        <x:f>'리그 타자'!N20</x:f>
        <x:v>133</x:v>
      </x:c>
      <x:c r="O20" s="14">
        <x:v>6913</x:v>
      </x:c>
      <x:c r="P20" s="14">
        <x:f t="shared" si="0"/>
        <x:v>4.6401055408970979</x:v>
      </x:c>
      <x:c r="Q20" s="14" t="n">
        <x:f>(('연도별 상수'!Y20*K20)+('연도별 상수'!Z20*(L20+M20)+('연도별 상수'!AA20*O20)))/D20+'연도별 상수'!V20</x:f>
        <x:v>4.685023746701847</x:v>
      </x:c>
      <x:c r="R20" s="14">
        <x:f t="shared" si="1"/>
        <x:v>5.105540897097625</x:v>
      </x:c>
    </x:row>
    <x:row r="21">
      <x:c r="A21" s="6">
        <x:v>2001</x:v>
      </x:c>
      <x:c r="B21" s="14">
        <x:v>3836</x:v>
      </x:c>
      <x:c r="C21" s="14">
        <x:v>1081</x:v>
      </x:c>
      <x:c r="D21" s="15" t="n">
        <x:f>9561</x:f>
        <x:v>9561</x:v>
      </x:c>
      <x:c r="E21" s="14">
        <x:v>5024</x:v>
      </x:c>
      <x:c r="F21" s="14" t="n">
        <x:f>'리그 타자'!E21</x:f>
        <x:v>5571</x:v>
      </x:c>
      <x:c r="G21" s="14" t="n">
        <x:f>'리그 타자'!C21</x:f>
        <x:v>42503</x:v>
      </x:c>
      <x:c r="H21" s="14" t="n">
        <x:f>'리그 타자'!F21</x:f>
        <x:v>10017</x:v>
      </x:c>
      <x:c r="I21" s="14" t="n">
        <x:f>'리그 타자'!G21</x:f>
        <x:v>1765</x:v>
      </x:c>
      <x:c r="J21" s="14" t="n">
        <x:f>'리그 타자'!H21</x:f>
        <x:v>161</x:v>
      </x:c>
      <x:c r="K21" s="14" t="n">
        <x:f>'리그 타자'!I21</x:f>
        <x:v>1080</x:v>
      </x:c>
      <x:c r="L21" s="14" t="n">
        <x:f>'리그 타자'!L21</x:f>
        <x:v>4397</x:v>
      </x:c>
      <x:c r="M21" s="14" t="n">
        <x:f>'리그 타자'!M21</x:f>
        <x:v>523</x:v>
      </x:c>
      <x:c r="N21" s="14" t="n">
        <x:f>'리그 타자'!N21</x:f>
        <x:v>204</x:v>
      </x:c>
      <x:c r="O21" s="14">
        <x:v>6494</x:v>
      </x:c>
      <x:c r="P21" s="14">
        <x:f t="shared" si="0"/>
        <x:v>4.7292124254785071</x:v>
      </x:c>
      <x:c r="Q21" s="14" t="n">
        <x:f>(('연도별 상수'!Y21*K21)+('연도별 상수'!Z21*(L21+M21)+('연도별 상수'!AA21*O21)))/D21+'연도별 상수'!V21</x:f>
        <x:v>4.797489802321933</x:v>
      </x:c>
      <x:c r="R21" s="14">
        <x:f t="shared" si="1"/>
        <x:v>5.2441167241920299</x:v>
      </x:c>
    </x:row>
    <x:row r="22">
      <x:c r="A22" s="6">
        <x:v>2002</x:v>
      </x:c>
      <x:c r="B22" s="14">
        <x:v>4038</x:v>
      </x:c>
      <x:c r="C22" s="14">
        <x:v>1064</x:v>
      </x:c>
      <x:c r="D22" s="15" t="n">
        <x:f>9484+1/3</x:f>
        <x:v>9484.333333333334</x:v>
      </x:c>
      <x:c r="E22" s="14">
        <x:v>4472</x:v>
      </x:c>
      <x:c r="F22" s="14" t="n">
        <x:f>'리그 타자'!E22</x:f>
        <x:v>4932</x:v>
      </x:c>
      <x:c r="G22" s="14" t="n">
        <x:f>'리그 타자'!C22</x:f>
        <x:v>40986</x:v>
      </x:c>
      <x:c r="H22" s="14" t="n">
        <x:f>'리그 타자'!F22</x:f>
        <x:v>9517</x:v>
      </x:c>
      <x:c r="I22" s="14" t="n">
        <x:f>'리그 타자'!G22</x:f>
        <x:v>1679</x:v>
      </x:c>
      <x:c r="J22" s="14" t="n">
        <x:f>'리그 타자'!H22</x:f>
        <x:v>154</x:v>
      </x:c>
      <x:c r="K22" s="14" t="n">
        <x:f>'리그 타자'!I22</x:f>
        <x:v>1127</x:v>
      </x:c>
      <x:c r="L22" s="14" t="n">
        <x:f>'리그 타자'!L22</x:f>
        <x:v>3388</x:v>
      </x:c>
      <x:c r="M22" s="14" t="n">
        <x:f>'리그 타자'!M22</x:f>
        <x:v>658</x:v>
      </x:c>
      <x:c r="N22" s="14" t="n">
        <x:f>'리그 타자'!N22</x:f>
        <x:v>181</x:v>
      </x:c>
      <x:c r="O22" s="14">
        <x:v>7265</x:v>
      </x:c>
      <x:c r="P22" s="14" t="n">
        <x:f>E22/D22*9</x:f>
        <x:v>4.243629845710469</x:v>
      </x:c>
      <x:c r="Q22" s="14" t="n">
        <x:f>(('연도별 상수'!Y22*K22)+('연도별 상수'!Z22*(L22+M22)+('연도별 상수'!AA22*O22)))/D22+'연도별 상수'!V22</x:f>
        <x:v>4.304698977260745</x:v>
      </x:c>
      <x:c r="R22" s="14" t="n">
        <x:f>F22/D22*9</x:f>
        <x:v>4.6801391768882015</x:v>
      </x:c>
    </x:row>
    <x:row r="23">
      <x:c r="A23" s="6">
        <x:v>2003</x:v>
      </x:c>
      <x:c r="B23" s="14">
        <x:v>4323</x:v>
      </x:c>
      <x:c r="C23" s="14">
        <x:v>1064</x:v>
      </x:c>
      <x:c r="D23" s="15">
        <x:v>9434</x:v>
      </x:c>
      <x:c r="E23" s="14">
        <x:v>4489</x:v>
      </x:c>
      <x:c r="F23" s="14" t="n">
        <x:f>'리그 타자'!E23</x:f>
        <x:v>4933</x:v>
      </x:c>
      <x:c r="G23" s="14" t="n">
        <x:f>'리그 타자'!C23</x:f>
        <x:v>41152</x:v>
      </x:c>
      <x:c r="H23" s="14" t="n">
        <x:f>'리그 타자'!F23</x:f>
        <x:v>9607</x:v>
      </x:c>
      <x:c r="I23" s="14" t="n">
        <x:f>'리그 타자'!G23</x:f>
        <x:v>1715</x:v>
      </x:c>
      <x:c r="J23" s="14" t="n">
        <x:f>'리그 타자'!H23</x:f>
        <x:v>149</x:v>
      </x:c>
      <x:c r="K23" s="14" t="n">
        <x:f>'리그 타자'!I23</x:f>
        <x:v>1063</x:v>
      </x:c>
      <x:c r="L23" s="14" t="n">
        <x:f>'리그 타자'!L23</x:f>
        <x:v>3729</x:v>
      </x:c>
      <x:c r="M23" s="14" t="n">
        <x:f>'리그 타자'!M23</x:f>
        <x:v>605</x:v>
      </x:c>
      <x:c r="N23" s="14" t="n">
        <x:f>'리그 타자'!N23</x:f>
        <x:v>131</x:v>
      </x:c>
      <x:c r="O23" s="14">
        <x:v>6094</x:v>
      </x:c>
      <x:c r="P23" s="14" t="n">
        <x:f t="shared" ref="P23:P46" si="2">E23/D23*9</x:f>
        <x:v>4.28248887004452</x:v>
      </x:c>
      <x:c r="Q23" s="14" t="n">
        <x:f>(('연도별 상수'!Y23*K23)+('연도별 상수'!Z23*(L23+M23)+('연도별 상수'!AA23*O23)))/D23+'연도별 상수'!V23</x:f>
        <x:v>4.326923892304431</x:v>
      </x:c>
      <x:c r="R23" s="14" t="n">
        <x:f t="shared" ref="R23:R46" si="3">F23/D23*9</x:f>
        <x:v>4.706063175747297</x:v>
      </x:c>
    </x:row>
    <x:row r="24">
      <x:c r="A24" s="6">
        <x:v>2004</x:v>
      </x:c>
      <x:c r="B24" s="14">
        <x:v>4338</x:v>
      </x:c>
      <x:c r="C24" s="14">
        <x:v>1064</x:v>
      </x:c>
      <x:c r="D24" s="15" t="n">
        <x:f>9465+2/3</x:f>
        <x:v>9465.666666666666</x:v>
      </x:c>
      <x:c r="E24" s="14">
        <x:v>4531</x:v>
      </x:c>
      <x:c r="F24" s="14" t="n">
        <x:f>'리그 타자'!E24</x:f>
        <x:v>4990</x:v>
      </x:c>
      <x:c r="G24" s="14" t="n">
        <x:f>'리그 타자'!C24</x:f>
        <x:v>41351</x:v>
      </x:c>
      <x:c r="H24" s="14" t="n">
        <x:f>'리그 타자'!F24</x:f>
        <x:v>9541</x:v>
      </x:c>
      <x:c r="I24" s="14" t="n">
        <x:f>'리그 타자'!G24</x:f>
        <x:v>1653</x:v>
      </x:c>
      <x:c r="J24" s="14" t="n">
        <x:f>'리그 타자'!H24</x:f>
        <x:v>121</x:v>
      </x:c>
      <x:c r="K24" s="14" t="n">
        <x:f>'리그 타자'!I24</x:f>
        <x:v>966</x:v>
      </x:c>
      <x:c r="L24" s="14" t="n">
        <x:f>'리그 타자'!L24</x:f>
        <x:v>3883</x:v>
      </x:c>
      <x:c r="M24" s="14" t="n">
        <x:f>'리그 타자'!M24</x:f>
        <x:v>681</x:v>
      </x:c>
      <x:c r="N24" s="14" t="n">
        <x:f>'리그 타자'!N24</x:f>
        <x:v>156</x:v>
      </x:c>
      <x:c r="O24" s="14">
        <x:v>6534</x:v>
      </x:c>
      <x:c r="P24" s="14">
        <x:f t="shared" si="2"/>
        <x:v>4.3080959256259463</x:v>
      </x:c>
      <x:c r="Q24" s="14" t="n">
        <x:f>(('연도별 상수'!Y24*K24)+('연도별 상수'!Z24*(L24+M24)+('연도별 상수'!AA24*O24)))/D24+'연도별 상수'!V24</x:f>
        <x:v>4.360833890903969</x:v>
      </x:c>
      <x:c r="R24" s="14">
        <x:f t="shared" si="3"/>
        <x:v>4.7445152656970802</x:v>
      </x:c>
    </x:row>
    <x:row r="25">
      <x:c r="A25" s="6">
        <x:v>2005</x:v>
      </x:c>
      <x:c r="B25" s="14">
        <x:v>4253</x:v>
      </x:c>
      <x:c r="C25" s="14">
        <x:v>1008</x:v>
      </x:c>
      <x:c r="D25" s="15" t="n">
        <x:f>8945+2/3</x:f>
        <x:v>8945.666666666666</x:v>
      </x:c>
      <x:c r="E25" s="14">
        <x:v>4198</x:v>
      </x:c>
      <x:c r="F25" s="14" t="n">
        <x:f>'리그 타자'!E25</x:f>
        <x:v>4626</x:v>
      </x:c>
      <x:c r="G25" s="14" t="n">
        <x:f>'리그 타자'!C25</x:f>
        <x:v>38976</x:v>
      </x:c>
      <x:c r="H25" s="14" t="n">
        <x:f>'리그 타자'!F25</x:f>
        <x:v>8912</x:v>
      </x:c>
      <x:c r="I25" s="14" t="n">
        <x:f>'리그 타자'!G25</x:f>
        <x:v>1488</x:v>
      </x:c>
      <x:c r="J25" s="14" t="n">
        <x:f>'리그 타자'!H25</x:f>
        <x:v>117</x:v>
      </x:c>
      <x:c r="K25" s="14" t="n">
        <x:f>'리그 타자'!I25</x:f>
        <x:v>876</x:v>
      </x:c>
      <x:c r="L25" s="14" t="n">
        <x:f>'리그 타자'!L25</x:f>
        <x:v>3458</x:v>
      </x:c>
      <x:c r="M25" s="14" t="n">
        <x:f>'리그 타자'!M25</x:f>
        <x:v>711</x:v>
      </x:c>
      <x:c r="N25" s="14" t="n">
        <x:f>'리그 타자'!N25</x:f>
        <x:v>133</x:v>
      </x:c>
      <x:c r="O25" s="14">
        <x:v>6385</x:v>
      </x:c>
      <x:c r="P25" s="14">
        <x:f t="shared" si="2"/>
        <x:v>4.2234974102917615</x:v>
      </x:c>
      <x:c r="Q25" s="14" t="n">
        <x:f>(('연도별 상수'!Y25*K25)+('연도별 상수'!Z25*(L25+M25)+('연도별 상수'!AA25*O25)))/D25+'연도별 상수'!V25</x:f>
        <x:v>4.271073517904386</x:v>
      </x:c>
      <x:c r="R25" s="14">
        <x:f t="shared" si="3"/>
        <x:v>4.6540969556954952</x:v>
      </x:c>
    </x:row>
    <x:row r="26">
      <x:c r="A26" s="6">
        <x:v>2006</x:v>
      </x:c>
      <x:c r="B26" s="14">
        <x:v>3985</x:v>
      </x:c>
      <x:c r="C26" s="14">
        <x:v>1008</x:v>
      </x:c>
      <x:c r="D26" s="15" t="n">
        <x:f>8940+2/3</x:f>
        <x:v>8940.666666666666</x:v>
      </x:c>
      <x:c r="E26" s="14">
        <x:v>3571</x:v>
      </x:c>
      <x:c r="F26" s="14" t="n">
        <x:f>'리그 타자'!E26</x:f>
        <x:v>3981</x:v>
      </x:c>
      <x:c r="G26" s="14" t="n">
        <x:f>'리그 타자'!C26</x:f>
        <x:v>38091</x:v>
      </x:c>
      <x:c r="H26" s="14" t="n">
        <x:f>'리그 타자'!F26</x:f>
        <x:v>8469</x:v>
      </x:c>
      <x:c r="I26" s="14" t="n">
        <x:f>'리그 타자'!G26</x:f>
        <x:v>1423</x:v>
      </x:c>
      <x:c r="J26" s="14" t="n">
        <x:f>'리그 타자'!H26</x:f>
        <x:v>109</x:v>
      </x:c>
      <x:c r="K26" s="14" t="n">
        <x:f>'리그 타자'!I26</x:f>
        <x:v>660</x:v>
      </x:c>
      <x:c r="L26" s="14" t="n">
        <x:f>'리그 타자'!L26</x:f>
        <x:v>3293</x:v>
      </x:c>
      <x:c r="M26" s="14" t="n">
        <x:f>'리그 타자'!M26</x:f>
        <x:v>533</x:v>
      </x:c>
      <x:c r="N26" s="14" t="n">
        <x:f>'리그 타자'!N26</x:f>
        <x:v>133</x:v>
      </x:c>
      <x:c r="O26" s="14">
        <x:v>5899</x:v>
      </x:c>
      <x:c r="P26" s="14">
        <x:f t="shared" si="2"/>
        <x:v>3.5946983819252853</x:v>
      </x:c>
      <x:c r="Q26" s="14" t="n">
        <x:f>(('연도별 상수'!Y26*K26)+('연도별 상수'!Z26*(L26+M26)+('연도별 상수'!AA26*O26)))/D26+'연도별 상수'!V26</x:f>
        <x:v>3.6423010961151294</x:v>
      </x:c>
      <x:c r="R26" s="14">
        <x:f t="shared" si="3"/>
        <x:v>4.0074192826783985</x:v>
      </x:c>
    </x:row>
    <x:row r="27">
      <x:c r="A27" s="6">
        <x:v>2007</x:v>
      </x:c>
      <x:c r="B27" s="14">
        <x:v>4242</x:v>
      </x:c>
      <x:c r="C27" s="14">
        <x:v>1008</x:v>
      </x:c>
      <x:c r="D27" s="15" t="n">
        <x:f>9014+1/3</x:f>
        <x:v>9014.333333333334</x:v>
      </x:c>
      <x:c r="E27" s="14">
        <x:v>3927</x:v>
      </x:c>
      <x:c r="F27" s="14" t="n">
        <x:f>'리그 타자'!E27</x:f>
        <x:v>4306</x:v>
      </x:c>
      <x:c r="G27" s="14" t="n">
        <x:f>'리그 타자'!C27</x:f>
        <x:v>38995</x:v>
      </x:c>
      <x:c r="H27" s="14" t="n">
        <x:f>'리그 타자'!F27</x:f>
        <x:v>8879</x:v>
      </x:c>
      <x:c r="I27" s="14" t="n">
        <x:f>'리그 타자'!G27</x:f>
        <x:v>1532</x:v>
      </x:c>
      <x:c r="J27" s="14" t="n">
        <x:f>'리그 타자'!H27</x:f>
        <x:v>134</x:v>
      </x:c>
      <x:c r="K27" s="14" t="n">
        <x:f>'리그 타자'!I27</x:f>
        <x:v>703</x:v>
      </x:c>
      <x:c r="L27" s="14" t="n">
        <x:f>'리그 타자'!L27</x:f>
        <x:v>3615</x:v>
      </x:c>
      <x:c r="M27" s="14" t="n">
        <x:f>'리그 타자'!M27</x:f>
        <x:v>519</x:v>
      </x:c>
      <x:c r="N27" s="14" t="n">
        <x:f>'리그 타자'!N27</x:f>
        <x:v>191</x:v>
      </x:c>
      <x:c r="O27" s="14">
        <x:v>5631</x:v>
      </x:c>
      <x:c r="P27" s="14">
        <x:f t="shared" si="2"/>
        <x:v>3.9207558333025179</x:v>
      </x:c>
      <x:c r="Q27" s="14" t="n">
        <x:f>(('연도별 상수'!Y27*K27)+('연도별 상수'!Z27*(L27+M27)+('연도별 상수'!AA27*O27)))/D27+'연도별 상수'!V27</x:f>
        <x:v>3.9885589616536627</x:v>
      </x:c>
      <x:c r="R27" s="14">
        <x:f t="shared" si="3"/>
        <x:v>4.2991532004585284</x:v>
      </x:c>
    </x:row>
    <x:row r="28">
      <x:c r="A28" s="6">
        <x:v>2008</x:v>
      </x:c>
      <x:c r="B28" s="14">
        <x:v>4121</x:v>
      </x:c>
      <x:c r="C28" s="14">
        <x:v>1008</x:v>
      </x:c>
      <x:c r="D28" s="15" t="n">
        <x:f>9015+1/3</x:f>
        <x:v>9015.333333333334</x:v>
      </x:c>
      <x:c r="E28" s="14">
        <x:v>4133</x:v>
      </x:c>
      <x:c r="F28" s="14" t="n">
        <x:f>'리그 타자'!E28</x:f>
        <x:v>4522</x:v>
      </x:c>
      <x:c r="G28" s="14" t="n">
        <x:f>'리그 타자'!C28</x:f>
        <x:v>39018</x:v>
      </x:c>
      <x:c r="H28" s="14" t="n">
        <x:f>'리그 타자'!F28</x:f>
        <x:v>9098</x:v>
      </x:c>
      <x:c r="I28" s="14" t="n">
        <x:f>'리그 타자'!G28</x:f>
        <x:v>1512</x:v>
      </x:c>
      <x:c r="J28" s="14" t="n">
        <x:f>'리그 타자'!H28</x:f>
        <x:v>188</x:v>
      </x:c>
      <x:c r="K28" s="14" t="n">
        <x:f>'리그 타자'!I28</x:f>
        <x:v>646</x:v>
      </x:c>
      <x:c r="L28" s="14" t="n">
        <x:f>'리그 타자'!L28</x:f>
        <x:v>3589</x:v>
      </x:c>
      <x:c r="M28" s="14" t="n">
        <x:f>'리그 타자'!M28</x:f>
        <x:v>482</x:v>
      </x:c>
      <x:c r="N28" s="14" t="n">
        <x:f>'리그 타자'!N28</x:f>
        <x:v>123</x:v>
      </x:c>
      <x:c r="O28" s="14">
        <x:v>5771</x:v>
      </x:c>
      <x:c r="P28" s="14">
        <x:f t="shared" si="2"/>
        <x:v>4.1259705686607999</x:v>
      </x:c>
      <x:c r="Q28" s="14" t="n">
        <x:f>(('연도별 상수'!Y28*K28)+('연도별 상수'!Z28*(L28+M28)+('연도별 상수'!AA28*O28)))/D28+'연도별 상수'!V28</x:f>
        <x:v>4.169629520076906</x:v>
      </x:c>
      <x:c r="R28" s="14">
        <x:f t="shared" si="3"/>
        <x:v>4.5143089551135107</x:v>
      </x:c>
    </x:row>
    <x:row r="29">
      <x:c r="A29" s="6">
        <x:v>2009</x:v>
      </x:c>
      <x:c r="B29" s="14">
        <x:v>4389</x:v>
      </x:c>
      <x:c r="C29" s="14">
        <x:v>1064</x:v>
      </x:c>
      <x:c r="D29" s="15" t="n">
        <x:f>9447+2/3</x:f>
        <x:v>9447.666666666666</x:v>
      </x:c>
      <x:c r="E29" s="14">
        <x:v>5048</x:v>
      </x:c>
      <x:c r="F29" s="14" t="n">
        <x:f>'리그 타자'!E29</x:f>
        <x:v>5492</x:v>
      </x:c>
      <x:c r="G29" s="14" t="n">
        <x:f>'리그 타자'!C29</x:f>
        <x:v>41864</x:v>
      </x:c>
      <x:c r="H29" s="14" t="n">
        <x:f>'리그 타자'!F29</x:f>
        <x:v>9938</x:v>
      </x:c>
      <x:c r="I29" s="14" t="n">
        <x:f>'리그 타자'!G29</x:f>
        <x:v>1753</x:v>
      </x:c>
      <x:c r="J29" s="14" t="n">
        <x:f>'리그 타자'!H29</x:f>
        <x:v>158</x:v>
      </x:c>
      <x:c r="K29" s="14" t="n">
        <x:f>'리그 타자'!I29</x:f>
        <x:v>1155</x:v>
      </x:c>
      <x:c r="L29" s="14" t="n">
        <x:f>'리그 타자'!L29</x:f>
        <x:v>4290</x:v>
      </x:c>
      <x:c r="M29" s="14" t="n">
        <x:f>'리그 타자'!M29</x:f>
        <x:v>564</x:v>
      </x:c>
      <x:c r="N29" s="14" t="n">
        <x:f>'리그 타자'!N29</x:f>
        <x:v>164</x:v>
      </x:c>
      <x:c r="O29" s="14">
        <x:v>6939</x:v>
      </x:c>
      <x:c r="P29" s="14">
        <x:f t="shared" si="2"/>
        <x:v>4.8088064072257701</x:v>
      </x:c>
      <x:c r="Q29" s="14" t="n">
        <x:f>(('연도별 상수'!Y29*K29)+('연도별 상수'!Z29*(L29+M29)+('연도별 상수'!AA29*O29)))/D29+'연도별 상수'!V29</x:f>
        <x:v>4.864354514342166</x:v>
      </x:c>
      <x:c r="R29" s="14">
        <x:f t="shared" si="3"/>
        <x:v>5.2317679850403991</x:v>
      </x:c>
    </x:row>
    <x:row r="30">
      <x:c r="A30" s="6">
        <x:v>2010</x:v>
      </x:c>
      <x:c r="B30" s="14">
        <x:v>4560</x:v>
      </x:c>
      <x:c r="C30" s="14">
        <x:v>1064</x:v>
      </x:c>
      <x:c r="D30" s="15" t="n">
        <x:f>9492+1/3</x:f>
        <x:v>9492.333333333334</x:v>
      </x:c>
      <x:c r="E30" s="14">
        <x:v>4847</x:v>
      </x:c>
      <x:c r="F30" s="14" t="n">
        <x:f>'리그 타자'!E30</x:f>
        <x:v>5301</x:v>
      </x:c>
      <x:c r="G30" s="14" t="n">
        <x:f>'리그 타자'!C30</x:f>
        <x:v>41597</x:v>
      </x:c>
      <x:c r="H30" s="14" t="n">
        <x:f>'리그 타자'!F30</x:f>
        <x:v>9681</x:v>
      </x:c>
      <x:c r="I30" s="14" t="n">
        <x:f>'리그 타자'!G30</x:f>
        <x:v>1650</x:v>
      </x:c>
      <x:c r="J30" s="14" t="n">
        <x:f>'리그 타자'!H30</x:f>
        <x:v>138</x:v>
      </x:c>
      <x:c r="K30" s="14" t="n">
        <x:f>'리그 타자'!I30</x:f>
        <x:v>990</x:v>
      </x:c>
      <x:c r="L30" s="14" t="n">
        <x:f>'리그 타자'!L30</x:f>
        <x:v>4045</x:v>
      </x:c>
      <x:c r="M30" s="14" t="n">
        <x:f>'리그 타자'!M30</x:f>
        <x:v>616</x:v>
      </x:c>
      <x:c r="N30" s="14" t="n">
        <x:f>'리그 타자'!N30</x:f>
        <x:v>161</x:v>
      </x:c>
      <x:c r="O30" s="14">
        <x:v>7025</x:v>
      </x:c>
      <x:c r="P30" s="14">
        <x:f t="shared" si="2"/>
        <x:v>4.595603469466587</x:v>
      </x:c>
      <x:c r="Q30" s="14" t="n">
        <x:f>(('연도별 상수'!Y30*K30)+('연도별 상수'!Z30*(L30+M30)+('연도별 상수'!AA30*O30)))/D30+'연도별 상수'!V30</x:f>
        <x:v>4.64987884959792</x:v>
      </x:c>
      <x:c r="R30" s="14">
        <x:f t="shared" si="3"/>
        <x:v>5.0260561154615999</x:v>
      </x:c>
    </x:row>
    <x:row r="31">
      <x:c r="A31" s="6">
        <x:v>2011</x:v>
      </x:c>
      <x:c r="B31" s="14">
        <x:v>4425</x:v>
      </x:c>
      <x:c r="C31" s="14">
        <x:v>1064</x:v>
      </x:c>
      <x:c r="D31" s="15">
        <x:v>9468</x:v>
      </x:c>
      <x:c r="E31" s="14">
        <x:v>4374</x:v>
      </x:c>
      <x:c r="F31" s="14" t="n">
        <x:f>'리그 타자'!E31</x:f>
        <x:v>4822</x:v>
      </x:c>
      <x:c r="G31" s="14" t="n">
        <x:f>'리그 타자'!C31</x:f>
        <x:v>41068</x:v>
      </x:c>
      <x:c r="H31" s="14" t="n">
        <x:f>'리그 타자'!F31</x:f>
        <x:v>9409</x:v>
      </x:c>
      <x:c r="I31" s="14" t="n">
        <x:f>'리그 타자'!G31</x:f>
        <x:v>1562</x:v>
      </x:c>
      <x:c r="J31" s="14" t="n">
        <x:f>'리그 타자'!H31</x:f>
        <x:v>162</x:v>
      </x:c>
      <x:c r="K31" s="14" t="n">
        <x:f>'리그 타자'!I31</x:f>
        <x:v>770</x:v>
      </x:c>
      <x:c r="L31" s="14" t="n">
        <x:f>'리그 타자'!L31</x:f>
        <x:v>3936</x:v>
      </x:c>
      <x:c r="M31" s="14" t="n">
        <x:f>'리그 타자'!M31</x:f>
        <x:v>514</x:v>
      </x:c>
      <x:c r="N31" s="14" t="n">
        <x:f>'리그 타자'!N31</x:f>
        <x:v>130</x:v>
      </x:c>
      <x:c r="O31" s="14">
        <x:v>7004</x:v>
      </x:c>
      <x:c r="P31" s="14">
        <x:f t="shared" si="2"/>
        <x:v>4.1577946768060841</x:v>
      </x:c>
      <x:c r="Q31" s="14" t="n">
        <x:f>(('연도별 상수'!Y31*K31)+('연도별 상수'!Z31*(L31+M31)+('연도별 상수'!AA31*O31)))/D31+'연도별 상수'!V31</x:f>
        <x:v>4.201732150401352</x:v>
      </x:c>
      <x:c r="R31" s="14">
        <x:f t="shared" si="3"/>
        <x:v>4.5836501901140689</x:v>
      </x:c>
    </x:row>
    <x:row r="32">
      <x:c r="A32" s="6">
        <x:v>2012</x:v>
      </x:c>
      <x:c r="B32" s="14">
        <x:v>4336</x:v>
      </x:c>
      <x:c r="C32" s="14">
        <x:v>1064</x:v>
      </x:c>
      <x:c r="D32" s="15">
        <x:v>9498</x:v>
      </x:c>
      <x:c r="E32" s="14">
        <x:v>4036</x:v>
      </x:c>
      <x:c r="F32" s="14" t="n">
        <x:f>'리그 타자'!E32</x:f>
        <x:v>4380</x:v>
      </x:c>
      <x:c r="G32" s="14" t="n">
        <x:f>'리그 타자'!C32</x:f>
        <x:v>40527</x:v>
      </x:c>
      <x:c r="H32" s="14" t="n">
        <x:f>'리그 타자'!F32</x:f>
        <x:v>9072</x:v>
      </x:c>
      <x:c r="I32" s="14" t="n">
        <x:f>'리그 타자'!G32</x:f>
        <x:v>1577</x:v>
      </x:c>
      <x:c r="J32" s="14" t="n">
        <x:f>'리그 타자'!H32</x:f>
        <x:v>160</x:v>
      </x:c>
      <x:c r="K32" s="14" t="n">
        <x:f>'리그 타자'!I32</x:f>
        <x:v>615</x:v>
      </x:c>
      <x:c r="L32" s="14" t="n">
        <x:f>'리그 타자'!L32</x:f>
        <x:v>3698</x:v>
      </x:c>
      <x:c r="M32" s="14" t="n">
        <x:f>'리그 타자'!M32</x:f>
        <x:v>498</x:v>
      </x:c>
      <x:c r="N32" s="14" t="n">
        <x:f>'리그 타자'!N32</x:f>
        <x:v>140</x:v>
      </x:c>
      <x:c r="O32" s="14">
        <x:v>6672</x:v>
      </x:c>
      <x:c r="P32" s="14">
        <x:f t="shared" si="2"/>
        <x:v>3.8243840808591285</x:v>
      </x:c>
      <x:c r="Q32" s="14" t="n">
        <x:f>(('연도별 상수'!Y32*K32)+('연도별 상수'!Z32*(L32+M32)+('연도별 상수'!AA32*O32)))/D32+'연도별 상수'!V32</x:f>
        <x:v>3.871551905664351</x:v>
      </x:c>
      <x:c r="R32" s="14">
        <x:f t="shared" si="3"/>
        <x:v>4.1503474415666455</x:v>
      </x:c>
    </x:row>
    <x:row r="33">
      <x:c r="A33" s="6">
        <x:v>2013</x:v>
      </x:c>
      <x:c r="B33" s="14">
        <x:v>4823</x:v>
      </x:c>
      <x:c r="C33" s="14">
        <x:v>1152</x:v>
      </x:c>
      <x:c r="D33" s="15">
        <x:v>10282</x:v>
      </x:c>
      <x:c r="E33" s="14">
        <x:v>4935</x:v>
      </x:c>
      <x:c r="F33" s="14" t="n">
        <x:f>'리그 타자'!E33</x:f>
        <x:v>5353</x:v>
      </x:c>
      <x:c r="G33" s="14" t="n">
        <x:f>'리그 타자'!C33</x:f>
        <x:v>44893</x:v>
      </x:c>
      <x:c r="H33" s="14" t="n">
        <x:f>'리그 타자'!F33</x:f>
        <x:v>10411</x:v>
      </x:c>
      <x:c r="I33" s="14" t="n">
        <x:f>'리그 타자'!G33</x:f>
        <x:v>1845</x:v>
      </x:c>
      <x:c r="J33" s="14" t="n">
        <x:f>'리그 타자'!H33</x:f>
        <x:v>192</x:v>
      </x:c>
      <x:c r="K33" s="14" t="n">
        <x:f>'리그 타자'!I33</x:f>
        <x:v>798</x:v>
      </x:c>
      <x:c r="L33" s="14" t="n">
        <x:f>'리그 타자'!L33</x:f>
        <x:v>4351</x:v>
      </x:c>
      <x:c r="M33" s="14" t="n">
        <x:f>'리그 타자'!M33</x:f>
        <x:v>703</x:v>
      </x:c>
      <x:c r="N33" s="14" t="n">
        <x:f>'리그 타자'!N33</x:f>
        <x:v>129</x:v>
      </x:c>
      <x:c r="O33" s="14">
        <x:v>7785</x:v>
      </x:c>
      <x:c r="P33" s="14">
        <x:f t="shared" si="2"/>
        <x:v>4.3196848862089086</x:v>
      </x:c>
      <x:c r="Q33" s="14" t="n">
        <x:f>(('연도별 상수'!Y33*K33)+('연도별 상수'!Z33*(L33+M33)+('연도별 상수'!AA33*O33)))/D33+'연도별 상수'!V33</x:f>
        <x:v>4.359832717370161</x:v>
      </x:c>
      <x:c r="R33" s="14">
        <x:f t="shared" si="3"/>
        <x:v>4.6855670103092786</x:v>
      </x:c>
      <x:c r="S33" s="14">
        <x:v>30576</x:v>
      </x:c>
      <x:c r="T33" s="14" t="n">
        <x:f t="shared" ref="T33:U44" si="4">ROUND($S33*X33/100,0)</x:f>
        <x:v>14768</x:v>
      </x:c>
      <x:c r="U33" s="14">
        <x:f t="shared" si="4"/>
        <x:v>14860</x:v>
      </x:c>
      <x:c r="V33" s="14" t="n">
        <x:f>ROUND(P33-(-16.986*O33/G33+11.434*L33/G33-1.858*T33/G33+7.653*(O33/G33)^2-6.664*T33/G33*O33/G33+7.374*T33/G33*L33/G33-7.706*(L33/G33)^2),4)</x:f>
        <x:v>6.7556</x:v>
      </x:c>
      <x:c r="W33" s="14">
        <x:v>5.0999999999999996</x:v>
      </x:c>
      <x:c r="X33" s="14">
        <x:v>48.3</x:v>
      </x:c>
      <x:c r="Y33" s="14">
        <x:v>48.6</x:v>
      </x:c>
      <x:c r="Z33" s="14" t="n">
        <x:f>100-X33-Y33</x:f>
        <x:v>3.1000000000000014</x:v>
      </x:c>
    </x:row>
    <x:row r="34">
      <x:c r="A34" s="6">
        <x:v>2014</x:v>
      </x:c>
      <x:c r="B34" s="14">
        <x:v>4934</x:v>
      </x:c>
      <x:c r="C34" s="14">
        <x:v>1152</x:v>
      </x:c>
      <x:c r="D34" s="15">
        <x:v>10191</x:v>
      </x:c>
      <x:c r="E34" s="14">
        <x:v>5904</x:v>
      </x:c>
      <x:c r="F34" s="14" t="n">
        <x:f>'리그 타자'!E34</x:f>
        <x:v>6477</x:v>
      </x:c>
      <x:c r="G34" s="14" t="n">
        <x:f>'리그 타자'!C34</x:f>
        <x:v>45853</x:v>
      </x:c>
      <x:c r="H34" s="14" t="n">
        <x:f>'리그 타자'!F34</x:f>
        <x:v>11533</x:v>
      </x:c>
      <x:c r="I34" s="14" t="n">
        <x:f>'리그 타자'!G34</x:f>
        <x:v>2155</x:v>
      </x:c>
      <x:c r="J34" s="14" t="n">
        <x:f>'리그 타자'!H34</x:f>
        <x:v>237</x:v>
      </x:c>
      <x:c r="K34" s="14" t="n">
        <x:f>'리그 타자'!I34</x:f>
        <x:v>1162</x:v>
      </x:c>
      <x:c r="L34" s="14" t="n">
        <x:f>'리그 타자'!L34</x:f>
        <x:v>4351</x:v>
      </x:c>
      <x:c r="M34" s="14" t="n">
        <x:f>'리그 타자'!M34</x:f>
        <x:v>617</x:v>
      </x:c>
      <x:c r="N34" s="14" t="n">
        <x:f>'리그 타자'!N34</x:f>
        <x:v>104</x:v>
      </x:c>
      <x:c r="O34" s="14">
        <x:v>7657</x:v>
      </x:c>
      <x:c r="P34" s="14">
        <x:f t="shared" si="2"/>
        <x:v>5.2140123638504567</x:v>
      </x:c>
      <x:c r="Q34" s="14" t="n">
        <x:f>(('연도별 상수'!Y34*K34)+('연도별 상수'!Z34*(L34+M34)+('연도별 상수'!AA34*O34)))/D34+'연도별 상수'!V34</x:f>
        <x:v>5.2466686291826115</x:v>
      </x:c>
      <x:c r="R34" s="14">
        <x:f t="shared" si="3"/>
        <x:v>5.7200471003826907</x:v>
      </x:c>
      <x:c r="S34" s="14">
        <x:v>31456</x:v>
      </x:c>
      <x:c r="T34" s="14">
        <x:f t="shared" si="4"/>
        <x:v>14816</x:v>
      </x:c>
      <x:c r="U34" s="14">
        <x:f t="shared" si="4"/>
        <x:v>14942</x:v>
      </x:c>
      <x:c r="V34" s="14" t="n">
        <x:f t="shared" ref="V34:V46" si="5">ROUND(P34-(-16.986*O34/G34+11.434*L34/G34-1.858*T34/G34+7.653*(O34/G34)^2-6.664*T34/G34*O34/G34+7.374*T34/G34*L34/G34-7.706*(L34/G34)^2),4)</x:f>
        <x:v>7.5553</x:v>
      </x:c>
      <x:c r="W34" s="14">
        <x:v>7.4</x:v>
      </x:c>
      <x:c r="X34" s="14">
        <x:v>47.1</x:v>
      </x:c>
      <x:c r="Y34" s="14">
        <x:v>47.5</x:v>
      </x:c>
      <x:c r="Z34" s="14" t="n">
        <x:f t="shared" ref="Z34:Z46" si="6">100-X34-Y34</x:f>
        <x:v>5.399999999999999</x:v>
      </x:c>
    </x:row>
    <x:row r="35">
      <x:c r="A35" s="6">
        <x:v>2015</x:v>
      </x:c>
      <x:c r="B35" s="14">
        <x:v>6228</x:v>
      </x:c>
      <x:c r="C35" s="14">
        <x:v>1440</x:v>
      </x:c>
      <x:c r="D35" s="15" t="n">
        <x:f>12787+2/3</x:f>
        <x:v>12787.666666666666</x:v>
      </x:c>
      <x:c r="E35" s="14">
        <x:v>6925</x:v>
      </x:c>
      <x:c r="F35" s="14" t="n">
        <x:f>'리그 타자'!E35</x:f>
        <x:v>7598</x:v>
      </x:c>
      <x:c r="G35" s="14" t="n">
        <x:f>'리그 타자'!C35</x:f>
        <x:v>56742</x:v>
      </x:c>
      <x:c r="H35" s="14" t="n">
        <x:f>'리그 타자'!F35</x:f>
        <x:v>13804</x:v>
      </x:c>
      <x:c r="I35" s="14" t="n">
        <x:f>'리그 타자'!G35</x:f>
        <x:v>2482</x:v>
      </x:c>
      <x:c r="J35" s="14" t="n">
        <x:f>'리그 타자'!H35</x:f>
        <x:v>202</x:v>
      </x:c>
      <x:c r="K35" s="14" t="n">
        <x:f>'리그 타자'!I35</x:f>
        <x:v>1511</x:v>
      </x:c>
      <x:c r="L35" s="14" t="n">
        <x:f>'리그 타자'!L35</x:f>
        <x:v>5254</x:v>
      </x:c>
      <x:c r="M35" s="14" t="n">
        <x:f>'리그 타자'!M35</x:f>
        <x:v>871</x:v>
      </x:c>
      <x:c r="N35" s="14" t="n">
        <x:f>'리그 타자'!N35</x:f>
        <x:v>211</x:v>
      </x:c>
      <x:c r="O35" s="14">
        <x:v>10553</x:v>
      </x:c>
      <x:c r="P35" s="14">
        <x:f t="shared" si="2"/>
        <x:v>4.8738367698042389</x:v>
      </x:c>
      <x:c r="Q35" s="14" t="n">
        <x:f>(('연도별 상수'!Y35*K35)+('연도별 상수'!Z35*(L35+M35)+('연도별 상수'!AA35*O35)))/D35+'연도별 상수'!V35</x:f>
        <x:v>4.92663764564815</x:v>
      </x:c>
      <x:c r="R35" s="14">
        <x:f t="shared" si="3"/>
        <x:v>5.3474962854834081</x:v>
      </x:c>
      <x:c r="S35" s="14">
        <x:v>37716</x:v>
      </x:c>
      <x:c r="T35" s="14">
        <x:f t="shared" si="4"/>
        <x:v>18141</x:v>
      </x:c>
      <x:c r="U35" s="14">
        <x:f t="shared" si="4"/>
        <x:v>17123</x:v>
      </x:c>
      <x:c r="V35" s="14">
        <x:f t="shared" si="5"/>
        <x:v>7.5475000000000003</x:v>
      </x:c>
      <x:c r="W35" s="14">
        <x:v>8.3000000000000007</x:v>
      </x:c>
      <x:c r="X35" s="14">
        <x:v>48.1</x:v>
      </x:c>
      <x:c r="Y35" s="14">
        <x:v>45.4</x:v>
      </x:c>
      <x:c r="Z35" s="14">
        <x:f t="shared" si="6"/>
        <x:v>6.5</x:v>
      </x:c>
    </x:row>
    <x:row r="36">
      <x:c r="A36" s="6">
        <x:v>2016</x:v>
      </x:c>
      <x:c r="B36" s="14">
        <x:v>6413</x:v>
      </x:c>
      <x:c r="C36" s="14">
        <x:v>1440</x:v>
      </x:c>
      <x:c r="D36" s="15" t="n">
        <x:f>12806+1/3</x:f>
        <x:v>12806.333333333334</x:v>
      </x:c>
      <x:c r="E36" s="14">
        <x:v>7357</x:v>
      </x:c>
      <x:c r="F36" s="14" t="n">
        <x:f>'리그 타자'!E36</x:f>
        <x:v>8074</x:v>
      </x:c>
      <x:c r="G36" s="14" t="n">
        <x:f>'리그 타자'!C36</x:f>
        <x:v>57614</x:v>
      </x:c>
      <x:c r="H36" s="14" t="n">
        <x:f>'리그 타자'!F36</x:f>
        <x:v>14560</x:v>
      </x:c>
      <x:c r="I36" s="14" t="n">
        <x:f>'리그 타자'!G36</x:f>
        <x:v>2480</x:v>
      </x:c>
      <x:c r="J36" s="14" t="n">
        <x:f>'리그 타자'!H36</x:f>
        <x:v>248</x:v>
      </x:c>
      <x:c r="K36" s="14" t="n">
        <x:f>'리그 타자'!I36</x:f>
        <x:v>1483</x:v>
      </x:c>
      <x:c r="L36" s="14" t="n">
        <x:f>'리그 타자'!L36</x:f>
        <x:v>5373</x:v>
      </x:c>
      <x:c r="M36" s="14" t="n">
        <x:f>'리그 타자'!M36</x:f>
        <x:v>800</x:v>
      </x:c>
      <x:c r="N36" s="14" t="n">
        <x:f>'리그 타자'!N36</x:f>
        <x:v>140</x:v>
      </x:c>
      <x:c r="O36" s="14">
        <x:v>9743</x:v>
      </x:c>
      <x:c r="P36" s="14">
        <x:f t="shared" si="2"/>
        <x:v>5.1703323876207081</x:v>
      </x:c>
      <x:c r="Q36" s="14" t="n">
        <x:f>(('연도별 상수'!Y36*K36)+('연도별 상수'!Z36*(L36+M36)+('연도별 상수'!AA36*O36)))/D36+'연도별 상수'!V36</x:f>
        <x:v>5.2053150784767945</x:v>
      </x:c>
      <x:c r="R36" s="14">
        <x:f t="shared" si="3"/>
        <x:v>5.6742236914026911</x:v>
      </x:c>
      <x:c r="S36" s="14">
        <x:v>39562</x:v>
      </x:c>
      <x:c r="T36" s="14">
        <x:f t="shared" si="4"/>
        <x:v>18871</x:v>
      </x:c>
      <x:c r="U36" s="14">
        <x:f t="shared" si="4"/>
        <x:v>18396</x:v>
      </x:c>
      <x:c r="V36" s="14">
        <x:f t="shared" si="5"/>
        <x:v>7.5770999999999997</x:v>
      </x:c>
      <x:c r="W36" s="14">
        <x:v>7.6</x:v>
      </x:c>
      <x:c r="X36" s="14">
        <x:v>47.7</x:v>
      </x:c>
      <x:c r="Y36" s="14">
        <x:v>46.5</x:v>
      </x:c>
      <x:c r="Z36" s="14">
        <x:f t="shared" si="6"/>
        <x:v>5.7999999999999972</x:v>
      </x:c>
    </x:row>
    <x:row r="37">
      <x:c r="A37" s="6">
        <x:v>2017</x:v>
      </x:c>
      <x:c r="B37" s="14">
        <x:v>6031</x:v>
      </x:c>
      <x:c r="C37" s="14">
        <x:v>1440</x:v>
      </x:c>
      <x:c r="D37" s="15">
        <x:v>12781</x:v>
      </x:c>
      <x:c r="E37" s="14">
        <x:v>7056</x:v>
      </x:c>
      <x:c r="F37" s="14" t="n">
        <x:f>'리그 타자'!E37</x:f>
        <x:v>7682</x:v>
      </x:c>
      <x:c r="G37" s="14" t="n">
        <x:f>'리그 타자'!C37</x:f>
        <x:v>56882</x:v>
      </x:c>
      <x:c r="H37" s="14" t="n">
        <x:f>'리그 타자'!F37</x:f>
        <x:v>14397</x:v>
      </x:c>
      <x:c r="I37" s="14" t="n">
        <x:f>'리그 타자'!G37</x:f>
        <x:v>2584</x:v>
      </x:c>
      <x:c r="J37" s="14" t="n">
        <x:f>'리그 타자'!H37</x:f>
        <x:v>219</x:v>
      </x:c>
      <x:c r="K37" s="14" t="n">
        <x:f>'리그 타자'!I37</x:f>
        <x:v>1547</x:v>
      </x:c>
      <x:c r="L37" s="14" t="n">
        <x:f>'리그 타자'!L37</x:f>
        <x:v>4520</x:v>
      </x:c>
      <x:c r="M37" s="14" t="n">
        <x:f>'리그 타자'!M37</x:f>
        <x:v>953</x:v>
      </x:c>
      <x:c r="N37" s="14" t="n">
        <x:f>'리그 타자'!N37</x:f>
        <x:v>185</x:v>
      </x:c>
      <x:c r="O37" s="14">
        <x:v>10009</x:v>
      </x:c>
      <x:c r="P37" s="14">
        <x:f t="shared" si="2"/>
        <x:v>4.9686253031844139</x:v>
      </x:c>
      <x:c r="Q37" s="14" t="n">
        <x:f>(('연도별 상수'!Y37*K37)+('연도별 상수'!Z37*(L37+M37)+('연도별 상수'!AA37*O37)))/D37+'연도별 상수'!V37</x:f>
        <x:v>5.0149440575854785</x:v>
      </x:c>
      <x:c r="R37" s="14">
        <x:f t="shared" si="3"/>
        <x:v>5.4094358813864325</x:v>
      </x:c>
      <x:c r="S37" s="14">
        <x:v>39253</x:v>
      </x:c>
      <x:c r="T37" s="14">
        <x:f t="shared" si="4"/>
        <x:v>18213</x:v>
      </x:c>
      <x:c r="U37" s="14">
        <x:f t="shared" si="4"/>
        <x:v>18056</x:v>
      </x:c>
      <x:c r="V37" s="14">
        <x:f t="shared" si="5"/>
        <x:v>7.6433999999999997</x:v>
      </x:c>
      <x:c r="W37" s="14">
        <x:v>8.1</x:v>
      </x:c>
      <x:c r="X37" s="14">
        <x:v>46.4</x:v>
      </x:c>
      <x:c r="Y37" s="14">
        <x:v>46</x:v>
      </x:c>
      <x:c r="Z37" s="14">
        <x:f t="shared" si="6"/>
        <x:v>7.6000000000000014</x:v>
      </x:c>
    </x:row>
    <x:row r="38">
      <x:c r="A38" s="6">
        <x:v>2018</x:v>
      </x:c>
      <x:c r="B38" s="14">
        <x:v>6257</x:v>
      </x:c>
      <x:c r="C38" s="14">
        <x:v>1440</x:v>
      </x:c>
      <x:c r="D38" s="15">
        <x:v>12766</x:v>
      </x:c>
      <x:c r="E38" s="14">
        <x:v>7337</x:v>
      </x:c>
      <x:c r="F38" s="14" t="n">
        <x:f>'리그 타자'!E38</x:f>
        <x:v>7994</x:v>
      </x:c>
      <x:c r="G38" s="14" t="n">
        <x:f>'리그 타자'!C38</x:f>
        <x:v>56903</x:v>
      </x:c>
      <x:c r="H38" s="14" t="n">
        <x:f>'리그 타자'!F38</x:f>
        <x:v>14445</x:v>
      </x:c>
      <x:c r="I38" s="14" t="n">
        <x:f>'리그 타자'!G38</x:f>
        <x:v>2639</x:v>
      </x:c>
      <x:c r="J38" s="14" t="n">
        <x:f>'리그 타자'!H38</x:f>
        <x:v>187</x:v>
      </x:c>
      <x:c r="K38" s="14" t="n">
        <x:f>'리그 타자'!I38</x:f>
        <x:v>1756</x:v>
      </x:c>
      <x:c r="L38" s="14" t="n">
        <x:f>'리그 타자'!L38</x:f>
        <x:v>4622</x:v>
      </x:c>
      <x:c r="M38" s="14" t="n">
        <x:f>'리그 타자'!M38</x:f>
        <x:v>860</x:v>
      </x:c>
      <x:c r="N38" s="14" t="n">
        <x:f>'리그 타자'!N38</x:f>
        <x:v>170</x:v>
      </x:c>
      <x:c r="O38" s="14">
        <x:v>10688</x:v>
      </x:c>
      <x:c r="P38" s="14">
        <x:f t="shared" si="2"/>
        <x:v>5.1725677581074727</x:v>
      </x:c>
      <x:c r="Q38" s="14" t="n">
        <x:f>(('연도별 상수'!Y38*K38)+('연도별 상수'!Z38*(L38+M38)+('연도별 상수'!AA38*O38)))/D38+'연도별 상수'!V38</x:f>
        <x:v>5.215180949396835</x:v>
      </x:c>
      <x:c r="R38" s="14">
        <x:f t="shared" si="3"/>
        <x:v>5.63575121416262</x:v>
      </x:c>
      <x:c r="S38" s="14">
        <x:v>38531</x:v>
      </x:c>
      <x:c r="T38" s="14">
        <x:f t="shared" si="4"/>
        <x:v>17377</x:v>
      </x:c>
      <x:c r="U38" s="14">
        <x:f t="shared" si="4"/>
        <x:v>17801</x:v>
      </x:c>
      <x:c r="V38" s="14">
        <x:f t="shared" si="5"/>
        <x:v>7.9819000000000004</x:v>
      </x:c>
      <x:c r="W38" s="14">
        <x:v>9.3000000000000007</x:v>
      </x:c>
      <x:c r="X38" s="14">
        <x:v>45.1</x:v>
      </x:c>
      <x:c r="Y38" s="14">
        <x:v>46.2</x:v>
      </x:c>
      <x:c r="Z38" s="14">
        <x:f t="shared" si="6"/>
        <x:v>8.6999999999999957</x:v>
      </x:c>
    </x:row>
    <x:row r="39">
      <x:c r="A39" s="6">
        <x:v>2019</x:v>
      </x:c>
      <x:c r="B39" s="14">
        <x:v>6215</x:v>
      </x:c>
      <x:c r="C39" s="14">
        <x:v>1440</x:v>
      </x:c>
      <x:c r="D39" s="15" t="n">
        <x:f>12778+2/3</x:f>
        <x:v>12778.666666666666</x:v>
      </x:c>
      <x:c r="E39" s="14">
        <x:v>5914</x:v>
      </x:c>
      <x:c r="F39" s="14" t="n">
        <x:f>'리그 타자'!E39</x:f>
        <x:v>6548</x:v>
      </x:c>
      <x:c r="G39" s="14" t="n">
        <x:f>'리그 타자'!C39</x:f>
        <x:v>55627</x:v>
      </x:c>
      <x:c r="H39" s="14" t="n">
        <x:f>'리그 타자'!F39</x:f>
        <x:v>13145</x:v>
      </x:c>
      <x:c r="I39" s="14" t="n">
        <x:f>'리그 타자'!G39</x:f>
        <x:v>2288</x:v>
      </x:c>
      <x:c r="J39" s="14" t="n">
        <x:f>'리그 타자'!H39</x:f>
        <x:v>227</x:v>
      </x:c>
      <x:c r="K39" s="14" t="n">
        <x:f>'리그 타자'!I39</x:f>
        <x:v>1014</x:v>
      </x:c>
      <x:c r="L39" s="14" t="n">
        <x:f>'리그 타자'!L39</x:f>
        <x:v>4749</x:v>
      </x:c>
      <x:c r="M39" s="14" t="n">
        <x:f>'리그 타자'!M39</x:f>
        <x:v>711</x:v>
      </x:c>
      <x:c r="N39" s="14" t="n">
        <x:f>'리그 타자'!N39</x:f>
        <x:v>147</x:v>
      </x:c>
      <x:c r="O39" s="14">
        <x:v>9595</x:v>
      </x:c>
      <x:c r="P39" s="14">
        <x:f t="shared" si="2"/>
        <x:v>4.1652232888146914</x:v>
      </x:c>
      <x:c r="Q39" s="14" t="n">
        <x:f>(('연도별 상수'!Y39*K39)+('연도별 상수'!Z39*(L39+M39)+('연도별 상수'!AA39*O39)))/D39+'연도별 상수'!V39</x:f>
        <x:v>4.2020346410684475</x:v>
      </x:c>
      <x:c r="R39" s="14">
        <x:f t="shared" si="3"/>
        <x:v>4.6117487479131887</x:v>
      </x:c>
      <x:c r="S39" s="14">
        <x:v>39124</x:v>
      </x:c>
      <x:c r="T39" s="14">
        <x:f t="shared" si="4"/>
        <x:v>18114</x:v>
      </x:c>
      <x:c r="U39" s="14">
        <x:f t="shared" si="4"/>
        <x:v>18780</x:v>
      </x:c>
      <x:c r="V39" s="14">
        <x:f t="shared" si="5"/>
        <x:v>6.7218</x:v>
      </x:c>
      <x:c r="W39" s="14">
        <x:v>5.2</x:v>
      </x:c>
      <x:c r="X39" s="14">
        <x:v>46.3</x:v>
      </x:c>
      <x:c r="Y39" s="14">
        <x:v>48</x:v>
      </x:c>
      <x:c r="Z39" s="14">
        <x:f t="shared" si="6"/>
        <x:v>5.7000000000000028</x:v>
      </x:c>
    </x:row>
    <x:row r="40">
      <x:c r="A40" s="6">
        <x:v>2020</x:v>
      </x:c>
      <x:c r="B40" s="14">
        <x:v>6857</x:v>
      </x:c>
      <x:c r="C40" s="14">
        <x:v>1440</x:v>
      </x:c>
      <x:c r="D40" s="15" t="n">
        <x:f>12789+2/3</x:f>
        <x:v>12789.666666666666</x:v>
      </x:c>
      <x:c r="E40" s="14">
        <x:v>6759</x:v>
      </x:c>
      <x:c r="F40" s="14" t="n">
        <x:f>'리그 타자'!E40</x:f>
        <x:v>7436</x:v>
      </x:c>
      <x:c r="G40" s="14" t="n">
        <x:f>'리그 타자'!C40</x:f>
        <x:v>56643</x:v>
      </x:c>
      <x:c r="H40" s="14" t="n">
        <x:f>'리그 타자'!F40</x:f>
        <x:v>13547</x:v>
      </x:c>
      <x:c r="I40" s="14" t="n">
        <x:f>'리그 타자'!G40</x:f>
        <x:v>2325</x:v>
      </x:c>
      <x:c r="J40" s="14" t="n">
        <x:f>'리그 타자'!H40</x:f>
        <x:v>183</x:v>
      </x:c>
      <x:c r="K40" s="14" t="n">
        <x:f>'리그 타자'!I40</x:f>
        <x:v>1363</x:v>
      </x:c>
      <x:c r="L40" s="14" t="n">
        <x:f>'리그 타자'!L40</x:f>
        <x:v>5314</x:v>
      </x:c>
      <x:c r="M40" s="14" t="n">
        <x:f>'리그 타자'!M40</x:f>
        <x:v>716</x:v>
      </x:c>
      <x:c r="N40" s="14" t="n">
        <x:f>'리그 타자'!N40</x:f>
        <x:v>163</x:v>
      </x:c>
      <x:c r="O40" s="14">
        <x:v>9855</x:v>
      </x:c>
      <x:c r="P40" s="14">
        <x:f t="shared" si="2"/>
        <x:v>4.7562615653261746</x:v>
      </x:c>
      <x:c r="Q40" s="14" t="n">
        <x:f>(('연도별 상수'!Y40*K40)+('연도별 상수'!Z40*(L40+M40)+('연도별 상수'!AA40*O40)))/D40+'연도별 상수'!V40</x:f>
        <x:v>4.7970444890406325</x:v>
      </x:c>
      <x:c r="R40" s="14">
        <x:f t="shared" si="3"/>
        <x:v>5.2326617842529135</x:v>
      </x:c>
      <x:c r="S40" s="14">
        <x:v>38908</x:v>
      </x:c>
      <x:c r="T40" s="14">
        <x:f t="shared" si="4"/>
        <x:v>17470</x:v>
      </x:c>
      <x:c r="U40" s="14">
        <x:f t="shared" si="4"/>
        <x:v>20427</x:v>
      </x:c>
      <x:c r="V40" s="14">
        <x:f t="shared" si="5"/>
        <x:v>7.1923000000000004</x:v>
      </x:c>
      <x:c r="W40" s="14">
        <x:v>6.4</x:v>
      </x:c>
      <x:c r="X40" s="14">
        <x:v>44.9</x:v>
      </x:c>
      <x:c r="Y40" s="14">
        <x:v>52.5</x:v>
      </x:c>
      <x:c r="Z40" s="14">
        <x:f t="shared" si="6"/>
        <x:v>2.6000000000000014</x:v>
      </x:c>
    </x:row>
    <x:row r="41">
      <x:c r="A41" s="6">
        <x:v>2021</x:v>
      </x:c>
      <x:c r="B41" s="14">
        <x:v>6755</x:v>
      </x:c>
      <x:c r="C41" s="14">
        <x:v>1440</x:v>
      </x:c>
      <x:c r="D41" s="15">
        <x:v>12660</x:v>
      </x:c>
      <x:c r="E41" s="14">
        <x:v>6243</x:v>
      </x:c>
      <x:c r="F41" s="14" t="n">
        <x:f>'리그 타자'!E41</x:f>
        <x:v>6896</x:v>
      </x:c>
      <x:c r="G41" s="14" t="n">
        <x:f>'리그 타자'!C41</x:f>
        <x:v>56076</x:v>
      </x:c>
      <x:c r="H41" s="14" t="n">
        <x:f>'리그 타자'!F41</x:f>
        <x:v>12566</x:v>
      </x:c>
      <x:c r="I41" s="14" t="n">
        <x:f>'리그 타자'!G41</x:f>
        <x:v>2181</x:v>
      </x:c>
      <x:c r="J41" s="14" t="n">
        <x:f>'리그 타자'!H41</x:f>
        <x:v>163</x:v>
      </x:c>
      <x:c r="K41" s="14" t="n">
        <x:f>'리그 타자'!I41</x:f>
        <x:v>1158</x:v>
      </x:c>
      <x:c r="L41" s="14" t="n">
        <x:f>'리그 타자'!L41</x:f>
        <x:v>5891</x:v>
      </x:c>
      <x:c r="M41" s="14" t="n">
        <x:f>'리그 타자'!M41</x:f>
        <x:v>792</x:v>
      </x:c>
      <x:c r="N41" s="14" t="n">
        <x:f>'리그 타자'!N41</x:f>
        <x:v>180</x:v>
      </x:c>
      <x:c r="O41" s="14">
        <x:v>10196</x:v>
      </x:c>
      <x:c r="P41" s="14">
        <x:f t="shared" si="2"/>
        <x:v>4.4381516587677723</x:v>
      </x:c>
      <x:c r="Q41" s="14" t="n">
        <x:f>(('연도별 상수'!Y41*K41)+('연도별 상수'!Z41*(L41+M41)+('연도별 상수'!AA41*O41)))/D41+'연도별 상수'!V41</x:f>
        <x:v>4.483649289099526</x:v>
      </x:c>
      <x:c r="R41" s="14">
        <x:f t="shared" si="3"/>
        <x:v>4.902369668246445</x:v>
      </x:c>
      <x:c r="S41" s="14">
        <x:v>37542</x:v>
      </x:c>
      <x:c r="T41" s="14">
        <x:f t="shared" si="4"/>
        <x:v>17194</x:v>
      </x:c>
      <x:c r="U41" s="14">
        <x:f t="shared" si="4"/>
        <x:v>19259</x:v>
      </x:c>
      <x:c r="V41" s="14">
        <x:f t="shared" si="5"/>
        <x:v>6.8612000000000002</x:v>
      </x:c>
      <x:c r="W41" s="14">
        <x:v>5.8</x:v>
      </x:c>
      <x:c r="X41" s="14">
        <x:v>45.8</x:v>
      </x:c>
      <x:c r="Y41" s="14">
        <x:v>51.3</x:v>
      </x:c>
      <x:c r="Z41" s="14">
        <x:f t="shared" si="6"/>
        <x:v>2.9000000000000057</x:v>
      </x:c>
    </x:row>
    <x:row r="42">
      <x:c r="A42" s="6">
        <x:v>2022</x:v>
      </x:c>
      <x:c r="B42" s="14">
        <x:v>6719</x:v>
      </x:c>
      <x:c r="C42" s="14">
        <x:v>1440</x:v>
      </x:c>
      <x:c r="D42" s="15" t="n">
        <x:f>12854+2/3</x:f>
        <x:v>12854.666666666666</x:v>
      </x:c>
      <x:c r="E42" s="14">
        <x:v>5796</x:v>
      </x:c>
      <x:c r="F42" s="14" t="n">
        <x:f>'리그 타자'!E42</x:f>
        <x:v>6523</x:v>
      </x:c>
      <x:c r="G42" s="14" t="n">
        <x:f>'리그 타자'!C42</x:f>
        <x:v>55963</x:v>
      </x:c>
      <x:c r="H42" s="14" t="n">
        <x:f>'리그 타자'!F42</x:f>
        <x:v>12801</x:v>
      </x:c>
      <x:c r="I42" s="14" t="n">
        <x:f>'리그 타자'!G42</x:f>
        <x:v>2220</x:v>
      </x:c>
      <x:c r="J42" s="14" t="n">
        <x:f>'리그 타자'!H42</x:f>
        <x:v>203</x:v>
      </x:c>
      <x:c r="K42" s="14" t="n">
        <x:f>'리그 타자'!I42</x:f>
        <x:v>1085</x:v>
      </x:c>
      <x:c r="L42" s="14" t="n">
        <x:f>'리그 타자'!L42</x:f>
        <x:v>4930</x:v>
      </x:c>
      <x:c r="M42" s="14" t="n">
        <x:f>'리그 타자'!M42</x:f>
        <x:v>721</x:v>
      </x:c>
      <x:c r="N42" s="14" t="n">
        <x:f>'리그 타자'!N42</x:f>
        <x:v>208</x:v>
      </x:c>
      <x:c r="O42" s="14">
        <x:v>10469</x:v>
      </x:c>
      <x:c r="P42" s="14">
        <x:f t="shared" si="2"/>
        <x:v>4.0579815371849399</x:v>
      </x:c>
      <x:c r="Q42" s="14" t="n">
        <x:f>(('연도별 상수'!Y42*K42)+('연도별 상수'!Z42*(L42+M42)+('연도별 상수'!AA42*O42)))/D42+'연도별 상수'!V42</x:f>
        <x:v>4.109760398298931</x:v>
      </x:c>
      <x:c r="R42" s="14">
        <x:f t="shared" si="3"/>
        <x:v>4.566979566435017</x:v>
      </x:c>
      <x:c r="S42" s="14">
        <x:v>38146</x:v>
      </x:c>
      <x:c r="T42" s="14">
        <x:f t="shared" si="4"/>
        <x:v>17929</x:v>
      </x:c>
      <x:c r="U42" s="14">
        <x:f t="shared" si="4"/>
        <x:v>19111</x:v>
      </x:c>
      <x:c r="V42" s="14">
        <x:f t="shared" si="5"/>
        <x:v>6.8068</x:v>
      </x:c>
      <x:c r="W42" s="14">
        <x:v>5.4</x:v>
      </x:c>
      <x:c r="X42" s="14">
        <x:v>47</x:v>
      </x:c>
      <x:c r="Y42" s="14">
        <x:v>50.1</x:v>
      </x:c>
      <x:c r="Z42" s="14">
        <x:f t="shared" si="6"/>
        <x:v>2.8999999999999986</x:v>
      </x:c>
    </x:row>
    <x:row r="43">
      <x:c r="A43" s="6">
        <x:v>2023</x:v>
      </x:c>
      <x:c r="B43" s="14">
        <x:v>6845</x:v>
      </x:c>
      <x:c r="C43" s="14">
        <x:v>1440</x:v>
      </x:c>
      <x:c r="D43" s="15" t="n">
        <x:f>12834+1/3</x:f>
        <x:v>12834.333333333334</x:v>
      </x:c>
      <x:c r="E43" s="14">
        <x:v>5905</x:v>
      </x:c>
      <x:c r="F43" s="14" t="n">
        <x:f>'리그 타자'!E43</x:f>
        <x:v>6622</x:v>
      </x:c>
      <x:c r="G43" s="14" t="n">
        <x:f>'리그 타자'!C43</x:f>
        <x:v>56231</x:v>
      </x:c>
      <x:c r="H43" s="14" t="n">
        <x:f>'리그 타자'!F43</x:f>
        <x:v>12969</x:v>
      </x:c>
      <x:c r="I43" s="14" t="n">
        <x:f>'리그 타자'!G43</x:f>
        <x:v>2221</x:v>
      </x:c>
      <x:c r="J43" s="14" t="n">
        <x:f>'리그 타자'!H43</x:f>
        <x:v>222</x:v>
      </x:c>
      <x:c r="K43" s="14" t="n">
        <x:f>'리그 타자'!I43</x:f>
        <x:v>924</x:v>
      </x:c>
      <x:c r="L43" s="14" t="n">
        <x:f>'리그 타자'!L43</x:f>
        <x:v>5140</x:v>
      </x:c>
      <x:c r="M43" s="14" t="n">
        <x:f>'리그 타자'!M43</x:f>
        <x:v>696</x:v>
      </x:c>
      <x:c r="N43" s="14" t="n">
        <x:f>'리그 타자'!N43</x:f>
        <x:v>175</x:v>
      </x:c>
      <x:c r="O43" s="14">
        <x:v>9970</x:v>
      </x:c>
      <x:c r="P43" s="14">
        <x:f t="shared" si="2"/>
        <x:v>4.1408461678310777</x:v>
      </x:c>
      <x:c r="Q43" s="14" t="n">
        <x:f>(('연도별 상수'!Y43*K43)+('연도별 상수'!Z43*(L43+M43)+('연도별 상수'!AA43*O43)))/D43+'연도별 상수'!V43</x:f>
        <x:v>4.184479131496247</x:v>
      </x:c>
      <x:c r="R43" s="14">
        <x:f t="shared" si="3"/>
        <x:v>4.6436381580656043</x:v>
      </x:c>
      <x:c r="S43" s="14">
        <x:v>38830</x:v>
      </x:c>
      <x:c r="T43" s="14">
        <x:f t="shared" si="4"/>
        <x:v>17706</x:v>
      </x:c>
      <x:c r="U43" s="14">
        <x:f t="shared" si="4"/>
        <x:v>20036</x:v>
      </x:c>
      <x:c r="V43" s="14">
        <x:f t="shared" si="5"/>
        <x:v>6.6760000000000002</x:v>
      </x:c>
      <x:c r="W43" s="14">
        <x:v>4.4000000000000004</x:v>
      </x:c>
      <x:c r="X43" s="14">
        <x:v>45.6</x:v>
      </x:c>
      <x:c r="Y43" s="14">
        <x:v>51.6</x:v>
      </x:c>
      <x:c r="Z43" s="14">
        <x:f t="shared" si="6"/>
        <x:v>2.7999999999999972</x:v>
      </x:c>
    </x:row>
    <x:row r="44">
      <x:c r="A44" s="6">
        <x:v>2024</x:v>
      </x:c>
      <x:c r="B44" s="14">
        <x:v>7065</x:v>
      </x:c>
      <x:c r="C44" s="14">
        <x:v>1440</x:v>
      </x:c>
      <x:c r="D44" s="15" t="n">
        <x:f>12789</x:f>
        <x:v>12789</x:v>
      </x:c>
      <x:c r="E44" s="14">
        <x:v>6972</x:v>
      </x:c>
      <x:c r="F44" s="14" t="n">
        <x:f>'리그 타자'!E44</x:f>
        <x:v>7740</x:v>
      </x:c>
      <x:c r="G44" s="14" t="n">
        <x:f>'리그 타자'!C44</x:f>
        <x:v>57265</x:v>
      </x:c>
      <x:c r="H44" s="14" t="n">
        <x:f>'리그 타자'!F44</x:f>
        <x:v>13929</x:v>
      </x:c>
      <x:c r="I44" s="14" t="n">
        <x:f>'리그 타자'!G44</x:f>
        <x:v>2381</x:v>
      </x:c>
      <x:c r="J44" s="14" t="n">
        <x:f>'리그 타자'!H44</x:f>
        <x:v>229</x:v>
      </x:c>
      <x:c r="K44" s="14" t="n">
        <x:f>'리그 타자'!I44</x:f>
        <x:v>1438</x:v>
      </x:c>
      <x:c r="L44" s="14" t="n">
        <x:f>'리그 타자'!L44</x:f>
        <x:v>5265</x:v>
      </x:c>
      <x:c r="M44" s="14" t="n">
        <x:f>'리그 타자'!M44</x:f>
        <x:v>783</x:v>
      </x:c>
      <x:c r="N44" s="14" t="n">
        <x:f>'리그 타자'!N44</x:f>
        <x:v>150</x:v>
      </x:c>
      <x:c r="O44" s="14">
        <x:v>10826</x:v>
      </x:c>
      <x:c r="P44" s="14">
        <x:f t="shared" si="2"/>
        <x:v>4.9064039408866993</x:v>
      </x:c>
      <x:c r="Q44" s="14" t="n">
        <x:f>(('연도별 상수'!Y44*K44)+('연도별 상수'!Z44*(L44+M44)+('연도별 상수'!AA44*O44)))/D44+'연도별 상수'!V44</x:f>
        <x:v>4.943936195167722</x:v>
      </x:c>
      <x:c r="R44" s="14">
        <x:f t="shared" si="3"/>
        <x:v>5.4468684025334273</x:v>
      </x:c>
      <x:c r="S44" s="14">
        <x:v>38474</x:v>
      </x:c>
      <x:c r="T44" s="14">
        <x:f t="shared" si="4"/>
        <x:v>17352</x:v>
      </x:c>
      <x:c r="U44" s="14">
        <x:f t="shared" si="4"/>
        <x:v>19776</x:v>
      </x:c>
      <x:c r="V44" s="14">
        <x:f t="shared" si="5"/>
        <x:v>7.5972999999999997</x:v>
      </x:c>
      <x:c r="W44" s="14">
        <x:v>6.9</x:v>
      </x:c>
      <x:c r="X44" s="14">
        <x:v>45.1</x:v>
      </x:c>
      <x:c r="Y44" s="14">
        <x:v>51.4</x:v>
      </x:c>
      <x:c r="Z44" s="14">
        <x:f t="shared" si="6"/>
        <x:v>3.5</x:v>
      </x:c>
    </x:row>
    <x:row r="45">
      <x:c r="A45" s="6">
        <x:v>2025</x:v>
      </x:c>
      <x:c r="B45" s="14" t="n">
        <x:f>C45+5586</x:f>
        <x:v>7026</x:v>
      </x:c>
      <x:c r="C45" s="14">
        <x:v>1440</x:v>
      </x:c>
      <x:c r="D45" s="15" t="n">
        <x:f>12773+2/3</x:f>
        <x:v>12773.666666666666</x:v>
      </x:c>
      <x:c r="E45" s="14">
        <x:v>6115</x:v>
      </x:c>
      <x:c r="F45" s="14" t="n">
        <x:f>'리그 타자'!E45</x:f>
        <x:v>6813</x:v>
      </x:c>
      <x:c r="G45" s="14" t="n">
        <x:f>'리그 타자'!C45</x:f>
        <x:v>55996</x:v>
      </x:c>
      <x:c r="H45" s="14" t="n">
        <x:f>'리그 타자'!F45</x:f>
        <x:v>12824</x:v>
      </x:c>
      <x:c r="I45" s="14" t="n">
        <x:f>'리그 타자'!G45</x:f>
        <x:v>2243</x:v>
      </x:c>
      <x:c r="J45" s="14" t="n">
        <x:f>'리그 타자'!H45</x:f>
        <x:v>208</x:v>
      </x:c>
      <x:c r="K45" s="14" t="n">
        <x:f>'리그 타자'!I45</x:f>
        <x:v>1191</x:v>
      </x:c>
      <x:c r="L45" s="14" t="n">
        <x:f>'리그 타자'!L45</x:f>
        <x:v>5123</x:v>
      </x:c>
      <x:c r="M45" s="14" t="n">
        <x:f>'리그 타자'!M45</x:f>
        <x:v>806</x:v>
      </x:c>
      <x:c r="N45" s="14" t="n">
        <x:f>'리그 타자'!N45</x:f>
        <x:v>187</x:v>
      </x:c>
      <x:c r="O45" s="14">
        <x:v>11024</x:v>
      </x:c>
      <x:c r="P45" s="14">
        <x:f t="shared" si="2"/>
        <x:v>4.3084731609300384</x:v>
      </x:c>
      <x:c r="Q45" s="14" t="n">
        <x:f>(('연도별 상수'!Y45*K45)+('연도별 상수'!Z45*(L45+M45)+('연도별 상수'!AA45*O45)))/D45+'연도별 상수'!V45</x:f>
        <x:v>4.355319537590356</x:v>
      </x:c>
      <x:c r="R45" s="14">
        <x:f t="shared" si="3"/>
        <x:v>4.8002661725946609</x:v>
      </x:c>
      <x:c r="S45" s="14">
        <x:v>37260</x:v>
      </x:c>
      <x:c r="T45" s="14" t="n">
        <x:f>ROUND($S45*X45/100,0)</x:f>
        <x:v>17587</x:v>
      </x:c>
      <x:c r="U45" s="14" t="n">
        <x:f>ROUND($S45*Y45/100,0)</x:f>
        <x:v>13935</x:v>
      </x:c>
      <x:c r="V45" s="14">
        <x:f t="shared" si="5"/>
        <x:v>7.1580000000000004</x:v>
      </x:c>
      <x:c r="W45" s="14">
        <x:v>8.1999999999999993</x:v>
      </x:c>
      <x:c r="X45" s="14">
        <x:v>47.2</x:v>
      </x:c>
      <x:c r="Y45" s="14">
        <x:v>37.4</x:v>
      </x:c>
      <x:c r="Z45" s="14">
        <x:f t="shared" si="6"/>
        <x:v>15.399999999999999</x:v>
      </x:c>
    </x:row>
    <x:row r="46">
      <x:c r="A46" s="6">
        <x:v>2026</x:v>
      </x:c>
      <x:c r="B46" s="14" t="n">
        <x:f>C46+3027</x:f>
        <x:v>4179</x:v>
      </x:c>
      <x:c r="C46" s="14" t="n">
        <x:v>1152</x:v>
      </x:c>
      <x:c r="D46" s="15" t="n">
        <x:v>10210</x:v>
      </x:c>
      <x:c r="E46" s="14" t="n">
        <x:v>5323</x:v>
      </x:c>
      <x:c r="F46" s="14" t="n">
        <x:v>5900</x:v>
      </x:c>
      <x:c r="G46" s="14" t="n">
        <x:v>45514</x:v>
      </x:c>
      <x:c r="H46" s="14" t="n">
        <x:v>10689</x:v>
      </x:c>
      <x:c r="I46" s="14" t="n">
        <x:v>1831</x:v>
      </x:c>
      <x:c r="J46" s="14" t="n">
        <x:v>156</x:v>
      </x:c>
      <x:c r="K46" s="14" t="n">
        <x:v>1090</x:v>
      </x:c>
      <x:c r="L46" s="14" t="n">
        <x:v>4303</x:v>
      </x:c>
      <x:c r="M46" s="14" t="n">
        <x:v>681</x:v>
      </x:c>
      <x:c r="N46" s="14" t="n">
        <x:v>118</x:v>
      </x:c>
      <x:c r="O46" s="14" t="n">
        <x:v>8789</x:v>
      </x:c>
      <x:c r="P46" s="14">
        <x:f t="shared" si="2"/>
        <x:v>4.5597011351118351</x:v>
      </x:c>
      <x:c r="Q46" s="14" t="n">
        <x:f>(('연도별 상수'!Y46*K46)+('연도별 상수'!Z46*(L46+M46)+('연도별 상수'!AA46*O46)))/D46+'연도별 상수'!V46</x:f>
        <x:v>4.729147894221351</x:v>
      </x:c>
      <x:c r="R46" s="14">
        <x:f t="shared" si="3"/>
        <x:v>5.0536903108386415</x:v>
      </x:c>
      <x:c r="S46" s="14" t="n">
        <x:v>30166</x:v>
      </x:c>
      <x:c r="T46" s="14" t="n">
        <x:f>ROUND($S46*X46/100,0)</x:f>
        <x:v>14118</x:v>
      </x:c>
      <x:c r="U46" s="14" t="n">
        <x:f>ROUND($S46*Y46/100,0)</x:f>
        <x:v>11946</x:v>
      </x:c>
      <x:c r="V46" s="14">
        <x:f t="shared" si="5"/>
        <x:v>7.2523999999999997</x:v>
      </x:c>
      <x:c r="W46" s="14" t="n">
        <x:f>K46/U46*100</x:f>
        <x:v>9.124393102293654</x:v>
      </x:c>
      <x:c r="X46" s="14">
        <x:v>46.8</x:v>
      </x:c>
      <x:c r="Y46" s="14">
        <x:v>39.6</x:v>
      </x:c>
      <x:c r="Z46" s="14">
        <x:f t="shared" si="6"/>
        <x:v>13.600000000000001</x:v>
      </x:c>
    </x:row>
  </x:sheetData>
  <x:pageMargins left="0.7" right="0.7" top="0.75" bottom="0.75" header="0.3" footer="0.3"/>
</x:worksheet>
</file>