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종합" sheetId="1" state="visible" r:id="rId3"/>
    <sheet name="기본-타자" sheetId="2" state="visible" r:id="rId4"/>
    <sheet name="확장-타자" sheetId="3" state="visible" r:id="rId5"/>
    <sheet name="수비-타자" sheetId="4" state="visible" r:id="rId6"/>
    <sheet name="Sheet1" sheetId="5" state="visible" r:id="rId7"/>
    <sheet name="기본-투수" sheetId="6" state="visible" r:id="rId8"/>
    <sheet name="확장-투수" sheetId="7" state="visible" r:id="rId9"/>
    <sheet name="투구-투수" sheetId="8" state="visible" r:id="rId10"/>
    <sheet name="Sheet2" sheetId="9" state="visible" r:id="rId11"/>
    <sheet name="연도별 상수" sheetId="10" state="hidden" r:id="rId12"/>
    <sheet name="리그 타자" sheetId="11" state="hidden" r:id="rId13"/>
    <sheet name="리그 투수" sheetId="12" state="hidden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<sst xmlns="http://schemas.openxmlformats.org/spreadsheetml/2006/main" count="905" uniqueCount="302">
  <si>
    <t xml:space="preserve">RK</t>
  </si>
  <si>
    <t xml:space="preserve">Player</t>
  </si>
  <si>
    <t xml:space="preserve">Pos</t>
  </si>
  <si>
    <t xml:space="preserve">Team</t>
  </si>
  <si>
    <t xml:space="preserve">Year</t>
  </si>
  <si>
    <t xml:space="preserve">WAR</t>
  </si>
  <si>
    <t xml:space="preserve">wRC+</t>
  </si>
  <si>
    <t xml:space="preserve">off</t>
  </si>
  <si>
    <t xml:space="preserve">def</t>
  </si>
  <si>
    <t xml:space="preserve">G</t>
  </si>
  <si>
    <t xml:space="preserve">PA</t>
  </si>
  <si>
    <t xml:space="preserve">AB</t>
  </si>
  <si>
    <t xml:space="preserve">R</t>
  </si>
  <si>
    <t xml:space="preserve">H</t>
  </si>
  <si>
    <t xml:space="preserve">2B</t>
  </si>
  <si>
    <t xml:space="preserve">3B</t>
  </si>
  <si>
    <t xml:space="preserve">HR</t>
  </si>
  <si>
    <t xml:space="preserve">RBI</t>
  </si>
  <si>
    <t xml:space="preserve">SB</t>
  </si>
  <si>
    <t xml:space="preserve">CS</t>
  </si>
  <si>
    <t xml:space="preserve">BB</t>
  </si>
  <si>
    <t xml:space="preserve">HBP</t>
  </si>
  <si>
    <t xml:space="preserve">IB</t>
  </si>
  <si>
    <t xml:space="preserve">SO</t>
  </si>
  <si>
    <t xml:space="preserve">GDP</t>
  </si>
  <si>
    <t xml:space="preserve">SF</t>
  </si>
  <si>
    <t xml:space="preserve">BA</t>
  </si>
  <si>
    <t xml:space="preserve">OBP</t>
  </si>
  <si>
    <t xml:space="preserve">SLG</t>
  </si>
  <si>
    <t xml:space="preserve">OPS</t>
  </si>
  <si>
    <t xml:space="preserve">wOBA</t>
  </si>
  <si>
    <t xml:space="preserve">PosAdj</t>
  </si>
  <si>
    <t xml:space="preserve">pos</t>
  </si>
  <si>
    <t xml:space="preserve">PF</t>
  </si>
  <si>
    <t xml:space="preserve">whiff%</t>
  </si>
  <si>
    <t xml:space="preserve">chase%</t>
  </si>
  <si>
    <t xml:space="preserve">WPA</t>
  </si>
  <si>
    <t xml:space="preserve">RE24</t>
  </si>
  <si>
    <t xml:space="preserve">REW</t>
  </si>
  <si>
    <t xml:space="preserve">RC27</t>
  </si>
  <si>
    <t xml:space="preserve">OAA</t>
  </si>
  <si>
    <t xml:space="preserve">국적</t>
  </si>
  <si>
    <t xml:space="preserve">오스틴</t>
  </si>
  <si>
    <t xml:space="preserve">LG</t>
  </si>
  <si>
    <t xml:space="preserve">김주원</t>
  </si>
  <si>
    <t xml:space="preserve">NC</t>
  </si>
  <si>
    <t xml:space="preserve">김도영</t>
  </si>
  <si>
    <t xml:space="preserve">KIA</t>
  </si>
  <si>
    <t xml:space="preserve">박민우</t>
  </si>
  <si>
    <t xml:space="preserve">박성한</t>
  </si>
  <si>
    <t xml:space="preserve">SSG</t>
  </si>
  <si>
    <t xml:space="preserve">한준수</t>
  </si>
  <si>
    <t xml:space="preserve">최정</t>
  </si>
  <si>
    <t xml:space="preserve">박찬호</t>
  </si>
  <si>
    <t xml:space="preserve">DOO</t>
  </si>
  <si>
    <t xml:space="preserve">최원준</t>
  </si>
  <si>
    <t xml:space="preserve">KT</t>
  </si>
  <si>
    <t xml:space="preserve">박해민</t>
  </si>
  <si>
    <t xml:space="preserve">김지찬</t>
  </si>
  <si>
    <t xml:space="preserve">SAM</t>
  </si>
  <si>
    <t xml:space="preserve">힐리어드</t>
  </si>
  <si>
    <t xml:space="preserve">페라자</t>
  </si>
  <si>
    <t xml:space="preserve">HAN</t>
  </si>
  <si>
    <t xml:space="preserve">노시환</t>
  </si>
  <si>
    <t xml:space="preserve">허인서</t>
  </si>
  <si>
    <t xml:space="preserve">김호령</t>
  </si>
  <si>
    <t xml:space="preserve">류지혁</t>
  </si>
  <si>
    <t xml:space="preserve">박준순</t>
  </si>
  <si>
    <t xml:space="preserve">최지훈</t>
  </si>
  <si>
    <t xml:space="preserve">송찬의</t>
  </si>
  <si>
    <t xml:space="preserve">박동원</t>
  </si>
  <si>
    <t xml:space="preserve">양의지</t>
  </si>
  <si>
    <t xml:space="preserve">정수빈</t>
  </si>
  <si>
    <t xml:space="preserve">강백호</t>
  </si>
  <si>
    <t xml:space="preserve">나성범</t>
  </si>
  <si>
    <t xml:space="preserve">레이예스</t>
  </si>
  <si>
    <t xml:space="preserve">LOT</t>
  </si>
  <si>
    <t xml:space="preserve">구자욱</t>
  </si>
  <si>
    <t xml:space="preserve">박승규</t>
  </si>
  <si>
    <t xml:space="preserve">디아즈</t>
  </si>
  <si>
    <t xml:space="preserve">카메론</t>
  </si>
  <si>
    <t xml:space="preserve">김상수</t>
  </si>
  <si>
    <t xml:space="preserve">전민재</t>
  </si>
  <si>
    <t xml:space="preserve">최형우</t>
  </si>
  <si>
    <t xml:space="preserve">정준재</t>
  </si>
  <si>
    <t xml:space="preserve">황성빈</t>
  </si>
  <si>
    <t xml:space="preserve">심우준</t>
  </si>
  <si>
    <t xml:space="preserve">박건우</t>
  </si>
  <si>
    <t xml:space="preserve">김건희</t>
  </si>
  <si>
    <t xml:space="preserve">KIW</t>
  </si>
  <si>
    <t xml:space="preserve">오지환</t>
  </si>
  <si>
    <t xml:space="preserve">허경민</t>
  </si>
  <si>
    <t xml:space="preserve">김형준</t>
  </si>
  <si>
    <t xml:space="preserve">에레디아</t>
  </si>
  <si>
    <t xml:space="preserve">서건창</t>
  </si>
  <si>
    <t xml:space="preserve">김성윤</t>
  </si>
  <si>
    <t xml:space="preserve">문현빈</t>
  </si>
  <si>
    <t xml:space="preserve">홍창기</t>
  </si>
  <si>
    <t xml:space="preserve">강민호</t>
  </si>
  <si>
    <t xml:space="preserve">신민재</t>
  </si>
  <si>
    <t xml:space="preserve">이우성</t>
  </si>
  <si>
    <t xml:space="preserve">안재석</t>
  </si>
  <si>
    <t xml:space="preserve">김태연</t>
  </si>
  <si>
    <t xml:space="preserve">김민석</t>
  </si>
  <si>
    <t xml:space="preserve">데이비슨</t>
  </si>
  <si>
    <t xml:space="preserve">고승민</t>
  </si>
  <si>
    <t xml:space="preserve">전병우</t>
  </si>
  <si>
    <t xml:space="preserve">문성주</t>
  </si>
  <si>
    <t xml:space="preserve">박재현</t>
  </si>
  <si>
    <t xml:space="preserve">손성빈</t>
  </si>
  <si>
    <t xml:space="preserve">한동희</t>
  </si>
  <si>
    <t xml:space="preserve">한승택</t>
  </si>
  <si>
    <t xml:space="preserve">조형우</t>
  </si>
  <si>
    <t xml:space="preserve">문보경</t>
  </si>
  <si>
    <t xml:space="preserve">이도윤</t>
  </si>
  <si>
    <t xml:space="preserve">천성호</t>
  </si>
  <si>
    <t xml:space="preserve">구본혁</t>
  </si>
  <si>
    <t xml:space="preserve">김선빈</t>
  </si>
  <si>
    <t xml:space="preserve">김현수</t>
  </si>
  <si>
    <t xml:space="preserve">김민혁</t>
  </si>
  <si>
    <t xml:space="preserve">장성우</t>
  </si>
  <si>
    <t xml:space="preserve">박지훈</t>
  </si>
  <si>
    <t xml:space="preserve">오태곤</t>
  </si>
  <si>
    <t xml:space="preserve">안치홍</t>
  </si>
  <si>
    <t xml:space="preserve">김재환</t>
  </si>
  <si>
    <t xml:space="preserve">최주환</t>
  </si>
  <si>
    <t xml:space="preserve">나승엽</t>
  </si>
  <si>
    <t xml:space="preserve">전준우</t>
  </si>
  <si>
    <t xml:space="preserve">oWAR</t>
  </si>
  <si>
    <t xml:space="preserve">XBH</t>
  </si>
  <si>
    <t xml:space="preserve">wRC</t>
  </si>
  <si>
    <t xml:space="preserve">OPS+</t>
  </si>
  <si>
    <t xml:space="preserve">K%</t>
  </si>
  <si>
    <t xml:space="preserve">BB%</t>
  </si>
  <si>
    <t xml:space="preserve">BB/K</t>
  </si>
  <si>
    <t xml:space="preserve">HR%</t>
  </si>
  <si>
    <t xml:space="preserve">BABIP</t>
  </si>
  <si>
    <t xml:space="preserve">IsoD</t>
  </si>
  <si>
    <t xml:space="preserve">IsoP</t>
  </si>
  <si>
    <t xml:space="preserve">Runs          Prevented</t>
  </si>
  <si>
    <t xml:space="preserve">IP</t>
  </si>
  <si>
    <t xml:space="preserve">CF</t>
  </si>
  <si>
    <t xml:space="preserve">SS</t>
  </si>
  <si>
    <t xml:space="preserve">김영웅</t>
  </si>
  <si>
    <t xml:space="preserve">RF</t>
  </si>
  <si>
    <t xml:space="preserve">1B</t>
  </si>
  <si>
    <t xml:space="preserve">황영묵</t>
  </si>
  <si>
    <t xml:space="preserve">장두성</t>
  </si>
  <si>
    <t xml:space="preserve">오태콘</t>
  </si>
  <si>
    <t xml:space="preserve">브룩스</t>
  </si>
  <si>
    <t xml:space="preserve">LF</t>
  </si>
  <si>
    <t xml:space="preserve">이호준</t>
  </si>
  <si>
    <t xml:space="preserve">이원석</t>
  </si>
  <si>
    <t xml:space="preserve">윤동희</t>
  </si>
  <si>
    <t xml:space="preserve">이강민</t>
  </si>
  <si>
    <t xml:space="preserve">박승욱</t>
  </si>
  <si>
    <t xml:space="preserve">박한결</t>
  </si>
  <si>
    <t xml:space="preserve">장준원</t>
  </si>
  <si>
    <t xml:space="preserve">김헌곤</t>
  </si>
  <si>
    <t xml:space="preserve">배정대</t>
  </si>
  <si>
    <t xml:space="preserve">김휘집</t>
  </si>
  <si>
    <t xml:space="preserve">안현민</t>
  </si>
  <si>
    <t xml:space="preserve">김지석</t>
  </si>
  <si>
    <t xml:space="preserve">고명준</t>
  </si>
  <si>
    <t xml:space="preserve">카스트로</t>
  </si>
  <si>
    <t xml:space="preserve">이주형</t>
  </si>
  <si>
    <t xml:space="preserve">한태양</t>
  </si>
  <si>
    <t xml:space="preserve">노진혁</t>
  </si>
  <si>
    <t xml:space="preserve">안상현</t>
  </si>
  <si>
    <t xml:space="preserve">하주석</t>
  </si>
  <si>
    <t xml:space="preserve">어준서</t>
  </si>
  <si>
    <t xml:space="preserve">오재원</t>
  </si>
  <si>
    <t xml:space="preserve">한유섬</t>
  </si>
  <si>
    <t xml:space="preserve">이재현</t>
  </si>
  <si>
    <t xml:space="preserve">양석환</t>
  </si>
  <si>
    <t xml:space="preserve">채은성</t>
  </si>
  <si>
    <t xml:space="preserve">최정원</t>
  </si>
  <si>
    <t xml:space="preserve">데일</t>
  </si>
  <si>
    <t xml:space="preserve">순위</t>
  </si>
  <si>
    <t xml:space="preserve">선수명</t>
  </si>
  <si>
    <t xml:space="preserve">팀명</t>
  </si>
  <si>
    <t xml:space="preserve">AVG</t>
  </si>
  <si>
    <t xml:space="preserve">IBB</t>
  </si>
  <si>
    <t xml:space="preserve">MH</t>
  </si>
  <si>
    <t xml:space="preserve">RISP</t>
  </si>
  <si>
    <t xml:space="preserve">PH-BA</t>
  </si>
  <si>
    <t xml:space="preserve">한화</t>
  </si>
  <si>
    <t xml:space="preserve">키움</t>
  </si>
  <si>
    <t xml:space="preserve">두산</t>
  </si>
  <si>
    <t xml:space="preserve">삼성</t>
  </si>
  <si>
    <t xml:space="preserve">롯데</t>
  </si>
  <si>
    <t xml:space="preserve">GS</t>
  </si>
  <si>
    <t xml:space="preserve">W</t>
  </si>
  <si>
    <t xml:space="preserve">L</t>
  </si>
  <si>
    <t xml:space="preserve">SV</t>
  </si>
  <si>
    <t xml:space="preserve">HD</t>
  </si>
  <si>
    <t xml:space="preserve">ER</t>
  </si>
  <si>
    <t xml:space="preserve">RA</t>
  </si>
  <si>
    <t xml:space="preserve">TBF</t>
  </si>
  <si>
    <t xml:space="preserve">ERA</t>
  </si>
  <si>
    <t xml:space="preserve">RA9</t>
  </si>
  <si>
    <t xml:space="preserve">FIP</t>
  </si>
  <si>
    <t xml:space="preserve">WHIP</t>
  </si>
  <si>
    <t xml:space="preserve">ERA+</t>
  </si>
  <si>
    <t xml:space="preserve">FIP+</t>
  </si>
  <si>
    <t xml:space="preserve">BIP</t>
  </si>
  <si>
    <t xml:space="preserve">GB%</t>
  </si>
  <si>
    <t xml:space="preserve">FB%</t>
  </si>
  <si>
    <t xml:space="preserve">LD%</t>
  </si>
  <si>
    <t xml:space="preserve">투구</t>
  </si>
  <si>
    <t xml:space="preserve">스윙</t>
  </si>
  <si>
    <t xml:space="preserve">CWS%</t>
  </si>
  <si>
    <t xml:space="preserve">황동하</t>
  </si>
  <si>
    <t xml:space="preserve">SP</t>
  </si>
  <si>
    <t xml:space="preserve">올러</t>
  </si>
  <si>
    <t xml:space="preserve">알칸타라</t>
  </si>
  <si>
    <t xml:space="preserve">류현진</t>
  </si>
  <si>
    <t xml:space="preserve">곽빈</t>
  </si>
  <si>
    <t xml:space="preserve">네일</t>
  </si>
  <si>
    <t xml:space="preserve">후라도</t>
  </si>
  <si>
    <t xml:space="preserve">보쉴리</t>
  </si>
  <si>
    <t xml:space="preserve">웰스</t>
  </si>
  <si>
    <t xml:space="preserve">최민석</t>
  </si>
  <si>
    <t xml:space="preserve">밴자민</t>
  </si>
  <si>
    <t xml:space="preserve">원태인</t>
  </si>
  <si>
    <t xml:space="preserve">고영표</t>
  </si>
  <si>
    <t xml:space="preserve">비슬리</t>
  </si>
  <si>
    <t xml:space="preserve">구창모</t>
  </si>
  <si>
    <t xml:space="preserve">임찬규</t>
  </si>
  <si>
    <t xml:space="preserve">김진욱</t>
  </si>
  <si>
    <t xml:space="preserve">톨허스트</t>
  </si>
  <si>
    <t xml:space="preserve">오러클린</t>
  </si>
  <si>
    <t xml:space="preserve">나균안</t>
  </si>
  <si>
    <t xml:space="preserve">최원태</t>
  </si>
  <si>
    <t xml:space="preserve">사우어</t>
  </si>
  <si>
    <t xml:space="preserve">왕옌청</t>
  </si>
  <si>
    <t xml:space="preserve">잭로그</t>
  </si>
  <si>
    <t xml:space="preserve">테일러</t>
  </si>
  <si>
    <t xml:space="preserve">에르난데스</t>
  </si>
  <si>
    <t xml:space="preserve">박세웅</t>
  </si>
  <si>
    <t xml:space="preserve">로드리게스</t>
  </si>
  <si>
    <t xml:space="preserve">양창섭</t>
  </si>
  <si>
    <t xml:space="preserve">배동현</t>
  </si>
  <si>
    <t xml:space="preserve">오원석</t>
  </si>
  <si>
    <t xml:space="preserve">토다</t>
  </si>
  <si>
    <t xml:space="preserve">하영민</t>
  </si>
  <si>
    <t xml:space="preserve">양현종</t>
  </si>
  <si>
    <t xml:space="preserve">장찬희</t>
  </si>
  <si>
    <t xml:space="preserve">최민준</t>
  </si>
  <si>
    <t xml:space="preserve">김건우</t>
  </si>
  <si>
    <t xml:space="preserve">최승용</t>
  </si>
  <si>
    <t xml:space="preserve">타케다</t>
  </si>
  <si>
    <t xml:space="preserve">베니지아노</t>
  </si>
  <si>
    <t xml:space="preserve">xERA</t>
  </si>
  <si>
    <t xml:space="preserve">xFIP</t>
  </si>
  <si>
    <t xml:space="preserve">SIERA</t>
  </si>
  <si>
    <t xml:space="preserve">pFIP</t>
  </si>
  <si>
    <t xml:space="preserve">wERA</t>
  </si>
  <si>
    <t xml:space="preserve">GB/FB</t>
  </si>
  <si>
    <t xml:space="preserve">cFIP</t>
  </si>
  <si>
    <t xml:space="preserve">%</t>
  </si>
  <si>
    <t xml:space="preserve">Overall</t>
  </si>
  <si>
    <t xml:space="preserve">Fastball          Run Value</t>
  </si>
  <si>
    <t xml:space="preserve">Breakingball          Run Value</t>
  </si>
  <si>
    <t xml:space="preserve">Offspeedball          Run Value</t>
  </si>
  <si>
    <t xml:space="preserve">velo
</t>
  </si>
  <si>
    <t xml:space="preserve">A</t>
  </si>
  <si>
    <t xml:space="preserve">잠실</t>
  </si>
  <si>
    <t xml:space="preserve">고척</t>
  </si>
  <si>
    <t xml:space="preserve">인천</t>
  </si>
  <si>
    <t xml:space="preserve">수원</t>
  </si>
  <si>
    <t xml:space="preserve">대전</t>
  </si>
  <si>
    <t xml:space="preserve">광주</t>
  </si>
  <si>
    <t xml:space="preserve">대구</t>
  </si>
  <si>
    <t xml:space="preserve">사직</t>
  </si>
  <si>
    <t xml:space="preserve">창원</t>
  </si>
  <si>
    <t xml:space="preserve">전주</t>
  </si>
  <si>
    <t xml:space="preserve">리그</t>
  </si>
  <si>
    <t xml:space="preserve">wBB</t>
  </si>
  <si>
    <t xml:space="preserve">wHBP</t>
  </si>
  <si>
    <t xml:space="preserve">w1B</t>
  </si>
  <si>
    <t xml:space="preserve">w2B</t>
  </si>
  <si>
    <t xml:space="preserve">w3B</t>
  </si>
  <si>
    <t xml:space="preserve">wHR</t>
  </si>
  <si>
    <t xml:space="preserve">Scale</t>
  </si>
  <si>
    <t xml:space="preserve">R/W</t>
  </si>
  <si>
    <t xml:space="preserve">R/PA</t>
  </si>
  <si>
    <t xml:space="preserve">K</t>
  </si>
  <si>
    <t xml:space="preserve">wSB</t>
  </si>
  <si>
    <t xml:space="preserve">wCS</t>
  </si>
  <si>
    <t xml:space="preserve">Plg</t>
  </si>
  <si>
    <t xml:space="preserve">Pos+</t>
  </si>
  <si>
    <t xml:space="preserve">C</t>
  </si>
  <si>
    <t xml:space="preserve">DH</t>
  </si>
  <si>
    <t xml:space="preserve">P</t>
  </si>
  <si>
    <t xml:space="preserve">X</t>
  </si>
  <si>
    <t xml:space="preserve">Season</t>
  </si>
  <si>
    <t xml:space="preserve">ra9</t>
  </si>
  <si>
    <t xml:space="preserve">GB</t>
  </si>
  <si>
    <t xml:space="preserve">FB</t>
  </si>
  <si>
    <t xml:space="preserve">Intercept</t>
  </si>
  <si>
    <t xml:space="preserve">HR/FB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</si>
</sst>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;\-0.00;0.00"/>
    <numFmt numFmtId="166" formatCode="0.00_ "/>
    <numFmt numFmtId="167" formatCode="0.000_ "/>
    <numFmt numFmtId="168" formatCode="0.0;\-0.0;0.0"/>
    <numFmt numFmtId="169" formatCode="0.0_ "/>
    <numFmt numFmtId="170" formatCode="0.000;\-0.000;0.000"/>
    <numFmt numFmtId="171" formatCode="0_ "/>
    <numFmt numFmtId="172" formatCode="# ?/?"/>
    <numFmt numFmtId="173" formatCode="0"/>
    <numFmt numFmtId="174" formatCode="_(* #,##0.00_);_(* \(#,##0.00\);_(* \-??_);_(@_)"/>
  </numFmts>
  <fonts count="18">
    <font>
      <sz val="11"/>
      <color rgb="FF000000"/>
      <name val="맑은 고딕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맑은 고딕"/>
      <family val="0"/>
      <charset val="1"/>
    </font>
    <font>
      <b val="true"/>
      <sz val="11"/>
      <color rgb="FF808080"/>
      <name val="맑은 고딕"/>
      <family val="0"/>
      <charset val="1"/>
    </font>
    <font>
      <b val="true"/>
      <sz val="11"/>
      <color rgb="FFFFFFFF"/>
      <name val="맑은 고딕"/>
      <family val="0"/>
      <charset val="1"/>
    </font>
    <font>
      <b val="true"/>
      <sz val="11"/>
      <color rgb="FFFFFFFF"/>
      <name val="Noto Sans"/>
      <family val="2"/>
    </font>
    <font>
      <b val="true"/>
      <sz val="11"/>
      <color rgb="FF000000"/>
      <name val="Noto Sans"/>
      <family val="2"/>
    </font>
    <font>
      <b val="true"/>
      <sz val="11"/>
      <color rgb="FF222222"/>
      <name val="맑은 고딕"/>
      <family val="0"/>
      <charset val="1"/>
    </font>
    <font>
      <sz val="11"/>
      <color rgb="FF222222"/>
      <name val="맑은 고딕"/>
      <family val="0"/>
      <charset val="1"/>
    </font>
    <font>
      <b val="true"/>
      <sz val="11"/>
      <color rgb="FF4C4F55"/>
      <name val="Noto Sans"/>
      <family val="2"/>
    </font>
    <font>
      <sz val="11"/>
      <color rgb="FF000000"/>
      <name val="Noto Sans"/>
      <family val="2"/>
    </font>
    <font>
      <sz val="11"/>
      <color rgb="FF222222"/>
      <name val="Noto Sans"/>
      <family val="2"/>
    </font>
    <font>
      <sz val="10"/>
      <name val="Arial"/>
      <family val="0"/>
      <charset val="1"/>
    </font>
    <font>
      <sz val="10"/>
      <name val="Noto Sans"/>
      <family val="2"/>
    </font>
    <font>
      <b val="true"/>
      <sz val="11"/>
      <color rgb="FFFFFFFF"/>
      <name val="Noto Sans"/>
      <family val="2"/>
      <charset val="1"/>
    </font>
    <font>
      <b val="true"/>
      <sz val="11"/>
      <color rgb="FF000000"/>
      <name val="Noto San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7A7CC4"/>
        <bgColor rgb="FF808080"/>
      </patternFill>
    </fill>
    <fill>
      <patternFill patternType="solid">
        <fgColor rgb="FF3A9098"/>
        <bgColor rgb="FF008080"/>
      </patternFill>
    </fill>
  </fills>
  <borders count="21">
    <border diagonalUp="false" diagonalDown="false">
      <left/>
      <right/>
      <top/>
      <bottom/>
      <diagonal/>
    </border>
    <border diagonalUp="false" diagonalDown="false">
      <left/>
      <right/>
      <top style="medium">
        <color rgb="FF808080"/>
      </top>
      <bottom style="medium">
        <color rgb="FF808080"/>
      </bottom>
      <diagonal/>
    </border>
    <border diagonalUp="false" diagonalDown="false">
      <left style="thick"/>
      <right style="thick"/>
      <top style="medium">
        <color rgb="FF808080"/>
      </top>
      <bottom style="medium">
        <color rgb="FF808080"/>
      </bottom>
      <diagonal/>
    </border>
    <border diagonalUp="false" diagonalDown="false">
      <left/>
      <right style="thick"/>
      <top style="medium">
        <color rgb="FF808080"/>
      </top>
      <bottom style="medium">
        <color rgb="FF808080"/>
      </bottom>
      <diagonal/>
    </border>
    <border diagonalUp="false" diagonalDown="false">
      <left/>
      <right/>
      <top/>
      <bottom style="thick"/>
      <diagonal/>
    </border>
    <border diagonalUp="false" diagonalDown="false">
      <left/>
      <right/>
      <top/>
      <bottom style="medium">
        <color rgb="FF808080"/>
      </bottom>
      <diagonal/>
    </border>
    <border diagonalUp="false" diagonalDown="false">
      <left style="thick"/>
      <right/>
      <top style="medium">
        <color rgb="FF808080"/>
      </top>
      <bottom style="medium">
        <color rgb="FF808080"/>
      </bottom>
      <diagonal/>
    </border>
    <border diagonalUp="false" diagonalDown="false">
      <left style="thick"/>
      <right/>
      <top style="thick"/>
      <bottom style="thick"/>
      <diagonal/>
    </border>
    <border diagonalUp="false" diagonalDown="false">
      <left/>
      <right/>
      <top style="thick"/>
      <bottom style="thick"/>
      <diagonal/>
    </border>
    <border diagonalUp="false" diagonalDown="false">
      <left style="medium"/>
      <right/>
      <top style="thick"/>
      <bottom style="thick"/>
      <diagonal/>
    </border>
    <border diagonalUp="false" diagonalDown="false">
      <left style="thick"/>
      <right/>
      <top/>
      <bottom style="medium">
        <color rgb="FF808080"/>
      </bottom>
      <diagonal/>
    </border>
    <border diagonalUp="false" diagonalDown="false">
      <left style="medium"/>
      <right/>
      <top/>
      <bottom style="medium">
        <color rgb="FF808080"/>
      </bottom>
      <diagonal/>
    </border>
    <border diagonalUp="false" diagonalDown="false">
      <left/>
      <right style="thick"/>
      <top/>
      <bottom style="thick"/>
      <diagonal/>
    </border>
    <border diagonalUp="false" diagonalDown="false">
      <left/>
      <right style="thick"/>
      <top/>
      <bottom style="medium">
        <color rgb="FF808080"/>
      </bottom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ck"/>
      <right style="thick"/>
      <top/>
      <bottom/>
      <diagonal/>
    </border>
    <border diagonalUp="false" diagonalDown="false">
      <left/>
      <right/>
      <top style="medium">
        <color rgb="FFA6A6A6"/>
      </top>
      <bottom style="medium">
        <color rgb="FFA6A6A6"/>
      </bottom>
      <diagonal/>
    </border>
    <border diagonalUp="false" diagonalDown="false">
      <left/>
      <right style="thick"/>
      <top style="thick"/>
      <bottom style="thick"/>
      <diagonal/>
    </border>
    <border diagonalUp="false" diagonalDown="false">
      <left/>
      <right/>
      <top/>
      <bottom style="medium">
        <color rgb="FFA6A6A6"/>
      </bottom>
      <diagonal/>
    </border>
    <border diagonalUp="false" diagonalDown="false">
      <left style="thick"/>
      <right style="thick"/>
      <top/>
      <bottom style="medium">
        <color rgb="FF808080"/>
      </bottom>
      <diagonal/>
    </border>
    <border diagonalUp="false" diagonalDown="false">
      <left style="thick"/>
      <right style="thick"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6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6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2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6" fillId="4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4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2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6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A7CC4"/>
      <rgbColor rgb="FFA6A6A6"/>
      <rgbColor rgb="FF003366"/>
      <rgbColor rgb="FF3A9098"/>
      <rgbColor rgb="FF003300"/>
      <rgbColor rgb="FF333300"/>
      <rgbColor rgb="FF993300"/>
      <rgbColor rgb="FF993366"/>
      <rgbColor rgb="FF4C4F55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4.78125" defaultRowHeight="26.25" customHeight="true" zeroHeight="false" outlineLevelRow="0" outlineLevelCol="0"/>
  <cols>
    <col collapsed="false" customWidth="true" hidden="false" outlineLevel="0" max="1" min="1" style="1" width="4.07"/>
    <col collapsed="false" customWidth="true" hidden="false" outlineLevel="0" max="2" min="2" style="1" width="11.28"/>
    <col collapsed="false" customWidth="true" hidden="false" outlineLevel="0" max="3" min="3" style="1" width="3.78"/>
    <col collapsed="false" customWidth="true" hidden="false" outlineLevel="0" max="4" min="4" style="1" width="5.78"/>
    <col collapsed="false" customWidth="true" hidden="false" outlineLevel="0" max="5" min="5" style="1" width="6.17"/>
    <col collapsed="false" customWidth="true" hidden="false" outlineLevel="0" max="6" min="6" style="2" width="6.78"/>
    <col collapsed="false" customWidth="true" hidden="false" outlineLevel="0" max="8" min="7" style="3" width="6.78"/>
    <col collapsed="false" customWidth="true" hidden="false" outlineLevel="0" max="9" min="9" style="4" width="6.78"/>
    <col collapsed="false" customWidth="true" hidden="false" outlineLevel="0" max="13" min="10" style="5" width="5.78"/>
    <col collapsed="false" customWidth="true" hidden="false" outlineLevel="0" max="14" min="14" style="6" width="5.78"/>
    <col collapsed="false" customWidth="true" hidden="false" outlineLevel="0" max="16" min="15" style="7" width="5.78"/>
    <col collapsed="false" customWidth="false" hidden="false" outlineLevel="0" max="18" min="17" style="7" width="4.78"/>
    <col collapsed="false" customWidth="true" hidden="false" outlineLevel="0" max="19" min="19" style="7" width="4.28"/>
    <col collapsed="false" customWidth="false" hidden="false" outlineLevel="0" max="16364" min="20" style="7" width="4.78"/>
    <col collapsed="false" customWidth="true" hidden="false" outlineLevel="0" max="16368" min="16365" style="7" width="8.79"/>
    <col collapsed="false" customWidth="true" hidden="false" outlineLevel="0" max="16384" min="16369" style="7" width="9"/>
  </cols>
  <sheetData>
    <row r="1" s="8" customFormat="true" ht="34.5" hidden="false" customHeight="true" outlineLevel="0" collapsed="false"/>
    <row r="2" s="9" customFormat="true" ht="26.25" hidden="false" customHeight="true" outlineLevel="0" collapsed="false"/>
    <row r="1048562" customFormat="false" ht="16.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2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3" activeCellId="0" sqref="A3"/>
    </sheetView>
  </sheetViews>
  <sheetFormatPr defaultColWidth="4.78125" defaultRowHeight="26.25" customHeight="true" zeroHeight="false" outlineLevelRow="0" outlineLevelCol="0"/>
  <cols>
    <col collapsed="false" customWidth="true" hidden="false" outlineLevel="0" max="1" min="1" style="10" width="4.07"/>
    <col collapsed="false" customWidth="true" hidden="false" outlineLevel="0" max="2" min="2" style="1" width="11.28"/>
    <col collapsed="false" customWidth="true" hidden="false" outlineLevel="0" max="3" min="3" style="1" width="3.78"/>
    <col collapsed="false" customWidth="true" hidden="false" outlineLevel="0" max="4" min="4" style="1" width="5.78"/>
    <col collapsed="false" customWidth="true" hidden="false" outlineLevel="0" max="5" min="5" style="1" width="6.17"/>
    <col collapsed="false" customWidth="true" hidden="false" outlineLevel="0" max="6" min="6" style="11" width="8.78"/>
    <col collapsed="false" customWidth="true" hidden="false" outlineLevel="0" max="9" min="7" style="12" width="8.78"/>
    <col collapsed="false" customWidth="false" hidden="false" outlineLevel="0" max="26" min="10" style="7" width="4.78"/>
    <col collapsed="false" customWidth="true" hidden="false" outlineLevel="0" max="30" min="27" style="5" width="5.78"/>
    <col collapsed="false" customWidth="true" hidden="false" outlineLevel="0" max="32" min="31" style="6" width="5.78"/>
    <col collapsed="false" customWidth="true" hidden="false" outlineLevel="0" max="34" min="33" style="7" width="5.78"/>
    <col collapsed="false" customWidth="false" hidden="false" outlineLevel="0" max="14831" min="35" style="7" width="4.78"/>
    <col collapsed="false" customWidth="true" hidden="false" outlineLevel="0" max="16384" min="14832" style="7" width="8.79"/>
  </cols>
  <sheetData>
    <row r="1" s="14" customFormat="true" ht="34.5" hidden="false" customHeight="true" outlineLevel="0" collapsed="false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6" t="s">
        <v>7</v>
      </c>
      <c r="I1" s="16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8" t="s">
        <v>30</v>
      </c>
      <c r="AF1" s="19" t="s">
        <v>31</v>
      </c>
      <c r="AG1" s="20" t="s">
        <v>32</v>
      </c>
      <c r="AH1" s="14" t="s">
        <v>33</v>
      </c>
      <c r="AI1" s="21" t="s">
        <v>34</v>
      </c>
      <c r="AJ1" s="21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20" t="s">
        <v>40</v>
      </c>
      <c r="AP1" s="14" t="s">
        <v>10</v>
      </c>
      <c r="AQ1" s="22" t="s">
        <v>41</v>
      </c>
    </row>
    <row r="2" s="9" customFormat="true" ht="26.25" hidden="false" customHeight="true" outlineLevel="0" collapsed="false">
      <c r="A2" s="10" t="n">
        <v>1</v>
      </c>
      <c r="B2" s="23" t="s">
        <v>42</v>
      </c>
      <c r="C2" s="24" t="str">
        <f aca="false">'연도별 상수'!AE$3</f>
        <v>1B</v>
      </c>
      <c r="D2" s="25" t="s">
        <v>43</v>
      </c>
      <c r="E2" s="24" t="n">
        <f aca="false">'연도별 상수'!$A$46</f>
        <v>2026</v>
      </c>
      <c r="F2" s="26" t="n">
        <f aca="false">ROUND(((H2)+(I2)+(AG2*K2/600)+(20*K2/600))/'연도별 상수'!$U$46,2)</f>
        <v>4.49</v>
      </c>
      <c r="G2" s="27" t="n">
        <f aca="false">ROUND(100*(((((AE2-'리그 타자'!$B$46)/'연도별 상수'!$T$46)+'연도별 상수'!$W$46))+('연도별 상수'!$W$46*(1-AH2)))/'연도별 상수'!$W$46,1)</f>
        <v>189.2</v>
      </c>
      <c r="H2" s="27" t="n">
        <f aca="false">ROUND((((AE2-'리그 타자'!$B$46)/'연도별 상수'!$T$46)*K2/AH2)+(S2*'연도별 상수'!$AB$46-T2*'연도별 상수'!$AC$46)-((S2+T2)*('연도별 상수'!$AD$46*0.2-(1-'연도별 상수'!$AD$46)*0.4))+0.05*(S2+O2+P2),1)</f>
        <v>43.9</v>
      </c>
      <c r="I2" s="27" t="n">
        <f aca="false">ROUND((0.75*AO2)+(AF2*(J2/144)),1)</f>
        <v>-3</v>
      </c>
      <c r="J2" s="28" t="n">
        <v>85</v>
      </c>
      <c r="K2" s="28" t="n">
        <v>378</v>
      </c>
      <c r="L2" s="28" t="n">
        <v>327</v>
      </c>
      <c r="M2" s="28" t="n">
        <v>69</v>
      </c>
      <c r="N2" s="28" t="n">
        <v>111</v>
      </c>
      <c r="O2" s="28" t="n">
        <v>18</v>
      </c>
      <c r="P2" s="28" t="n">
        <v>3</v>
      </c>
      <c r="Q2" s="28" t="n">
        <v>27</v>
      </c>
      <c r="R2" s="28" t="n">
        <v>83</v>
      </c>
      <c r="S2" s="7" t="n">
        <v>2</v>
      </c>
      <c r="T2" s="7" t="n">
        <v>1</v>
      </c>
      <c r="U2" s="28" t="n">
        <v>42</v>
      </c>
      <c r="V2" s="28" t="n">
        <v>6</v>
      </c>
      <c r="W2" s="28" t="n">
        <v>4</v>
      </c>
      <c r="X2" s="28" t="n">
        <v>58</v>
      </c>
      <c r="Y2" s="28" t="n">
        <v>6</v>
      </c>
      <c r="Z2" s="28" t="n">
        <v>3</v>
      </c>
      <c r="AA2" s="29" t="n">
        <f aca="false">ROUND(N2/L2,3)</f>
        <v>0.339</v>
      </c>
      <c r="AB2" s="29" t="n">
        <f aca="false">ROUND((N2+U2+V2)/(L2+U2+V2+Z2),3)</f>
        <v>0.421</v>
      </c>
      <c r="AC2" s="29" t="n">
        <f aca="false">ROUND(((N2-O2-P2-Q2)+2*O2+3*P2+4*Q2)/L2,3)</f>
        <v>0.661</v>
      </c>
      <c r="AD2" s="29" t="n">
        <f aca="false">ROUND(AB2+AC2,3)</f>
        <v>1.082</v>
      </c>
      <c r="AE2" s="30" t="n">
        <f aca="false">ROUND((('연도별 상수'!$N$46*(U2-W2))+('연도별 상수'!$O$46*V2)+('연도별 상수'!$P$46*(N2-O2-P2-Q2))+('연도별 상수'!$Q$46*O2)+('연도별 상수'!$R$46*P2)+('연도별 상수'!$S$46*Q2))/(L2+U2+V2-W2+Z2),3)</f>
        <v>0.469</v>
      </c>
      <c r="AF2" s="31" t="n">
        <f aca="false">'연도별 상수'!AG$3</f>
        <v>-10.22</v>
      </c>
      <c r="AG2" s="9" t="n">
        <f aca="false">'연도별 상수'!AH$3</f>
        <v>-8</v>
      </c>
      <c r="AH2" s="9" t="n">
        <f aca="false">'연도별 상수'!$B$46</f>
        <v>0.871842</v>
      </c>
      <c r="AI2" s="7" t="n">
        <v>0</v>
      </c>
      <c r="AJ2" s="7" t="n">
        <v>0</v>
      </c>
      <c r="AK2" s="7" t="n">
        <v>0</v>
      </c>
      <c r="AL2" s="7" t="n">
        <v>0</v>
      </c>
      <c r="AM2" s="7" t="n">
        <v>0</v>
      </c>
      <c r="AN2" s="7" t="n">
        <v>0</v>
      </c>
      <c r="AO2" s="9" t="n">
        <v>4</v>
      </c>
      <c r="AP2" s="1" t="n">
        <f aca="false">K2</f>
        <v>378</v>
      </c>
      <c r="AQ2" s="7" t="n">
        <v>1</v>
      </c>
    </row>
    <row r="3" customFormat="false" ht="26.25" hidden="false" customHeight="true" outlineLevel="0" collapsed="false">
      <c r="A3" s="10" t="n">
        <v>2</v>
      </c>
      <c r="B3" s="23" t="s">
        <v>44</v>
      </c>
      <c r="C3" s="24" t="str">
        <f aca="false">'연도별 상수'!AE$6</f>
        <v>SS</v>
      </c>
      <c r="D3" s="25" t="s">
        <v>45</v>
      </c>
      <c r="E3" s="24" t="n">
        <f aca="false">'연도별 상수'!$A$46</f>
        <v>2026</v>
      </c>
      <c r="F3" s="26" t="n">
        <f aca="false">ROUND(((H3)+(I3)+(AG3*K3/600)+(20*K3/600))/'연도별 상수'!$U$46,2)</f>
        <v>3.77</v>
      </c>
      <c r="G3" s="27" t="n">
        <f aca="false">ROUND(100*(((((AE3-'리그 타자'!$B$46)/'연도별 상수'!$T$46)+'연도별 상수'!$W$46))+('연도별 상수'!$W$46*(1-AH3)))/'연도별 상수'!$W$46,1)</f>
        <v>129.7</v>
      </c>
      <c r="H3" s="27" t="n">
        <f aca="false">ROUND((((AE3-'리그 타자'!$B$46)/'연도별 상수'!$T$46)*K3/AH3)+(S3*'연도별 상수'!$AB$46-T3*'연도별 상수'!$AC$46)-((S3+T3)*('연도별 상수'!$AD$46*0.2-(1-'연도별 상수'!$AD$46)*0.4))+0.05*(S3+O3+P3),1)</f>
        <v>16</v>
      </c>
      <c r="I3" s="27" t="n">
        <f aca="false">ROUND((0.75*AO3)+(AF3*(J3/144)),1)</f>
        <v>8.3</v>
      </c>
      <c r="J3" s="28" t="n">
        <v>81</v>
      </c>
      <c r="K3" s="28" t="n">
        <v>366</v>
      </c>
      <c r="L3" s="28" t="n">
        <v>320</v>
      </c>
      <c r="M3" s="28" t="n">
        <v>55</v>
      </c>
      <c r="N3" s="28" t="n">
        <v>98</v>
      </c>
      <c r="O3" s="28" t="n">
        <v>15</v>
      </c>
      <c r="P3" s="28" t="n">
        <v>0</v>
      </c>
      <c r="Q3" s="28" t="n">
        <v>13</v>
      </c>
      <c r="R3" s="28" t="n">
        <v>40</v>
      </c>
      <c r="S3" s="7" t="n">
        <v>20</v>
      </c>
      <c r="T3" s="7" t="n">
        <v>4</v>
      </c>
      <c r="U3" s="28" t="n">
        <v>29</v>
      </c>
      <c r="V3" s="28" t="n">
        <v>13</v>
      </c>
      <c r="W3" s="28" t="n">
        <v>2</v>
      </c>
      <c r="X3" s="28" t="n">
        <v>49</v>
      </c>
      <c r="Y3" s="28" t="n">
        <v>1</v>
      </c>
      <c r="Z3" s="28" t="n">
        <v>3</v>
      </c>
      <c r="AA3" s="29" t="n">
        <f aca="false">ROUND(N3/L3,3)</f>
        <v>0.306</v>
      </c>
      <c r="AB3" s="29" t="n">
        <f aca="false">ROUND((N3+U3+V3)/(L3+U3+V3+Z3),3)</f>
        <v>0.384</v>
      </c>
      <c r="AC3" s="29" t="n">
        <f aca="false">ROUND(((N3-O3-P3-Q3)+2*O3+3*P3+4*Q3)/L3,3)</f>
        <v>0.475</v>
      </c>
      <c r="AD3" s="29" t="n">
        <f aca="false">ROUND(AB3+AC3,3)</f>
        <v>0.859</v>
      </c>
      <c r="AE3" s="30" t="n">
        <f aca="false">ROUND((('연도별 상수'!$N$46*(U3-W3))+('연도별 상수'!$O$46*V3)+('연도별 상수'!$P$46*(N3-O3-P3-Q3))+('연도별 상수'!$Q$46*O3)+('연도별 상수'!$R$46*P3)+('연도별 상수'!$S$46*Q3))/(L3+U3+V3-W3+Z3),3)</f>
        <v>0.389</v>
      </c>
      <c r="AF3" s="31" t="n">
        <f aca="false">'연도별 상수'!AG$6</f>
        <v>2.77</v>
      </c>
      <c r="AG3" s="9" t="n">
        <f aca="false">'연도별 상수'!AH$6</f>
        <v>7</v>
      </c>
      <c r="AH3" s="9" t="n">
        <f aca="false">'연도별 상수'!$J$46</f>
        <v>0.968492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9" t="n">
        <v>9</v>
      </c>
      <c r="AP3" s="1" t="n">
        <f aca="false">K3</f>
        <v>366</v>
      </c>
      <c r="AQ3" s="7" t="n">
        <v>0</v>
      </c>
    </row>
    <row r="4" customFormat="false" ht="26.25" hidden="false" customHeight="true" outlineLevel="0" collapsed="false">
      <c r="A4" s="10" t="n">
        <v>3</v>
      </c>
      <c r="B4" s="23" t="s">
        <v>46</v>
      </c>
      <c r="C4" s="24" t="str">
        <f aca="false">'연도별 상수'!AE$5</f>
        <v>3B</v>
      </c>
      <c r="D4" s="25" t="s">
        <v>47</v>
      </c>
      <c r="E4" s="24" t="n">
        <f aca="false">'연도별 상수'!$A$46</f>
        <v>2026</v>
      </c>
      <c r="F4" s="26" t="n">
        <f aca="false">ROUND(((H4)+(I4)+(AG4*K4/600)+(20*K4/600))/'연도별 상수'!$U$46,2)</f>
        <v>3.77</v>
      </c>
      <c r="G4" s="27" t="n">
        <f aca="false">ROUND(100*(((((AE4-'리그 타자'!$B$46)/'연도별 상수'!$T$46)+'연도별 상수'!$W$46))+('연도별 상수'!$W$46*(1-AH4)))/'연도별 상수'!$W$46,1)</f>
        <v>163.9</v>
      </c>
      <c r="H4" s="27" t="n">
        <f aca="false">ROUND((((AE4-'리그 타자'!$B$46)/'연도별 상수'!$T$46)*K4/AH4)+(S4*'연도별 상수'!$AB$46-T4*'연도별 상수'!$AC$46)-((S4+T4)*('연도별 상수'!$AD$46*0.2-(1-'연도별 상수'!$AD$46)*0.4))+0.05*(S4+O4+P4),1)</f>
        <v>31.1</v>
      </c>
      <c r="I4" s="27" t="n">
        <f aca="false">ROUND((0.75*AO4)+(AF4*(J4/144)),1)</f>
        <v>-2.1</v>
      </c>
      <c r="J4" s="28" t="n">
        <v>86</v>
      </c>
      <c r="K4" s="28" t="n">
        <v>371</v>
      </c>
      <c r="L4" s="28" t="n">
        <v>315</v>
      </c>
      <c r="M4" s="28" t="n">
        <v>69</v>
      </c>
      <c r="N4" s="28" t="n">
        <v>94</v>
      </c>
      <c r="O4" s="28" t="n">
        <v>17</v>
      </c>
      <c r="P4" s="28" t="n">
        <v>1</v>
      </c>
      <c r="Q4" s="28" t="n">
        <v>27</v>
      </c>
      <c r="R4" s="28" t="n">
        <v>74</v>
      </c>
      <c r="S4" s="7" t="n">
        <v>5</v>
      </c>
      <c r="T4" s="7" t="n">
        <v>0</v>
      </c>
      <c r="U4" s="28" t="n">
        <v>47</v>
      </c>
      <c r="V4" s="28" t="n">
        <v>5</v>
      </c>
      <c r="W4" s="28" t="n">
        <v>7</v>
      </c>
      <c r="X4" s="28" t="n">
        <v>61</v>
      </c>
      <c r="Y4" s="28" t="n">
        <v>7</v>
      </c>
      <c r="Z4" s="28" t="n">
        <v>4</v>
      </c>
      <c r="AA4" s="29" t="n">
        <f aca="false">ROUND(N4/L4,3)</f>
        <v>0.298</v>
      </c>
      <c r="AB4" s="29" t="n">
        <f aca="false">ROUND((N4+U4+V4)/(L4+U4+V4+Z4),3)</f>
        <v>0.394</v>
      </c>
      <c r="AC4" s="29" t="n">
        <f aca="false">ROUND(((N4-O4-P4-Q4)+2*O4+3*P4+4*Q4)/L4,3)</f>
        <v>0.616</v>
      </c>
      <c r="AD4" s="29" t="n">
        <f aca="false">ROUND(AB4+AC4,3)</f>
        <v>1.01</v>
      </c>
      <c r="AE4" s="30" t="n">
        <f aca="false">ROUND((('연도별 상수'!$N$46*(U4-W4))+('연도별 상수'!$O$46*V4)+('연도별 상수'!$P$46*(N4-O4-P4-Q4))+('연도별 상수'!$Q$46*O4)+('연도별 상수'!$R$46*P4)+('연도별 상수'!$S$46*Q4))/(L4+U4+V4-W4+Z4),3)</f>
        <v>0.436</v>
      </c>
      <c r="AF4" s="31" t="n">
        <f aca="false">'연도별 상수'!AG$5</f>
        <v>0.22</v>
      </c>
      <c r="AG4" s="9" t="n">
        <f aca="false">'연도별 상수'!AH$5</f>
        <v>-1</v>
      </c>
      <c r="AH4" s="9" t="n">
        <f aca="false">'연도별 상수'!$G$46</f>
        <v>0.919389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9" t="n">
        <v>-3</v>
      </c>
      <c r="AP4" s="1" t="n">
        <f aca="false">K4</f>
        <v>371</v>
      </c>
      <c r="AQ4" s="7" t="n">
        <v>0</v>
      </c>
    </row>
    <row r="5" customFormat="false" ht="26.25" hidden="false" customHeight="true" outlineLevel="0" collapsed="false">
      <c r="A5" s="10" t="n">
        <v>4</v>
      </c>
      <c r="B5" s="23" t="s">
        <v>48</v>
      </c>
      <c r="C5" s="24" t="str">
        <f aca="false">'연도별 상수'!AE$4</f>
        <v>2B</v>
      </c>
      <c r="D5" s="25" t="s">
        <v>45</v>
      </c>
      <c r="E5" s="24" t="n">
        <f aca="false">'연도별 상수'!$A$46</f>
        <v>2026</v>
      </c>
      <c r="F5" s="26" t="n">
        <f aca="false">ROUND(((H5)+(I5)+(AG5*K5/600)+(20*K5/600))/'연도별 상수'!$U$46,2)</f>
        <v>3.18</v>
      </c>
      <c r="G5" s="27" t="n">
        <f aca="false">ROUND(100*(((((AE5-'리그 타자'!$B$46)/'연도별 상수'!$T$46)+'연도별 상수'!$W$46))+('연도별 상수'!$W$46*(1-AH5)))/'연도별 상수'!$W$46,1)</f>
        <v>144.7</v>
      </c>
      <c r="H5" s="27" t="n">
        <f aca="false">ROUND((((AE5-'리그 타자'!$B$46)/'연도별 상수'!$T$46)*K5/AH5)+(S5*'연도별 상수'!$AB$46-T5*'연도별 상수'!$AC$46)-((S5+T5)*('연도별 상수'!$AD$46*0.2-(1-'연도별 상수'!$AD$46)*0.4))+0.05*(S5+O5+P5),1)</f>
        <v>20.3</v>
      </c>
      <c r="I5" s="27" t="n">
        <f aca="false">ROUND((0.75*AO5)+(AF5*(J5/144)),1)</f>
        <v>1.4</v>
      </c>
      <c r="J5" s="28" t="n">
        <v>78</v>
      </c>
      <c r="K5" s="28" t="n">
        <v>329</v>
      </c>
      <c r="L5" s="28" t="n">
        <v>273</v>
      </c>
      <c r="M5" s="28" t="n">
        <v>48</v>
      </c>
      <c r="N5" s="28" t="n">
        <v>92</v>
      </c>
      <c r="O5" s="28" t="n">
        <v>18</v>
      </c>
      <c r="P5" s="28" t="n">
        <v>0</v>
      </c>
      <c r="Q5" s="28" t="n">
        <v>5</v>
      </c>
      <c r="R5" s="28" t="n">
        <v>48</v>
      </c>
      <c r="S5" s="7" t="n">
        <v>26</v>
      </c>
      <c r="T5" s="7" t="n">
        <v>9</v>
      </c>
      <c r="U5" s="28" t="n">
        <v>46</v>
      </c>
      <c r="V5" s="28" t="n">
        <v>6</v>
      </c>
      <c r="W5" s="28" t="n">
        <v>2</v>
      </c>
      <c r="X5" s="28" t="n">
        <v>37</v>
      </c>
      <c r="Y5" s="28" t="n">
        <v>7</v>
      </c>
      <c r="Z5" s="28" t="n">
        <v>3</v>
      </c>
      <c r="AA5" s="29" t="n">
        <f aca="false">ROUND(N5/L5,3)</f>
        <v>0.337</v>
      </c>
      <c r="AB5" s="29" t="n">
        <f aca="false">ROUND((N5+U5+V5)/(L5+U5+V5+Z5),3)</f>
        <v>0.439</v>
      </c>
      <c r="AC5" s="29" t="n">
        <f aca="false">ROUND(((N5-O5-P5-Q5)+2*O5+3*P5+4*Q5)/L5,3)</f>
        <v>0.458</v>
      </c>
      <c r="AD5" s="29" t="n">
        <f aca="false">ROUND(AB5+AC5,3)</f>
        <v>0.897</v>
      </c>
      <c r="AE5" s="30" t="n">
        <f aca="false">ROUND((('연도별 상수'!$N$46*(U5-W5))+('연도별 상수'!$O$46*V5)+('연도별 상수'!$P$46*(N5-O5-P5-Q5))+('연도별 상수'!$Q$46*O5)+('연도별 상수'!$R$46*P5)+('연도별 상수'!$S$46*Q5))/(L5+U5+V5-W5+Z5),3)</f>
        <v>0.413</v>
      </c>
      <c r="AF5" s="31" t="n">
        <f aca="false">'연도별 상수'!AG$4</f>
        <v>1.22</v>
      </c>
      <c r="AG5" s="9" t="n">
        <f aca="false">'연도별 상수'!AH$4</f>
        <v>3</v>
      </c>
      <c r="AH5" s="9" t="n">
        <f aca="false">'연도별 상수'!$J$46</f>
        <v>0.968492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9" t="n">
        <v>1</v>
      </c>
      <c r="AP5" s="1" t="n">
        <f aca="false">K5</f>
        <v>329</v>
      </c>
      <c r="AQ5" s="7" t="n">
        <v>0</v>
      </c>
    </row>
    <row r="6" customFormat="false" ht="26.25" hidden="false" customHeight="true" outlineLevel="0" collapsed="false">
      <c r="A6" s="10" t="n">
        <v>5</v>
      </c>
      <c r="B6" s="23" t="s">
        <v>49</v>
      </c>
      <c r="C6" s="24" t="str">
        <f aca="false">'연도별 상수'!AE$6</f>
        <v>SS</v>
      </c>
      <c r="D6" s="25" t="s">
        <v>50</v>
      </c>
      <c r="E6" s="24" t="n">
        <f aca="false">'연도별 상수'!$A$46</f>
        <v>2026</v>
      </c>
      <c r="F6" s="26" t="n">
        <f aca="false">ROUND(((H6)+(I6)+(AG6*K6/600)+(20*K6/600))/'연도별 상수'!$U$46,2)</f>
        <v>3.09</v>
      </c>
      <c r="G6" s="27" t="n">
        <f aca="false">ROUND(100*(((((AE6-'리그 타자'!$B$46)/'연도별 상수'!$T$46)+'연도별 상수'!$W$46))+('연도별 상수'!$W$46*(1-AH6)))/'연도별 상수'!$W$46,1)</f>
        <v>140.9</v>
      </c>
      <c r="H6" s="27" t="n">
        <f aca="false">ROUND((((AE6-'리그 타자'!$B$46)/'연도별 상수'!$T$46)*K6/AH6)+(S6*'연도별 상수'!$AB$46-T6*'연도별 상수'!$AC$46)-((S6+T6)*('연도별 상수'!$AD$46*0.2-(1-'연도별 상수'!$AD$46)*0.4))+0.05*(S6+O6+P6),1)</f>
        <v>19.3</v>
      </c>
      <c r="I6" s="27" t="n">
        <f aca="false">ROUND((0.75*AO6)+(AF6*(J6/144)),1)</f>
        <v>-2.8</v>
      </c>
      <c r="J6" s="28" t="n">
        <v>86</v>
      </c>
      <c r="K6" s="28" t="n">
        <v>374</v>
      </c>
      <c r="L6" s="28" t="n">
        <v>315</v>
      </c>
      <c r="M6" s="28" t="n">
        <v>57</v>
      </c>
      <c r="N6" s="28" t="n">
        <v>105</v>
      </c>
      <c r="O6" s="28" t="n">
        <v>20</v>
      </c>
      <c r="P6" s="28" t="n">
        <v>1</v>
      </c>
      <c r="Q6" s="28" t="n">
        <v>3</v>
      </c>
      <c r="R6" s="28" t="n">
        <v>39</v>
      </c>
      <c r="S6" s="7" t="n">
        <v>5</v>
      </c>
      <c r="T6" s="7" t="n">
        <v>2</v>
      </c>
      <c r="U6" s="28" t="n">
        <v>56</v>
      </c>
      <c r="V6" s="28" t="n">
        <v>1</v>
      </c>
      <c r="W6" s="28" t="n">
        <v>1</v>
      </c>
      <c r="X6" s="28" t="n">
        <v>45</v>
      </c>
      <c r="Y6" s="28" t="n">
        <v>2</v>
      </c>
      <c r="Z6" s="28" t="n">
        <v>2</v>
      </c>
      <c r="AA6" s="29" t="n">
        <f aca="false">ROUND(N6/L6,3)</f>
        <v>0.333</v>
      </c>
      <c r="AB6" s="29" t="n">
        <f aca="false">ROUND((N6+U6+V6)/(L6+U6+V6+Z6),3)</f>
        <v>0.433</v>
      </c>
      <c r="AC6" s="29" t="n">
        <f aca="false">ROUND(((N6-O6-P6-Q6)+2*O6+3*P6+4*Q6)/L6,3)</f>
        <v>0.432</v>
      </c>
      <c r="AD6" s="29" t="n">
        <f aca="false">ROUND(AB6+AC6,3)</f>
        <v>0.865</v>
      </c>
      <c r="AE6" s="30" t="n">
        <f aca="false">ROUND((('연도별 상수'!$N$46*(U6-W6))+('연도별 상수'!$O$46*V6)+('연도별 상수'!$P$46*(N6-O6-P6-Q6))+('연도별 상수'!$Q$46*O6)+('연도별 상수'!$R$46*P6)+('연도별 상수'!$S$46*Q6))/(L6+U6+V6-W6+Z6),3)</f>
        <v>0.403</v>
      </c>
      <c r="AF6" s="31" t="n">
        <f aca="false">'연도별 상수'!AG$6</f>
        <v>2.77</v>
      </c>
      <c r="AG6" s="9" t="n">
        <f aca="false">'연도별 상수'!AH$6</f>
        <v>7</v>
      </c>
      <c r="AH6" s="9" t="n">
        <f aca="false">'연도별 상수'!$D$46</f>
        <v>0.943387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9" t="n">
        <v>-6</v>
      </c>
      <c r="AP6" s="1" t="n">
        <f aca="false">K6</f>
        <v>374</v>
      </c>
      <c r="AQ6" s="7" t="n">
        <v>0</v>
      </c>
    </row>
    <row r="7" customFormat="false" ht="26.25" hidden="false" customHeight="true" outlineLevel="0" collapsed="false">
      <c r="A7" s="10" t="n">
        <v>6</v>
      </c>
      <c r="B7" s="23" t="s">
        <v>51</v>
      </c>
      <c r="C7" s="24" t="str">
        <f aca="false">'연도별 상수'!AE$2</f>
        <v>C</v>
      </c>
      <c r="D7" s="25" t="s">
        <v>47</v>
      </c>
      <c r="E7" s="24" t="n">
        <f aca="false">'연도별 상수'!$A$46</f>
        <v>2026</v>
      </c>
      <c r="F7" s="26" t="n">
        <f aca="false">ROUND(((H7)+(I7)+(AG7*K7/600)+(20*K7/600))/'연도별 상수'!$U$46,2)</f>
        <v>2.93</v>
      </c>
      <c r="G7" s="27" t="n">
        <f aca="false">ROUND(100*(((((AE7-'리그 타자'!$B$46)/'연도별 상수'!$T$46)+'연도별 상수'!$W$46))+('연도별 상수'!$W$46*(1-AH7)))/'연도별 상수'!$W$46,1)</f>
        <v>153.9</v>
      </c>
      <c r="H7" s="27" t="n">
        <f aca="false">ROUND((((AE7-'리그 타자'!$B$46)/'연도별 상수'!$T$46)*K7/AH7)+(S7*'연도별 상수'!$AB$46-T7*'연도별 상수'!$AC$46)-((S7+T7)*('연도별 상수'!$AD$46*0.2-(1-'연도별 상수'!$AD$46)*0.4))+0.05*(S7+O7+P7),1)</f>
        <v>17</v>
      </c>
      <c r="I7" s="27" t="n">
        <f aca="false">ROUND((0.75*AO7)+(AF7*(J7/144)),1)</f>
        <v>1.9</v>
      </c>
      <c r="J7" s="28" t="n">
        <v>74</v>
      </c>
      <c r="K7" s="28" t="n">
        <v>256</v>
      </c>
      <c r="L7" s="28" t="n">
        <v>208</v>
      </c>
      <c r="M7" s="28" t="n">
        <v>29</v>
      </c>
      <c r="N7" s="28" t="n">
        <v>67</v>
      </c>
      <c r="O7" s="28" t="n">
        <v>17</v>
      </c>
      <c r="P7" s="28" t="n">
        <v>0</v>
      </c>
      <c r="Q7" s="28" t="n">
        <v>6</v>
      </c>
      <c r="R7" s="28" t="n">
        <v>26</v>
      </c>
      <c r="S7" s="7" t="n">
        <v>0</v>
      </c>
      <c r="T7" s="7" t="n">
        <v>1</v>
      </c>
      <c r="U7" s="28" t="n">
        <v>36</v>
      </c>
      <c r="V7" s="28" t="n">
        <v>6</v>
      </c>
      <c r="W7" s="28" t="n">
        <v>2</v>
      </c>
      <c r="X7" s="28" t="n">
        <v>37</v>
      </c>
      <c r="Y7" s="28" t="n">
        <v>7</v>
      </c>
      <c r="Z7" s="28" t="n">
        <v>2</v>
      </c>
      <c r="AA7" s="29" t="n">
        <f aca="false">ROUND(N7/L7,3)</f>
        <v>0.322</v>
      </c>
      <c r="AB7" s="29" t="n">
        <f aca="false">ROUND((N7+U7+V7)/(L7+U7+V7+Z7),3)</f>
        <v>0.433</v>
      </c>
      <c r="AC7" s="29" t="n">
        <f aca="false">ROUND(((N7-O7-P7-Q7)+2*O7+3*P7+4*Q7)/L7,3)</f>
        <v>0.49</v>
      </c>
      <c r="AD7" s="29" t="n">
        <f aca="false">ROUND(AB7+AC7,3)</f>
        <v>0.923</v>
      </c>
      <c r="AE7" s="30" t="n">
        <f aca="false">ROUND((('연도별 상수'!$N$46*(U7-W7))+('연도별 상수'!$O$46*V7)+('연도별 상수'!$P$46*(N7-O7-P7-Q7))+('연도별 상수'!$Q$46*O7)+('연도별 상수'!$R$46*P7)+('연도별 상수'!$S$46*Q7))/(L7+U7+V7-W7+Z7),3)</f>
        <v>0.42</v>
      </c>
      <c r="AF7" s="31" t="n">
        <f aca="false">'연도별 상수'!AG$2</f>
        <v>5.22</v>
      </c>
      <c r="AG7" s="9" t="n">
        <f aca="false">'연도별 상수'!AH$2</f>
        <v>10</v>
      </c>
      <c r="AH7" s="9" t="n">
        <f aca="false">'연도별 상수'!$G$46</f>
        <v>0.919389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9" t="n">
        <v>-1</v>
      </c>
      <c r="AP7" s="1" t="n">
        <f aca="false">K7</f>
        <v>256</v>
      </c>
      <c r="AQ7" s="7" t="n">
        <v>0</v>
      </c>
    </row>
    <row r="8" customFormat="false" ht="26.25" hidden="false" customHeight="true" outlineLevel="0" collapsed="false">
      <c r="A8" s="10" t="n">
        <v>7</v>
      </c>
      <c r="B8" s="23" t="s">
        <v>52</v>
      </c>
      <c r="C8" s="24" t="str">
        <f aca="false">'연도별 상수'!AE$5</f>
        <v>3B</v>
      </c>
      <c r="D8" s="25" t="s">
        <v>50</v>
      </c>
      <c r="E8" s="24" t="n">
        <f aca="false">'연도별 상수'!$A$46</f>
        <v>2026</v>
      </c>
      <c r="F8" s="26" t="n">
        <f aca="false">ROUND(((H8)+(I8)+(AG8*K8/600)+(20*K8/600))/'연도별 상수'!$U$46,2)</f>
        <v>2.89</v>
      </c>
      <c r="G8" s="27" t="n">
        <f aca="false">ROUND(100*(((((AE8-'리그 타자'!$B$46)/'연도별 상수'!$T$46)+'연도별 상수'!$W$46))+('연도별 상수'!$W$46*(1-AH8)))/'연도별 상수'!$W$46,1)</f>
        <v>160.9</v>
      </c>
      <c r="H8" s="27" t="n">
        <f aca="false">ROUND((((AE8-'리그 타자'!$B$46)/'연도별 상수'!$T$46)*K8/AH8)+(S8*'연도별 상수'!$AB$46-T8*'연도별 상수'!$AC$46)-((S8+T8)*('연도별 상수'!$AD$46*0.2-(1-'연도별 상수'!$AD$46)*0.4))+0.05*(S8+O8+P8),1)</f>
        <v>23.8</v>
      </c>
      <c r="I8" s="27" t="n">
        <f aca="false">ROUND((0.75*AO8)+(AF8*(J8/144)),1)</f>
        <v>-2.1</v>
      </c>
      <c r="J8" s="28" t="n">
        <v>70</v>
      </c>
      <c r="K8" s="28" t="n">
        <v>300</v>
      </c>
      <c r="L8" s="28" t="n">
        <v>251</v>
      </c>
      <c r="M8" s="28" t="n">
        <v>44</v>
      </c>
      <c r="N8" s="28" t="n">
        <v>77</v>
      </c>
      <c r="O8" s="28" t="n">
        <v>17</v>
      </c>
      <c r="P8" s="28" t="n">
        <v>1</v>
      </c>
      <c r="Q8" s="28" t="n">
        <v>19</v>
      </c>
      <c r="R8" s="28" t="n">
        <v>54</v>
      </c>
      <c r="S8" s="7" t="n">
        <v>3</v>
      </c>
      <c r="T8" s="7" t="n">
        <v>1</v>
      </c>
      <c r="U8" s="28" t="n">
        <v>37</v>
      </c>
      <c r="V8" s="28" t="n">
        <v>6</v>
      </c>
      <c r="W8" s="28" t="n">
        <v>5</v>
      </c>
      <c r="X8" s="28" t="n">
        <v>66</v>
      </c>
      <c r="Y8" s="28" t="n">
        <v>7</v>
      </c>
      <c r="Z8" s="28" t="n">
        <v>6</v>
      </c>
      <c r="AA8" s="29" t="n">
        <f aca="false">ROUND(N8/L8,3)</f>
        <v>0.307</v>
      </c>
      <c r="AB8" s="29" t="n">
        <f aca="false">ROUND((N8+U8+V8)/(L8+U8+V8+Z8),3)</f>
        <v>0.4</v>
      </c>
      <c r="AC8" s="29" t="n">
        <f aca="false">ROUND(((N8-O8-P8-Q8)+2*O8+3*P8+4*Q8)/L8,3)</f>
        <v>0.61</v>
      </c>
      <c r="AD8" s="29" t="n">
        <f aca="false">ROUND(AB8+AC8,3)</f>
        <v>1.01</v>
      </c>
      <c r="AE8" s="30" t="n">
        <f aca="false">ROUND((('연도별 상수'!$N$46*(U8-W8))+('연도별 상수'!$O$46*V8)+('연도별 상수'!$P$46*(N8-O8-P8-Q8))+('연도별 상수'!$Q$46*O8)+('연도별 상수'!$R$46*P8)+('연도별 상수'!$S$46*Q8))/(L8+U8+V8-W8+Z8),3)</f>
        <v>0.435</v>
      </c>
      <c r="AF8" s="31" t="n">
        <f aca="false">'연도별 상수'!AG$5</f>
        <v>0.22</v>
      </c>
      <c r="AG8" s="9" t="n">
        <f aca="false">'연도별 상수'!AH$5</f>
        <v>-1</v>
      </c>
      <c r="AH8" s="9" t="n">
        <f aca="false">'연도별 상수'!$D$46</f>
        <v>0.943387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9" t="n">
        <v>-3</v>
      </c>
      <c r="AP8" s="1" t="n">
        <f aca="false">K8</f>
        <v>300</v>
      </c>
      <c r="AQ8" s="7" t="n">
        <v>0</v>
      </c>
    </row>
    <row r="9" customFormat="false" ht="26.25" hidden="false" customHeight="true" outlineLevel="0" collapsed="false">
      <c r="A9" s="10" t="n">
        <v>8</v>
      </c>
      <c r="B9" s="23" t="s">
        <v>53</v>
      </c>
      <c r="C9" s="24" t="str">
        <f aca="false">'연도별 상수'!AE$6</f>
        <v>SS</v>
      </c>
      <c r="D9" s="25" t="s">
        <v>54</v>
      </c>
      <c r="E9" s="24" t="n">
        <f aca="false">'연도별 상수'!$A$46</f>
        <v>2026</v>
      </c>
      <c r="F9" s="26" t="n">
        <f aca="false">ROUND(((H9)+(I9)+(AG9*K9/600)+(20*K9/600))/'연도별 상수'!$U$46,2)</f>
        <v>2.64</v>
      </c>
      <c r="G9" s="27" t="n">
        <f aca="false">ROUND(100*(((((AE9-'리그 타자'!$B$46)/'연도별 상수'!$T$46)+'연도별 상수'!$W$46))+('연도별 상수'!$W$46*(1-AH9)))/'연도별 상수'!$W$46,1)</f>
        <v>110.7</v>
      </c>
      <c r="H9" s="27" t="n">
        <f aca="false">ROUND((((AE9-'리그 타자'!$B$46)/'연도별 상수'!$T$46)*K9/AH9)+(S9*'연도별 상수'!$AB$46-T9*'연도별 상수'!$AC$46)-((S9+T9)*('연도별 상수'!$AD$46*0.2-(1-'연도별 상수'!$AD$46)*0.4))+0.05*(S9+O9+P9),1)</f>
        <v>2.1</v>
      </c>
      <c r="I9" s="27" t="n">
        <f aca="false">ROUND((0.75*AO9)+(AF9*(J9/144)),1)</f>
        <v>9.9</v>
      </c>
      <c r="J9" s="28" t="n">
        <v>87</v>
      </c>
      <c r="K9" s="28" t="n">
        <v>368</v>
      </c>
      <c r="L9" s="28" t="n">
        <v>320</v>
      </c>
      <c r="M9" s="28" t="n">
        <v>56</v>
      </c>
      <c r="N9" s="28" t="n">
        <v>90</v>
      </c>
      <c r="O9" s="28" t="n">
        <v>18</v>
      </c>
      <c r="P9" s="28" t="n">
        <v>2</v>
      </c>
      <c r="Q9" s="28" t="n">
        <v>4</v>
      </c>
      <c r="R9" s="28" t="n">
        <v>33</v>
      </c>
      <c r="S9" s="7" t="n">
        <v>20</v>
      </c>
      <c r="T9" s="7" t="n">
        <v>4</v>
      </c>
      <c r="U9" s="28" t="n">
        <v>36</v>
      </c>
      <c r="V9" s="28" t="n">
        <v>2</v>
      </c>
      <c r="W9" s="28" t="n">
        <v>1</v>
      </c>
      <c r="X9" s="28" t="n">
        <v>50</v>
      </c>
      <c r="Y9" s="28" t="n">
        <v>6</v>
      </c>
      <c r="Z9" s="28" t="n">
        <v>3</v>
      </c>
      <c r="AA9" s="29" t="n">
        <f aca="false">ROUND(N9/L9,3)</f>
        <v>0.281</v>
      </c>
      <c r="AB9" s="29" t="n">
        <f aca="false">ROUND((N9+U9+V9)/(L9+U9+V9+Z9),3)</f>
        <v>0.355</v>
      </c>
      <c r="AC9" s="29" t="n">
        <f aca="false">ROUND(((N9-O9-P9-Q9)+2*O9+3*P9+4*Q9)/L9,3)</f>
        <v>0.388</v>
      </c>
      <c r="AD9" s="29" t="n">
        <f aca="false">ROUND(AB9+AC9,3)</f>
        <v>0.743</v>
      </c>
      <c r="AE9" s="30" t="n">
        <f aca="false">ROUND((('연도별 상수'!$N$46*(U9-W9))+('연도별 상수'!$O$46*V9)+('연도별 상수'!$P$46*(N9-O9-P9-Q9))+('연도별 상수'!$Q$46*O9)+('연도별 상수'!$R$46*P9)+('연도별 상수'!$S$46*Q9))/(L9+U9+V9-W9+Z9),3)</f>
        <v>0.343</v>
      </c>
      <c r="AF9" s="31" t="n">
        <f aca="false">'연도별 상수'!AG$6</f>
        <v>2.77</v>
      </c>
      <c r="AG9" s="9" t="n">
        <f aca="false">'연도별 상수'!AH$6</f>
        <v>7</v>
      </c>
      <c r="AH9" s="9" t="n">
        <f aca="false">'연도별 상수'!$B$46</f>
        <v>0.871842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9" t="n">
        <v>11</v>
      </c>
      <c r="AP9" s="1" t="n">
        <f aca="false">K9</f>
        <v>368</v>
      </c>
      <c r="AQ9" s="7" t="n">
        <v>0</v>
      </c>
    </row>
    <row r="10" customFormat="false" ht="26.25" hidden="false" customHeight="true" outlineLevel="0" collapsed="false">
      <c r="A10" s="10" t="n">
        <v>9</v>
      </c>
      <c r="B10" s="23" t="s">
        <v>55</v>
      </c>
      <c r="C10" s="24" t="str">
        <f aca="false">'연도별 상수'!AE$9</f>
        <v>RF</v>
      </c>
      <c r="D10" s="25" t="s">
        <v>56</v>
      </c>
      <c r="E10" s="24" t="n">
        <f aca="false">'연도별 상수'!$A$46</f>
        <v>2026</v>
      </c>
      <c r="F10" s="26" t="n">
        <f aca="false">ROUND(((H10)+(I10)+(AG10*K10/600)+(20*K10/600))/'연도별 상수'!$U$46,2)</f>
        <v>2.37</v>
      </c>
      <c r="G10" s="27" t="n">
        <f aca="false">ROUND(100*(((((AE10-'리그 타자'!$B$46)/'연도별 상수'!$T$46)+'연도별 상수'!$W$46))+('연도별 상수'!$W$46*(1-AH10)))/'연도별 상수'!$W$46,1)</f>
        <v>146.4</v>
      </c>
      <c r="H10" s="27" t="n">
        <f aca="false">ROUND((((AE10-'리그 타자'!$B$46)/'연도별 상수'!$T$46)*K10/AH10)+(S10*'연도별 상수'!$AB$46-T10*'연도별 상수'!$AC$46)-((S10+T10)*('연도별 상수'!$AD$46*0.2-(1-'연도별 상수'!$AD$46)*0.4))+0.05*(S10+O10+P10),1)</f>
        <v>24.9</v>
      </c>
      <c r="I10" s="27" t="n">
        <f aca="false">ROUND((0.75*AO10)+(AF10*(J10/144)),1)</f>
        <v>-8.6</v>
      </c>
      <c r="J10" s="28" t="n">
        <v>79</v>
      </c>
      <c r="K10" s="28" t="n">
        <v>373</v>
      </c>
      <c r="L10" s="28" t="n">
        <v>320</v>
      </c>
      <c r="M10" s="28" t="n">
        <v>68</v>
      </c>
      <c r="N10" s="28" t="n">
        <v>116</v>
      </c>
      <c r="O10" s="28" t="n">
        <v>20</v>
      </c>
      <c r="P10" s="28" t="n">
        <v>3</v>
      </c>
      <c r="Q10" s="28" t="n">
        <v>7</v>
      </c>
      <c r="R10" s="28" t="n">
        <v>44</v>
      </c>
      <c r="S10" s="7" t="n">
        <v>16</v>
      </c>
      <c r="T10" s="7" t="n">
        <v>8</v>
      </c>
      <c r="U10" s="28" t="n">
        <v>41</v>
      </c>
      <c r="V10" s="28" t="n">
        <v>6</v>
      </c>
      <c r="W10" s="28" t="n">
        <v>0</v>
      </c>
      <c r="X10" s="28" t="n">
        <v>54</v>
      </c>
      <c r="Y10" s="28" t="n">
        <v>2</v>
      </c>
      <c r="Z10" s="28" t="n">
        <v>3</v>
      </c>
      <c r="AA10" s="29" t="n">
        <f aca="false">ROUND(N10/L10,3)</f>
        <v>0.363</v>
      </c>
      <c r="AB10" s="29" t="n">
        <f aca="false">ROUND((N10+U10+V10)/(L10+U10+V10+Z10),3)</f>
        <v>0.441</v>
      </c>
      <c r="AC10" s="29" t="n">
        <f aca="false">ROUND(((N10-O10-P10-Q10)+2*O10+3*P10+4*Q10)/L10,3)</f>
        <v>0.509</v>
      </c>
      <c r="AD10" s="29" t="n">
        <f aca="false">ROUND(AB10+AC10,3)</f>
        <v>0.95</v>
      </c>
      <c r="AE10" s="30" t="n">
        <f aca="false">ROUND((('연도별 상수'!$N$46*(U10-W10))+('연도별 상수'!$O$46*V10)+('연도별 상수'!$P$46*(N10-O10-P10-Q10))+('연도별 상수'!$Q$46*O10)+('연도별 상수'!$R$46*P10)+('연도별 상수'!$S$46*Q10))/(L10+U10+V10-W10+Z10),3)</f>
        <v>0.432</v>
      </c>
      <c r="AF10" s="31" t="n">
        <f aca="false">'연도별 상수'!AG$9</f>
        <v>-4.77</v>
      </c>
      <c r="AG10" s="9" t="n">
        <f aca="false">'연도별 상수'!AH$9</f>
        <v>-5</v>
      </c>
      <c r="AH10" s="9" t="n">
        <f aca="false">'연도별 상수'!$E$46</f>
        <v>1.069855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9" t="n">
        <v>-8</v>
      </c>
      <c r="AP10" s="1" t="n">
        <f aca="false">K10</f>
        <v>373</v>
      </c>
      <c r="AQ10" s="7" t="n">
        <v>0</v>
      </c>
    </row>
    <row r="11" customFormat="false" ht="26.25" hidden="false" customHeight="true" outlineLevel="0" collapsed="false">
      <c r="A11" s="10" t="n">
        <v>10</v>
      </c>
      <c r="B11" s="23" t="s">
        <v>57</v>
      </c>
      <c r="C11" s="24" t="str">
        <f aca="false">'연도별 상수'!AE$8</f>
        <v>CF</v>
      </c>
      <c r="D11" s="25" t="s">
        <v>43</v>
      </c>
      <c r="E11" s="24" t="n">
        <f aca="false">'연도별 상수'!$A$46</f>
        <v>2026</v>
      </c>
      <c r="F11" s="26" t="n">
        <f aca="false">ROUND(((H11)+(I11)+(AG11*K11/600)+(20*K11/600))/'연도별 상수'!$U$46,2)</f>
        <v>2.42</v>
      </c>
      <c r="G11" s="27" t="n">
        <f aca="false">ROUND(100*(((((AE11-'리그 타자'!$B$46)/'연도별 상수'!$T$46)+'연도별 상수'!$W$46))+('연도별 상수'!$W$46*(1-AH11)))/'연도별 상수'!$W$46,1)</f>
        <v>108.9</v>
      </c>
      <c r="H11" s="27" t="n">
        <f aca="false">ROUND((((AE11-'리그 타자'!$B$46)/'연도별 상수'!$T$46)*K11/AH11)+(S11*'연도별 상수'!$AB$46-T11*'연도별 상수'!$AC$46)-((S11+T11)*('연도별 상수'!$AD$46*0.2-(1-'연도별 상수'!$AD$46)*0.4))+0.05*(S11+O11+P11),1)</f>
        <v>0.7</v>
      </c>
      <c r="I11" s="27" t="n">
        <f aca="false">ROUND((0.75*AO11)+(AF11*(J11/144)),1)</f>
        <v>12.6</v>
      </c>
      <c r="J11" s="28" t="n">
        <v>85</v>
      </c>
      <c r="K11" s="28" t="n">
        <v>336</v>
      </c>
      <c r="L11" s="28" t="n">
        <v>282</v>
      </c>
      <c r="M11" s="28" t="n">
        <v>50</v>
      </c>
      <c r="N11" s="28" t="n">
        <v>82</v>
      </c>
      <c r="O11" s="28" t="n">
        <v>12</v>
      </c>
      <c r="P11" s="28" t="n">
        <v>0</v>
      </c>
      <c r="Q11" s="28" t="n">
        <v>3</v>
      </c>
      <c r="R11" s="28" t="n">
        <v>35</v>
      </c>
      <c r="S11" s="7" t="n">
        <v>24</v>
      </c>
      <c r="T11" s="7" t="n">
        <v>6</v>
      </c>
      <c r="U11" s="28" t="n">
        <v>27</v>
      </c>
      <c r="V11" s="28" t="n">
        <v>8</v>
      </c>
      <c r="W11" s="28" t="n">
        <v>0</v>
      </c>
      <c r="X11" s="28" t="n">
        <v>44</v>
      </c>
      <c r="Y11" s="28" t="n">
        <v>3</v>
      </c>
      <c r="Z11" s="28" t="n">
        <v>6</v>
      </c>
      <c r="AA11" s="29" t="n">
        <f aca="false">ROUND(N11/L11,3)</f>
        <v>0.291</v>
      </c>
      <c r="AB11" s="29" t="n">
        <f aca="false">ROUND((N11+U11+V11)/(L11+U11+V11+Z11),3)</f>
        <v>0.362</v>
      </c>
      <c r="AC11" s="29" t="n">
        <f aca="false">ROUND(((N11-O11-P11-Q11)+2*O11+3*P11+4*Q11)/L11,3)</f>
        <v>0.365</v>
      </c>
      <c r="AD11" s="29" t="n">
        <f aca="false">ROUND(AB11+AC11,3)</f>
        <v>0.727</v>
      </c>
      <c r="AE11" s="30" t="n">
        <f aca="false">ROUND((('연도별 상수'!$N$46*(U11-W11))+('연도별 상수'!$O$46*V11)+('연도별 상수'!$P$46*(N11-O11-P11-Q11))+('연도별 상수'!$Q$46*O11)+('연도별 상수'!$R$46*P11)+('연도별 상수'!$S$46*Q11))/(L11+U11+V11-W11+Z11),3)</f>
        <v>0.34</v>
      </c>
      <c r="AF11" s="31" t="n">
        <f aca="false">'연도별 상수'!AG$8</f>
        <v>2.22</v>
      </c>
      <c r="AG11" s="9" t="n">
        <f aca="false">'연도별 상수'!AH$8</f>
        <v>3</v>
      </c>
      <c r="AH11" s="9" t="n">
        <f aca="false">'연도별 상수'!$B$46</f>
        <v>0.871842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9" t="n">
        <v>15</v>
      </c>
      <c r="AP11" s="1" t="n">
        <f aca="false">K11</f>
        <v>336</v>
      </c>
      <c r="AQ11" s="7" t="n">
        <v>0</v>
      </c>
    </row>
    <row r="12" customFormat="false" ht="26.25" hidden="false" customHeight="true" outlineLevel="0" collapsed="false">
      <c r="A12" s="10" t="n">
        <v>11</v>
      </c>
      <c r="B12" s="23" t="s">
        <v>58</v>
      </c>
      <c r="C12" s="24" t="str">
        <f aca="false">'연도별 상수'!AE$8</f>
        <v>CF</v>
      </c>
      <c r="D12" s="25" t="s">
        <v>59</v>
      </c>
      <c r="E12" s="24" t="n">
        <f aca="false">'연도별 상수'!$A$46</f>
        <v>2026</v>
      </c>
      <c r="F12" s="26" t="n">
        <f aca="false">ROUND(((H12)+(I12)+(AG12*K12/600)+(20*K12/600))/'연도별 상수'!$U$46,2)</f>
        <v>2.43</v>
      </c>
      <c r="G12" s="27" t="n">
        <f aca="false">ROUND(100*(((((AE12-'리그 타자'!$B$46)/'연도별 상수'!$T$46)+'연도별 상수'!$W$46))+('연도별 상수'!$W$46*(1-AH12)))/'연도별 상수'!$W$46,1)</f>
        <v>104.2</v>
      </c>
      <c r="H12" s="27" t="n">
        <f aca="false">ROUND((((AE12-'리그 타자'!$B$46)/'연도별 상수'!$T$46)*K12/AH12)+(S12*'연도별 상수'!$AB$46-T12*'연도별 상수'!$AC$46)-((S12+T12)*('연도별 상수'!$AD$46*0.2-(1-'연도별 상수'!$AD$46)*0.4))+0.05*(S12+O12+P12),1)</f>
        <v>5.9</v>
      </c>
      <c r="I12" s="27" t="n">
        <f aca="false">ROUND((0.75*AO12)+(AF12*(J12/144)),1)</f>
        <v>8</v>
      </c>
      <c r="J12" s="28" t="n">
        <v>83</v>
      </c>
      <c r="K12" s="28" t="n">
        <v>321</v>
      </c>
      <c r="L12" s="28" t="n">
        <v>266</v>
      </c>
      <c r="M12" s="28" t="n">
        <v>64</v>
      </c>
      <c r="N12" s="28" t="n">
        <v>83</v>
      </c>
      <c r="O12" s="28" t="n">
        <v>6</v>
      </c>
      <c r="P12" s="28" t="n">
        <v>2</v>
      </c>
      <c r="Q12" s="28" t="n">
        <v>0</v>
      </c>
      <c r="R12" s="28" t="n">
        <v>26</v>
      </c>
      <c r="S12" s="7" t="n">
        <v>15</v>
      </c>
      <c r="T12" s="7" t="n">
        <v>3</v>
      </c>
      <c r="U12" s="28" t="n">
        <v>42</v>
      </c>
      <c r="V12" s="28" t="n">
        <v>3</v>
      </c>
      <c r="W12" s="28" t="n">
        <v>1</v>
      </c>
      <c r="X12" s="28" t="n">
        <v>22</v>
      </c>
      <c r="Y12" s="28" t="n">
        <v>2</v>
      </c>
      <c r="Z12" s="28" t="n">
        <v>2</v>
      </c>
      <c r="AA12" s="29" t="n">
        <f aca="false">ROUND(N12/L12,3)</f>
        <v>0.312</v>
      </c>
      <c r="AB12" s="29" t="n">
        <f aca="false">ROUND((N12+U12+V12)/(L12+U12+V12+Z12),3)</f>
        <v>0.409</v>
      </c>
      <c r="AC12" s="29" t="n">
        <f aca="false">ROUND(((N12-O12-P12-Q12)+2*O12+3*P12+4*Q12)/L12,3)</f>
        <v>0.35</v>
      </c>
      <c r="AD12" s="29" t="n">
        <f aca="false">ROUND(AB12+AC12,3)</f>
        <v>0.759</v>
      </c>
      <c r="AE12" s="30" t="n">
        <f aca="false">ROUND((('연도별 상수'!$N$46*(U12-W12))+('연도별 상수'!$O$46*V12)+('연도별 상수'!$P$46*(N12-O12-P12-Q12))+('연도별 상수'!$Q$46*O12)+('연도별 상수'!$R$46*P12)+('연도별 상수'!$S$46*Q12))/(L12+U12+V12-W12+Z12),3)</f>
        <v>0.362</v>
      </c>
      <c r="AF12" s="31" t="n">
        <f aca="false">'연도별 상수'!AG$8</f>
        <v>2.22</v>
      </c>
      <c r="AG12" s="9" t="n">
        <f aca="false">'연도별 상수'!AH$8</f>
        <v>3</v>
      </c>
      <c r="AH12" s="9" t="n">
        <f aca="false">'연도별 상수'!$H$46</f>
        <v>1.055356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9" t="n">
        <v>9</v>
      </c>
      <c r="AP12" s="1" t="n">
        <f aca="false">K12</f>
        <v>321</v>
      </c>
      <c r="AQ12" s="7" t="n">
        <v>0</v>
      </c>
    </row>
    <row r="13" customFormat="false" ht="26.25" hidden="false" customHeight="true" outlineLevel="0" collapsed="false">
      <c r="A13" s="10" t="n">
        <v>12</v>
      </c>
      <c r="B13" s="23" t="s">
        <v>60</v>
      </c>
      <c r="C13" s="24" t="str">
        <f aca="false">'연도별 상수'!AE$8</f>
        <v>CF</v>
      </c>
      <c r="D13" s="25" t="s">
        <v>56</v>
      </c>
      <c r="E13" s="24" t="n">
        <f aca="false">'연도별 상수'!$A$46</f>
        <v>2026</v>
      </c>
      <c r="F13" s="26" t="n">
        <f aca="false">ROUND(((H13)+(I13)+(AG13*K13/600)+(20*K13/600))/'연도별 상수'!$U$46,2)</f>
        <v>2.21</v>
      </c>
      <c r="G13" s="27" t="n">
        <f aca="false">ROUND(100*(((((AE13-'리그 타자'!$B$46)/'연도별 상수'!$T$46)+'연도별 상수'!$W$46))+('연도별 상수'!$W$46*(1-AH13)))/'연도별 상수'!$W$46,1)</f>
        <v>123.3</v>
      </c>
      <c r="H13" s="27" t="n">
        <f aca="false">ROUND((((AE13-'리그 타자'!$B$46)/'연도별 상수'!$T$46)*K13/AH13)+(S13*'연도별 상수'!$AB$46-T13*'연도별 상수'!$AC$46)-((S13+T13)*('연도별 상수'!$AD$46*0.2-(1-'연도별 상수'!$AD$46)*0.4))+0.05*(S13+O13+P13),1)</f>
        <v>14.8</v>
      </c>
      <c r="I13" s="27" t="n">
        <f aca="false">ROUND((0.75*AO13)+(AF13*(J13/144)),1)</f>
        <v>-1.9</v>
      </c>
      <c r="J13" s="28" t="n">
        <v>83</v>
      </c>
      <c r="K13" s="28" t="n">
        <v>366</v>
      </c>
      <c r="L13" s="28" t="n">
        <v>326</v>
      </c>
      <c r="M13" s="28" t="n">
        <v>60</v>
      </c>
      <c r="N13" s="28" t="n">
        <v>95</v>
      </c>
      <c r="O13" s="28" t="n">
        <v>14</v>
      </c>
      <c r="P13" s="28" t="n">
        <v>3</v>
      </c>
      <c r="Q13" s="28" t="n">
        <v>20</v>
      </c>
      <c r="R13" s="28" t="n">
        <v>70</v>
      </c>
      <c r="S13" s="7" t="n">
        <v>7</v>
      </c>
      <c r="T13" s="7" t="n">
        <v>2</v>
      </c>
      <c r="U13" s="28" t="n">
        <v>36</v>
      </c>
      <c r="V13" s="28" t="n">
        <v>0</v>
      </c>
      <c r="W13" s="28" t="n">
        <v>1</v>
      </c>
      <c r="X13" s="28" t="n">
        <v>99</v>
      </c>
      <c r="Y13" s="28" t="n">
        <v>3</v>
      </c>
      <c r="Z13" s="28" t="n">
        <v>4</v>
      </c>
      <c r="AA13" s="29" t="n">
        <f aca="false">ROUND(N13/L13,3)</f>
        <v>0.291</v>
      </c>
      <c r="AB13" s="29" t="n">
        <f aca="false">ROUND((N13+U13+V13)/(L13+U13+V13+Z13),3)</f>
        <v>0.358</v>
      </c>
      <c r="AC13" s="29" t="n">
        <f aca="false">ROUND(((N13-O13-P13-Q13)+2*O13+3*P13+4*Q13)/L13,3)</f>
        <v>0.537</v>
      </c>
      <c r="AD13" s="29" t="n">
        <f aca="false">ROUND(AB13+AC13,3)</f>
        <v>0.895</v>
      </c>
      <c r="AE13" s="30" t="n">
        <f aca="false">ROUND((('연도별 상수'!$N$46*(U13-W13))+('연도별 상수'!$O$46*V13)+('연도별 상수'!$P$46*(N13-O13-P13-Q13))+('연도별 상수'!$Q$46*O13)+('연도별 상수'!$R$46*P13)+('연도별 상수'!$S$46*Q13))/(L13+U13+V13-W13+Z13),3)</f>
        <v>0.395</v>
      </c>
      <c r="AF13" s="31" t="n">
        <f aca="false">'연도별 상수'!AG$8+'연도별 상수'!AG$7</f>
        <v>-3.28</v>
      </c>
      <c r="AG13" s="9" t="n">
        <f aca="false">'연도별 상수'!AH$8+'연도별 상수'!AH$7</f>
        <v>-2</v>
      </c>
      <c r="AH13" s="9" t="n">
        <f aca="false">'연도별 상수'!$E$46</f>
        <v>1.069855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9" t="n">
        <v>0</v>
      </c>
      <c r="AP13" s="1" t="n">
        <f aca="false">K13</f>
        <v>366</v>
      </c>
      <c r="AQ13" s="7" t="n">
        <v>1</v>
      </c>
    </row>
    <row r="14" customFormat="false" ht="26.25" hidden="false" customHeight="true" outlineLevel="0" collapsed="false">
      <c r="A14" s="10" t="n">
        <v>13</v>
      </c>
      <c r="B14" s="23" t="s">
        <v>61</v>
      </c>
      <c r="C14" s="24" t="str">
        <f aca="false">'연도별 상수'!AE$9</f>
        <v>RF</v>
      </c>
      <c r="D14" s="25" t="s">
        <v>62</v>
      </c>
      <c r="E14" s="24" t="n">
        <f aca="false">'연도별 상수'!$A$46</f>
        <v>2026</v>
      </c>
      <c r="F14" s="26" t="n">
        <f aca="false">ROUND(((H14)+(I14)+(AG14*K14/600)+(20*K14/600))/'연도별 상수'!$U$46,2)</f>
        <v>2</v>
      </c>
      <c r="G14" s="27" t="n">
        <f aca="false">ROUND(100*(((((AE14-'리그 타자'!$B$46)/'연도별 상수'!$T$46)+'연도별 상수'!$W$46))+('연도별 상수'!$W$46*(1-AH14)))/'연도별 상수'!$W$46,1)</f>
        <v>135</v>
      </c>
      <c r="H14" s="27" t="n">
        <f aca="false">ROUND((((AE14-'리그 타자'!$B$46)/'연도별 상수'!$T$46)*K14/AH14)+(S14*'연도별 상수'!$AB$46-T14*'연도별 상수'!$AC$46)-((S14+T14)*('연도별 상수'!$AD$46*0.2-(1-'연도별 상수'!$AD$46)*0.4))+0.05*(S14+O14+P14),1)</f>
        <v>22.6</v>
      </c>
      <c r="I14" s="27" t="n">
        <f aca="false">ROUND((0.75*AO14)+(AF14*(J14/144)),1)</f>
        <v>-10.2</v>
      </c>
      <c r="J14" s="28" t="n">
        <v>82</v>
      </c>
      <c r="K14" s="28" t="n">
        <v>368</v>
      </c>
      <c r="L14" s="28" t="n">
        <v>306</v>
      </c>
      <c r="M14" s="28" t="n">
        <v>69</v>
      </c>
      <c r="N14" s="28" t="n">
        <v>96</v>
      </c>
      <c r="O14" s="28" t="n">
        <v>22</v>
      </c>
      <c r="P14" s="28" t="n">
        <v>1</v>
      </c>
      <c r="Q14" s="28" t="n">
        <v>17</v>
      </c>
      <c r="R14" s="28" t="n">
        <v>53</v>
      </c>
      <c r="S14" s="7" t="n">
        <v>8</v>
      </c>
      <c r="T14" s="7" t="n">
        <v>3</v>
      </c>
      <c r="U14" s="28" t="n">
        <v>53</v>
      </c>
      <c r="V14" s="28" t="n">
        <v>3</v>
      </c>
      <c r="W14" s="28" t="n">
        <v>4</v>
      </c>
      <c r="X14" s="28" t="n">
        <v>71</v>
      </c>
      <c r="Y14" s="28" t="n">
        <v>6</v>
      </c>
      <c r="Z14" s="28" t="n">
        <v>4</v>
      </c>
      <c r="AA14" s="29" t="n">
        <f aca="false">ROUND(N14/L14,3)</f>
        <v>0.314</v>
      </c>
      <c r="AB14" s="29" t="n">
        <f aca="false">ROUND((N14+U14+V14)/(L14+U14+V14+Z14),3)</f>
        <v>0.415</v>
      </c>
      <c r="AC14" s="29" t="n">
        <f aca="false">ROUND(((N14-O14-P14-Q14)+2*O14+3*P14+4*Q14)/L14,3)</f>
        <v>0.559</v>
      </c>
      <c r="AD14" s="29" t="n">
        <f aca="false">ROUND(AB14+AC14,3)</f>
        <v>0.974</v>
      </c>
      <c r="AE14" s="30" t="n">
        <f aca="false">ROUND((('연도별 상수'!$N$46*(U14-W14))+('연도별 상수'!$O$46*V14)+('연도별 상수'!$P$46*(N14-O14-P14-Q14))+('연도별 상수'!$Q$46*O14)+('연도별 상수'!$R$46*P14)+('연도별 상수'!$S$46*Q14))/(L14+U14+V14-W14+Z14),3)</f>
        <v>0.43</v>
      </c>
      <c r="AF14" s="31" t="n">
        <f aca="false">'연도별 상수'!AG$9</f>
        <v>-4.77</v>
      </c>
      <c r="AG14" s="9" t="n">
        <f aca="false">'연도별 상수'!AH$9</f>
        <v>-5</v>
      </c>
      <c r="AH14" s="9" t="n">
        <f aca="false">'연도별 상수'!$F$46</f>
        <v>1.170772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9" t="n">
        <v>-10</v>
      </c>
      <c r="AP14" s="1" t="n">
        <f aca="false">K14</f>
        <v>368</v>
      </c>
      <c r="AQ14" s="7" t="n">
        <v>1</v>
      </c>
    </row>
    <row r="15" customFormat="false" ht="26.25" hidden="false" customHeight="true" outlineLevel="0" collapsed="false">
      <c r="A15" s="10" t="n">
        <v>14</v>
      </c>
      <c r="B15" s="23" t="s">
        <v>63</v>
      </c>
      <c r="C15" s="24" t="str">
        <f aca="false">'연도별 상수'!AE$5</f>
        <v>3B</v>
      </c>
      <c r="D15" s="25" t="s">
        <v>62</v>
      </c>
      <c r="E15" s="24" t="n">
        <f aca="false">'연도별 상수'!$A$46</f>
        <v>2026</v>
      </c>
      <c r="F15" s="26" t="n">
        <f aca="false">ROUND(((H15)+(I15)+(AG15*K15/600)+(20*K15/600))/'연도별 상수'!$U$46,2)</f>
        <v>2.09</v>
      </c>
      <c r="G15" s="27" t="n">
        <f aca="false">ROUND(100*(((((AE15-'리그 타자'!$B$46)/'연도별 상수'!$T$46)+'연도별 상수'!$W$46))+('연도별 상수'!$W$46*(1-AH15)))/'연도별 상수'!$W$46,1)</f>
        <v>99.5</v>
      </c>
      <c r="H15" s="27" t="n">
        <f aca="false">ROUND((((AE15-'리그 타자'!$B$46)/'연도별 상수'!$T$46)*K15/AH15)+(S15*'연도별 상수'!$AB$46-T15*'연도별 상수'!$AC$46)-((S15+T15)*('연도별 상수'!$AD$46*0.2-(1-'연도별 상수'!$AD$46)*0.4))+0.05*(S15+O15+P15),1)</f>
        <v>6.4</v>
      </c>
      <c r="I15" s="27" t="n">
        <f aca="false">ROUND((0.75*AO15)+(AF15*(J15/144)),1)</f>
        <v>5.4</v>
      </c>
      <c r="J15" s="28" t="n">
        <v>75</v>
      </c>
      <c r="K15" s="28" t="n">
        <v>340</v>
      </c>
      <c r="L15" s="28" t="n">
        <v>297</v>
      </c>
      <c r="M15" s="28" t="n">
        <v>59</v>
      </c>
      <c r="N15" s="28" t="n">
        <v>78</v>
      </c>
      <c r="O15" s="28" t="n">
        <v>13</v>
      </c>
      <c r="P15" s="28" t="n">
        <v>1</v>
      </c>
      <c r="Q15" s="28" t="n">
        <v>17</v>
      </c>
      <c r="R15" s="28" t="n">
        <v>56</v>
      </c>
      <c r="S15" s="7" t="n">
        <v>2</v>
      </c>
      <c r="T15" s="7" t="n">
        <v>2</v>
      </c>
      <c r="U15" s="28" t="n">
        <v>32</v>
      </c>
      <c r="V15" s="28" t="n">
        <v>7</v>
      </c>
      <c r="W15" s="28" t="n">
        <v>0</v>
      </c>
      <c r="X15" s="28" t="n">
        <v>93</v>
      </c>
      <c r="Y15" s="28" t="n">
        <v>8</v>
      </c>
      <c r="Z15" s="28" t="n">
        <v>3</v>
      </c>
      <c r="AA15" s="29" t="n">
        <f aca="false">ROUND(N15/L15,3)</f>
        <v>0.263</v>
      </c>
      <c r="AB15" s="29" t="n">
        <f aca="false">ROUND((N15+U15+V15)/(L15+U15+V15+Z15),3)</f>
        <v>0.345</v>
      </c>
      <c r="AC15" s="29" t="n">
        <f aca="false">ROUND(((N15-O15-P15-Q15)+2*O15+3*P15+4*Q15)/L15,3)</f>
        <v>0.485</v>
      </c>
      <c r="AD15" s="29" t="n">
        <f aca="false">ROUND(AB15+AC15,3)</f>
        <v>0.83</v>
      </c>
      <c r="AE15" s="30" t="n">
        <f aca="false">ROUND((('연도별 상수'!$N$46*(U15-W15))+('연도별 상수'!$O$46*V15)+('연도별 상수'!$P$46*(N15-O15-P15-Q15))+('연도별 상수'!$Q$46*O15)+('연도별 상수'!$R$46*P15)+('연도별 상수'!$S$46*Q15))/(L15+U15+V15-W15+Z15),3)</f>
        <v>0.373</v>
      </c>
      <c r="AF15" s="31" t="n">
        <f aca="false">'연도별 상수'!AG$5</f>
        <v>0.22</v>
      </c>
      <c r="AG15" s="9" t="n">
        <f aca="false">'연도별 상수'!AH$5</f>
        <v>-1</v>
      </c>
      <c r="AH15" s="9" t="n">
        <f aca="false">'연도별 상수'!$F$46</f>
        <v>1.170772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9" t="n">
        <v>7</v>
      </c>
      <c r="AP15" s="1" t="n">
        <f aca="false">K15</f>
        <v>340</v>
      </c>
      <c r="AQ15" s="7" t="n">
        <v>0</v>
      </c>
    </row>
    <row r="16" customFormat="false" ht="26.25" hidden="false" customHeight="true" outlineLevel="0" collapsed="false">
      <c r="A16" s="10" t="n">
        <v>15</v>
      </c>
      <c r="B16" s="23" t="s">
        <v>64</v>
      </c>
      <c r="C16" s="24" t="str">
        <f aca="false">'연도별 상수'!AE$2</f>
        <v>C</v>
      </c>
      <c r="D16" s="25" t="s">
        <v>62</v>
      </c>
      <c r="E16" s="24" t="n">
        <f aca="false">'연도별 상수'!$A$46</f>
        <v>2026</v>
      </c>
      <c r="F16" s="26" t="n">
        <f aca="false">ROUND(((H16)+(I16)+(AG16*K16/600)+(20*K16/600))/'연도별 상수'!$U$46,2)</f>
        <v>2.06</v>
      </c>
      <c r="G16" s="27" t="n">
        <f aca="false">ROUND(100*(((((AE16-'리그 타자'!$B$46)/'연도별 상수'!$T$46)+'연도별 상수'!$W$46))+('연도별 상수'!$W$46*(1-AH16)))/'연도별 상수'!$W$46,1)</f>
        <v>108.2</v>
      </c>
      <c r="H16" s="27" t="n">
        <f aca="false">ROUND((((AE16-'리그 타자'!$B$46)/'연도별 상수'!$T$46)*K16/AH16)+(S16*'연도별 상수'!$AB$46-T16*'연도별 상수'!$AC$46)-((S16+T16)*('연도별 상수'!$AD$46*0.2-(1-'연도별 상수'!$AD$46)*0.4))+0.05*(S16+O16+P16),1)</f>
        <v>6.7</v>
      </c>
      <c r="I16" s="27" t="n">
        <f aca="false">ROUND((0.75*AO16)+(AF16*(J16/144)),1)</f>
        <v>3.4</v>
      </c>
      <c r="J16" s="28" t="n">
        <v>73</v>
      </c>
      <c r="K16" s="28" t="n">
        <v>244</v>
      </c>
      <c r="L16" s="28" t="n">
        <v>212</v>
      </c>
      <c r="M16" s="28" t="n">
        <v>39</v>
      </c>
      <c r="N16" s="28" t="n">
        <v>62</v>
      </c>
      <c r="O16" s="28" t="n">
        <v>7</v>
      </c>
      <c r="P16" s="28" t="n">
        <v>0</v>
      </c>
      <c r="Q16" s="28" t="n">
        <v>12</v>
      </c>
      <c r="R16" s="28" t="n">
        <v>45</v>
      </c>
      <c r="S16" s="7" t="n">
        <v>0</v>
      </c>
      <c r="T16" s="7" t="n">
        <v>1</v>
      </c>
      <c r="U16" s="28" t="n">
        <v>21</v>
      </c>
      <c r="V16" s="28" t="n">
        <v>6</v>
      </c>
      <c r="W16" s="28" t="n">
        <v>2</v>
      </c>
      <c r="X16" s="28" t="n">
        <v>73</v>
      </c>
      <c r="Y16" s="28" t="n">
        <v>1</v>
      </c>
      <c r="Z16" s="28" t="n">
        <v>2</v>
      </c>
      <c r="AA16" s="29" t="n">
        <f aca="false">ROUND(N16/L16,3)</f>
        <v>0.292</v>
      </c>
      <c r="AB16" s="29" t="n">
        <f aca="false">ROUND((N16+U16+V16)/(L16+U16+V16+Z16),3)</f>
        <v>0.369</v>
      </c>
      <c r="AC16" s="29" t="n">
        <f aca="false">ROUND(((N16-O16-P16-Q16)+2*O16+3*P16+4*Q16)/L16,3)</f>
        <v>0.495</v>
      </c>
      <c r="AD16" s="29" t="n">
        <f aca="false">ROUND(AB16+AC16,3)</f>
        <v>0.864</v>
      </c>
      <c r="AE16" s="30" t="n">
        <f aca="false">ROUND((('연도별 상수'!$N$46*(U16-W16))+('연도별 상수'!$O$46*V16)+('연도별 상수'!$P$46*(N16-O16-P16-Q16))+('연도별 상수'!$Q$46*O16)+('연도별 상수'!$R$46*P16)+('연도별 상수'!$S$46*Q16))/(L16+U16+V16-W16+Z16),3)</f>
        <v>0.387</v>
      </c>
      <c r="AF16" s="31" t="n">
        <f aca="false">'연도별 상수'!AG$2</f>
        <v>5.22</v>
      </c>
      <c r="AG16" s="9" t="n">
        <f aca="false">'연도별 상수'!AH$2</f>
        <v>10</v>
      </c>
      <c r="AH16" s="9" t="n">
        <f aca="false">'연도별 상수'!$F$46</f>
        <v>1.170772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9" t="n">
        <v>1</v>
      </c>
      <c r="AP16" s="1" t="n">
        <f aca="false">K16</f>
        <v>244</v>
      </c>
      <c r="AQ16" s="7" t="n">
        <v>0</v>
      </c>
    </row>
    <row r="17" customFormat="false" ht="26.25" hidden="false" customHeight="true" outlineLevel="0" collapsed="false">
      <c r="A17" s="10" t="n">
        <v>16</v>
      </c>
      <c r="B17" s="23" t="s">
        <v>65</v>
      </c>
      <c r="C17" s="24" t="str">
        <f aca="false">'연도별 상수'!AE$8</f>
        <v>CF</v>
      </c>
      <c r="D17" s="25" t="s">
        <v>47</v>
      </c>
      <c r="E17" s="24" t="n">
        <f aca="false">'연도별 상수'!$A$46</f>
        <v>2026</v>
      </c>
      <c r="F17" s="26" t="n">
        <f aca="false">ROUND(((H17)+(I17)+(AG17*K17/600)+(20*K17/600))/'연도별 상수'!$U$46,2)</f>
        <v>2.06</v>
      </c>
      <c r="G17" s="27" t="n">
        <f aca="false">ROUND(100*(((((AE17-'리그 타자'!$B$46)/'연도별 상수'!$T$46)+'연도별 상수'!$W$46))+('연도별 상수'!$W$46*(1-AH17)))/'연도별 상수'!$W$46,1)</f>
        <v>107.8</v>
      </c>
      <c r="H17" s="27" t="n">
        <f aca="false">ROUND((((AE17-'리그 타자'!$B$46)/'연도별 상수'!$T$46)*K17/AH17)+(S17*'연도별 상수'!$AB$46-T17*'연도별 상수'!$AC$46)-((S17+T17)*('연도별 상수'!$AD$46*0.2-(1-'연도별 상수'!$AD$46)*0.4))+0.05*(S17+O17+P17),1)</f>
        <v>1</v>
      </c>
      <c r="I17" s="27" t="n">
        <f aca="false">ROUND((0.75*AO17)+(AF17*(J17/144)),1)</f>
        <v>7.3</v>
      </c>
      <c r="J17" s="28" t="n">
        <v>85</v>
      </c>
      <c r="K17" s="28" t="n">
        <v>363</v>
      </c>
      <c r="L17" s="28" t="n">
        <v>329</v>
      </c>
      <c r="M17" s="28" t="n">
        <v>50</v>
      </c>
      <c r="N17" s="28" t="n">
        <v>92</v>
      </c>
      <c r="O17" s="28" t="n">
        <v>22</v>
      </c>
      <c r="P17" s="28" t="n">
        <v>1</v>
      </c>
      <c r="Q17" s="28" t="n">
        <v>11</v>
      </c>
      <c r="R17" s="28" t="n">
        <v>46</v>
      </c>
      <c r="S17" s="7" t="n">
        <v>9</v>
      </c>
      <c r="T17" s="7" t="n">
        <v>4</v>
      </c>
      <c r="U17" s="28" t="n">
        <v>20</v>
      </c>
      <c r="V17" s="28" t="n">
        <v>3</v>
      </c>
      <c r="W17" s="28" t="n">
        <v>1</v>
      </c>
      <c r="X17" s="28" t="n">
        <v>95</v>
      </c>
      <c r="Y17" s="28" t="n">
        <v>6</v>
      </c>
      <c r="Z17" s="28" t="n">
        <v>5</v>
      </c>
      <c r="AA17" s="29" t="n">
        <f aca="false">ROUND(N17/L17,3)</f>
        <v>0.28</v>
      </c>
      <c r="AB17" s="29" t="n">
        <f aca="false">ROUND((N17+U17+V17)/(L17+U17+V17+Z17),3)</f>
        <v>0.322</v>
      </c>
      <c r="AC17" s="29" t="n">
        <f aca="false">ROUND(((N17-O17-P17-Q17)+2*O17+3*P17+4*Q17)/L17,3)</f>
        <v>0.453</v>
      </c>
      <c r="AD17" s="29" t="n">
        <f aca="false">ROUND(AB17+AC17,3)</f>
        <v>0.775</v>
      </c>
      <c r="AE17" s="30" t="n">
        <f aca="false">ROUND((('연도별 상수'!$N$46*(U17-W17))+('연도별 상수'!$O$46*V17)+('연도별 상수'!$P$46*(N17-O17-P17-Q17))+('연도별 상수'!$Q$46*O17)+('연도별 상수'!$R$46*P17)+('연도별 상수'!$S$46*Q17))/(L17+U17+V17-W17+Z17),3)</f>
        <v>0.346</v>
      </c>
      <c r="AF17" s="31" t="n">
        <f aca="false">'연도별 상수'!AG$8</f>
        <v>2.22</v>
      </c>
      <c r="AG17" s="9" t="n">
        <f aca="false">'연도별 상수'!AH$8</f>
        <v>3</v>
      </c>
      <c r="AH17" s="9" t="n">
        <f aca="false">'연도별 상수'!$G$46</f>
        <v>0.919389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9" t="n">
        <v>8</v>
      </c>
      <c r="AP17" s="1" t="n">
        <f aca="false">K17</f>
        <v>363</v>
      </c>
      <c r="AQ17" s="7" t="n">
        <v>0</v>
      </c>
    </row>
    <row r="18" customFormat="false" ht="26.25" hidden="false" customHeight="true" outlineLevel="0" collapsed="false">
      <c r="A18" s="10" t="n">
        <v>17</v>
      </c>
      <c r="B18" s="23" t="s">
        <v>66</v>
      </c>
      <c r="C18" s="24" t="str">
        <f aca="false">'연도별 상수'!AE$4</f>
        <v>2B</v>
      </c>
      <c r="D18" s="25" t="s">
        <v>59</v>
      </c>
      <c r="E18" s="24" t="n">
        <f aca="false">'연도별 상수'!$A$46</f>
        <v>2026</v>
      </c>
      <c r="F18" s="26" t="n">
        <f aca="false">ROUND(((H18)+(I18)+(AG18*K18/600)+(20*K18/600))/'연도별 상수'!$U$46,2)</f>
        <v>2.02</v>
      </c>
      <c r="G18" s="27" t="n">
        <f aca="false">ROUND(100*(((((AE18-'리그 타자'!$B$46)/'연도별 상수'!$T$46)+'연도별 상수'!$W$46))+('연도별 상수'!$W$46*(1-AH18)))/'연도별 상수'!$W$46,1)</f>
        <v>110.4</v>
      </c>
      <c r="H18" s="27" t="n">
        <f aca="false">ROUND((((AE18-'리그 타자'!$B$46)/'연도별 상수'!$T$46)*K18/AH18)+(S18*'연도별 상수'!$AB$46-T18*'연도별 상수'!$AC$46)-((S18+T18)*('연도별 상수'!$AD$46*0.2-(1-'연도별 상수'!$AD$46)*0.4))+0.05*(S18+O18+P18),1)</f>
        <v>10.3</v>
      </c>
      <c r="I18" s="27" t="n">
        <f aca="false">ROUND((0.75*AO18)+(AF18*(J18/144)),1)</f>
        <v>-0.8</v>
      </c>
      <c r="J18" s="28" t="n">
        <v>81</v>
      </c>
      <c r="K18" s="28" t="n">
        <v>322</v>
      </c>
      <c r="L18" s="28" t="n">
        <v>271</v>
      </c>
      <c r="M18" s="28" t="n">
        <v>41</v>
      </c>
      <c r="N18" s="28" t="n">
        <v>79</v>
      </c>
      <c r="O18" s="28" t="n">
        <v>12</v>
      </c>
      <c r="P18" s="28" t="n">
        <v>4</v>
      </c>
      <c r="Q18" s="28" t="n">
        <v>5</v>
      </c>
      <c r="R18" s="28" t="n">
        <v>47</v>
      </c>
      <c r="S18" s="7" t="n">
        <v>18</v>
      </c>
      <c r="T18" s="7" t="n">
        <v>1</v>
      </c>
      <c r="U18" s="28" t="n">
        <v>38</v>
      </c>
      <c r="V18" s="28" t="n">
        <v>6</v>
      </c>
      <c r="W18" s="28" t="n">
        <v>1</v>
      </c>
      <c r="X18" s="28" t="n">
        <v>46</v>
      </c>
      <c r="Y18" s="28" t="n">
        <v>5</v>
      </c>
      <c r="Z18" s="28" t="n">
        <v>3</v>
      </c>
      <c r="AA18" s="29" t="n">
        <f aca="false">ROUND(N18/L18,3)</f>
        <v>0.292</v>
      </c>
      <c r="AB18" s="29" t="n">
        <f aca="false">ROUND((N18+U18+V18)/(L18+U18+V18+Z18),3)</f>
        <v>0.387</v>
      </c>
      <c r="AC18" s="29" t="n">
        <f aca="false">ROUND(((N18-O18-P18-Q18)+2*O18+3*P18+4*Q18)/L18,3)</f>
        <v>0.421</v>
      </c>
      <c r="AD18" s="29" t="n">
        <f aca="false">ROUND(AB18+AC18,3)</f>
        <v>0.808</v>
      </c>
      <c r="AE18" s="30" t="n">
        <f aca="false">ROUND((('연도별 상수'!$N$46*(U18-W18))+('연도별 상수'!$O$46*V18)+('연도별 상수'!$P$46*(N18-O18-P18-Q18))+('연도별 상수'!$Q$46*O18)+('연도별 상수'!$R$46*P18)+('연도별 상수'!$S$46*Q18))/(L18+U18+V18-W18+Z18),3)</f>
        <v>0.372</v>
      </c>
      <c r="AF18" s="31" t="n">
        <f aca="false">'연도별 상수'!AG$4</f>
        <v>1.22</v>
      </c>
      <c r="AG18" s="9" t="n">
        <f aca="false">'연도별 상수'!AH$4</f>
        <v>3</v>
      </c>
      <c r="AH18" s="9" t="n">
        <f aca="false">'연도별 상수'!$H$46</f>
        <v>1.055356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9" t="n">
        <v>-2</v>
      </c>
      <c r="AP18" s="1" t="n">
        <f aca="false">K18</f>
        <v>322</v>
      </c>
      <c r="AQ18" s="7" t="n">
        <v>0</v>
      </c>
    </row>
    <row r="19" customFormat="false" ht="26.25" hidden="false" customHeight="true" outlineLevel="0" collapsed="false">
      <c r="A19" s="10" t="n">
        <v>18</v>
      </c>
      <c r="B19" s="23" t="s">
        <v>67</v>
      </c>
      <c r="C19" s="24" t="str">
        <f aca="false">'연도별 상수'!AE$4</f>
        <v>2B</v>
      </c>
      <c r="D19" s="25" t="s">
        <v>54</v>
      </c>
      <c r="E19" s="24" t="n">
        <f aca="false">'연도별 상수'!$A$46</f>
        <v>2026</v>
      </c>
      <c r="F19" s="26" t="n">
        <f aca="false">ROUND(((H19)+(I19)+(AG19*K19/600)+(20*K19/600))/'연도별 상수'!$U$46,2)</f>
        <v>2.13</v>
      </c>
      <c r="G19" s="27" t="n">
        <f aca="false">ROUND(100*(((((AE19-'리그 타자'!$B$46)/'연도별 상수'!$T$46)+'연도별 상수'!$W$46))+('연도별 상수'!$W$46*(1-AH19)))/'연도별 상수'!$W$46,1)</f>
        <v>161.2</v>
      </c>
      <c r="H19" s="27" t="n">
        <f aca="false">ROUND((((AE19-'리그 타자'!$B$46)/'연도별 상수'!$T$46)*K19/AH19)+(S19*'연도별 상수'!$AB$46-T19*'연도별 상수'!$AC$46)-((S19+T19)*('연도별 상수'!$AD$46*0.2-(1-'연도별 상수'!$AD$46)*0.4))+0.05*(S19+O19+P19),1)</f>
        <v>17.3</v>
      </c>
      <c r="I19" s="27" t="n">
        <f aca="false">ROUND((0.75*AO19)+(AF19*(J19/144)),1)</f>
        <v>-3.3</v>
      </c>
      <c r="J19" s="28" t="n">
        <v>54</v>
      </c>
      <c r="K19" s="28" t="n">
        <v>234</v>
      </c>
      <c r="L19" s="28" t="n">
        <v>217</v>
      </c>
      <c r="M19" s="28" t="n">
        <v>28</v>
      </c>
      <c r="N19" s="28" t="n">
        <v>73</v>
      </c>
      <c r="O19" s="28" t="n">
        <v>9</v>
      </c>
      <c r="P19" s="28" t="n">
        <v>5</v>
      </c>
      <c r="Q19" s="28" t="n">
        <v>11</v>
      </c>
      <c r="R19" s="28" t="n">
        <v>39</v>
      </c>
      <c r="S19" s="7" t="n">
        <v>1</v>
      </c>
      <c r="T19" s="7" t="n">
        <v>1</v>
      </c>
      <c r="U19" s="28" t="n">
        <v>12</v>
      </c>
      <c r="V19" s="28" t="n">
        <v>4</v>
      </c>
      <c r="W19" s="28" t="n">
        <v>0</v>
      </c>
      <c r="X19" s="28" t="n">
        <v>46</v>
      </c>
      <c r="Y19" s="28" t="n">
        <v>7</v>
      </c>
      <c r="Z19" s="28" t="n">
        <v>1</v>
      </c>
      <c r="AA19" s="29" t="n">
        <f aca="false">ROUND(N19/L19,3)</f>
        <v>0.336</v>
      </c>
      <c r="AB19" s="29" t="n">
        <f aca="false">ROUND((N19+U19+V19)/(L19+U19+V19+Z19),3)</f>
        <v>0.38</v>
      </c>
      <c r="AC19" s="29" t="n">
        <f aca="false">ROUND(((N19-O19-P19-Q19)+2*O19+3*P19+4*Q19)/L19,3)</f>
        <v>0.576</v>
      </c>
      <c r="AD19" s="29" t="n">
        <f aca="false">ROUND(AB19+AC19,3)</f>
        <v>0.956</v>
      </c>
      <c r="AE19" s="30" t="n">
        <f aca="false">ROUND((('연도별 상수'!$N$46*(U19-W19))+('연도별 상수'!$O$46*V19)+('연도별 상수'!$P$46*(N19-O19-P19-Q19))+('연도별 상수'!$Q$46*O19)+('연도별 상수'!$R$46*P19)+('연도별 상수'!$S$46*Q19))/(L19+U19+V19-W19+Z19),3)</f>
        <v>0.424</v>
      </c>
      <c r="AF19" s="31" t="n">
        <f aca="false">'연도별 상수'!AG$4</f>
        <v>1.22</v>
      </c>
      <c r="AG19" s="9" t="n">
        <f aca="false">'연도별 상수'!AH$4</f>
        <v>3</v>
      </c>
      <c r="AH19" s="9" t="n">
        <f aca="false">'연도별 상수'!$B$46</f>
        <v>0.871842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9" t="n">
        <v>-5</v>
      </c>
      <c r="AP19" s="1" t="n">
        <f aca="false">K19</f>
        <v>234</v>
      </c>
      <c r="AQ19" s="7" t="n">
        <v>0</v>
      </c>
    </row>
    <row r="20" customFormat="false" ht="26.25" hidden="false" customHeight="true" outlineLevel="0" collapsed="false">
      <c r="A20" s="10" t="n">
        <v>19</v>
      </c>
      <c r="B20" s="23" t="s">
        <v>68</v>
      </c>
      <c r="C20" s="24" t="str">
        <f aca="false">'연도별 상수'!AE$8</f>
        <v>CF</v>
      </c>
      <c r="D20" s="25" t="s">
        <v>50</v>
      </c>
      <c r="E20" s="24" t="n">
        <f aca="false">'연도별 상수'!$A$46</f>
        <v>2026</v>
      </c>
      <c r="F20" s="26" t="n">
        <f aca="false">ROUND(((H20)+(I20)+(AG20*K20/600)+(20*K20/600))/'연도별 상수'!$U$46,2)</f>
        <v>1.79</v>
      </c>
      <c r="G20" s="27" t="n">
        <f aca="false">ROUND(100*(((((AE20-'리그 타자'!$B$46)/'연도별 상수'!$T$46)+'연도별 상수'!$W$46))+('연도별 상수'!$W$46*(1-AH20)))/'연도별 상수'!$W$46,1)</f>
        <v>89.9</v>
      </c>
      <c r="H20" s="27" t="n">
        <f aca="false">ROUND((((AE20-'리그 타자'!$B$46)/'연도별 상수'!$T$46)*K20/AH20)+(S20*'연도별 상수'!$AB$46-T20*'연도별 상수'!$AC$46)-((S20+T20)*('연도별 상수'!$AD$46*0.2-(1-'연도별 상수'!$AD$46)*0.4))+0.05*(S20+O20+P20),1)</f>
        <v>-4.2</v>
      </c>
      <c r="I20" s="27" t="n">
        <f aca="false">ROUND((0.75*AO20)+(AF20*(J20/144)),1)</f>
        <v>10.3</v>
      </c>
      <c r="J20" s="28" t="n">
        <v>84</v>
      </c>
      <c r="K20" s="28" t="n">
        <v>346</v>
      </c>
      <c r="L20" s="28" t="n">
        <v>315</v>
      </c>
      <c r="M20" s="28" t="n">
        <v>45</v>
      </c>
      <c r="N20" s="28" t="n">
        <v>76</v>
      </c>
      <c r="O20" s="28" t="n">
        <v>15</v>
      </c>
      <c r="P20" s="28" t="n">
        <v>6</v>
      </c>
      <c r="Q20" s="28" t="n">
        <v>10</v>
      </c>
      <c r="R20" s="28" t="n">
        <v>38</v>
      </c>
      <c r="S20" s="7" t="n">
        <v>11</v>
      </c>
      <c r="T20" s="7" t="n">
        <v>0</v>
      </c>
      <c r="U20" s="28" t="n">
        <v>22</v>
      </c>
      <c r="V20" s="28" t="n">
        <v>3</v>
      </c>
      <c r="W20" s="28" t="n">
        <v>0</v>
      </c>
      <c r="X20" s="28" t="n">
        <v>48</v>
      </c>
      <c r="Y20" s="28" t="n">
        <v>5</v>
      </c>
      <c r="Z20" s="28" t="n">
        <v>4</v>
      </c>
      <c r="AA20" s="29" t="n">
        <f aca="false">ROUND(N20/L20,3)</f>
        <v>0.241</v>
      </c>
      <c r="AB20" s="29" t="n">
        <f aca="false">ROUND((N20+U20+V20)/(L20+U20+V20+Z20),3)</f>
        <v>0.294</v>
      </c>
      <c r="AC20" s="29" t="n">
        <f aca="false">ROUND(((N20-O20-P20-Q20)+2*O20+3*P20+4*Q20)/L20,3)</f>
        <v>0.422</v>
      </c>
      <c r="AD20" s="29" t="n">
        <f aca="false">ROUND(AB20+AC20,3)</f>
        <v>0.716</v>
      </c>
      <c r="AE20" s="30" t="n">
        <f aca="false">ROUND((('연도별 상수'!$N$46*(U20-W20))+('연도별 상수'!$O$46*V20)+('연도별 상수'!$P$46*(N20-O20-P20-Q20))+('연도별 상수'!$Q$46*O20)+('연도별 상수'!$R$46*P20)+('연도별 상수'!$S$46*Q20))/(L20+U20+V20-W20+Z20),3)</f>
        <v>0.321</v>
      </c>
      <c r="AF20" s="31" t="n">
        <f aca="false">'연도별 상수'!AG$8</f>
        <v>2.22</v>
      </c>
      <c r="AG20" s="9" t="n">
        <f aca="false">'연도별 상수'!AH$8</f>
        <v>3</v>
      </c>
      <c r="AH20" s="9" t="n">
        <f aca="false">'연도별 상수'!$D$46</f>
        <v>0.943387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9" t="n">
        <v>12</v>
      </c>
      <c r="AP20" s="1" t="n">
        <f aca="false">K20</f>
        <v>346</v>
      </c>
      <c r="AQ20" s="7" t="n">
        <v>0</v>
      </c>
    </row>
    <row r="21" customFormat="false" ht="26.25" hidden="false" customHeight="true" outlineLevel="0" collapsed="false">
      <c r="A21" s="10" t="n">
        <v>20</v>
      </c>
      <c r="B21" s="23" t="s">
        <v>69</v>
      </c>
      <c r="C21" s="24" t="str">
        <f aca="false">'연도별 상수'!AE$7</f>
        <v>LF</v>
      </c>
      <c r="D21" s="25" t="s">
        <v>43</v>
      </c>
      <c r="E21" s="24" t="n">
        <f aca="false">'연도별 상수'!$A$46</f>
        <v>2026</v>
      </c>
      <c r="F21" s="26" t="n">
        <f aca="false">ROUND(((H21)+(I21)+(AG21*K21/600)+(20*K21/600))/'연도별 상수'!$U$46,2)</f>
        <v>1.98</v>
      </c>
      <c r="G21" s="27" t="n">
        <f aca="false">ROUND(100*(((((AE21-'리그 타자'!$B$46)/'연도별 상수'!$T$46)+'연도별 상수'!$W$46))+('연도별 상수'!$W$46*(1-AH21)))/'연도별 상수'!$W$46,1)</f>
        <v>158.7</v>
      </c>
      <c r="H21" s="27" t="n">
        <f aca="false">ROUND((((AE21-'리그 타자'!$B$46)/'연도별 상수'!$T$46)*K21/AH21)+(S21*'연도별 상수'!$AB$46-T21*'연도별 상수'!$AC$46)-((S21+T21)*('연도별 상수'!$AD$46*0.2-(1-'연도별 상수'!$AD$46)*0.4))+0.05*(S21+O21+P21),1)</f>
        <v>16.1</v>
      </c>
      <c r="I21" s="27" t="n">
        <f aca="false">ROUND((0.75*AO21)+(AF21*(J21/144)),1)</f>
        <v>-0.2</v>
      </c>
      <c r="J21" s="28" t="n">
        <v>63</v>
      </c>
      <c r="K21" s="28" t="n">
        <v>219</v>
      </c>
      <c r="L21" s="28" t="n">
        <v>188</v>
      </c>
      <c r="M21" s="28" t="n">
        <v>39</v>
      </c>
      <c r="N21" s="28" t="n">
        <v>56</v>
      </c>
      <c r="O21" s="28" t="n">
        <v>19</v>
      </c>
      <c r="P21" s="28" t="n">
        <v>1</v>
      </c>
      <c r="Q21" s="28" t="n">
        <v>8</v>
      </c>
      <c r="R21" s="28" t="n">
        <v>33</v>
      </c>
      <c r="S21" s="7" t="n">
        <v>1</v>
      </c>
      <c r="T21" s="7" t="n">
        <v>0</v>
      </c>
      <c r="U21" s="28" t="n">
        <v>21</v>
      </c>
      <c r="V21" s="28" t="n">
        <v>10</v>
      </c>
      <c r="W21" s="28" t="n">
        <v>0</v>
      </c>
      <c r="X21" s="28" t="n">
        <v>53</v>
      </c>
      <c r="Y21" s="28" t="n">
        <v>7</v>
      </c>
      <c r="Z21" s="28" t="n">
        <v>0</v>
      </c>
      <c r="AA21" s="29" t="n">
        <f aca="false">ROUND(N21/L21,3)</f>
        <v>0.298</v>
      </c>
      <c r="AB21" s="29" t="n">
        <f aca="false">ROUND((N21+U21+V21)/(L21+U21+V21+Z21),3)</f>
        <v>0.397</v>
      </c>
      <c r="AC21" s="29" t="n">
        <f aca="false">ROUND(((N21-O21-P21-Q21)+2*O21+3*P21+4*Q21)/L21,3)</f>
        <v>0.537</v>
      </c>
      <c r="AD21" s="29" t="n">
        <f aca="false">ROUND(AB21+AC21,3)</f>
        <v>0.934</v>
      </c>
      <c r="AE21" s="30" t="n">
        <f aca="false">ROUND((('연도별 상수'!$N$46*(U21-W21))+('연도별 상수'!$O$46*V21)+('연도별 상수'!$P$46*(N21-O21-P21-Q21))+('연도별 상수'!$Q$46*O21)+('연도별 상수'!$R$46*P21)+('연도별 상수'!$S$46*Q21))/(L21+U21+V21-W21+Z21),3)</f>
        <v>0.42</v>
      </c>
      <c r="AF21" s="31" t="n">
        <f aca="false">'연도별 상수'!AG$7</f>
        <v>-5.5</v>
      </c>
      <c r="AG21" s="9" t="n">
        <f aca="false">'연도별 상수'!AH$7</f>
        <v>-5</v>
      </c>
      <c r="AH21" s="9" t="n">
        <f aca="false">'연도별 상수'!$B$46</f>
        <v>0.871842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9" t="n">
        <v>3</v>
      </c>
      <c r="AP21" s="1" t="n">
        <f aca="false">K21</f>
        <v>219</v>
      </c>
      <c r="AQ21" s="7" t="n">
        <v>0</v>
      </c>
    </row>
    <row r="22" customFormat="false" ht="26.25" hidden="false" customHeight="true" outlineLevel="0" collapsed="false">
      <c r="A22" s="10" t="n">
        <v>21</v>
      </c>
      <c r="B22" s="23" t="s">
        <v>70</v>
      </c>
      <c r="C22" s="24" t="str">
        <f aca="false">'연도별 상수'!AE$2</f>
        <v>C</v>
      </c>
      <c r="D22" s="25" t="s">
        <v>43</v>
      </c>
      <c r="E22" s="24" t="n">
        <f aca="false">'연도별 상수'!$A$46</f>
        <v>2026</v>
      </c>
      <c r="F22" s="26" t="n">
        <f aca="false">ROUND(((H22)+(I22)+(AG22*K22/600)+(20*K22/600))/'연도별 상수'!$U$46,2)</f>
        <v>1.77</v>
      </c>
      <c r="G22" s="27" t="n">
        <f aca="false">ROUND(100*(((((AE22-'리그 타자'!$B$46)/'연도별 상수'!$T$46)+'연도별 상수'!$W$46))+('연도별 상수'!$W$46*(1-AH22)))/'연도별 상수'!$W$46,1)</f>
        <v>117</v>
      </c>
      <c r="H22" s="27" t="n">
        <f aca="false">ROUND((((AE22-'리그 타자'!$B$46)/'연도별 상수'!$T$46)*K22/AH22)+(S22*'연도별 상수'!$AB$46-T22*'연도별 상수'!$AC$46)-((S22+T22)*('연도별 상수'!$AD$46*0.2-(1-'연도별 상수'!$AD$46)*0.4))+0.05*(S22+O22+P22),1)</f>
        <v>1.5</v>
      </c>
      <c r="I22" s="27" t="n">
        <f aca="false">ROUND((0.75*AO22)+(AF22*(J22/144)),1)</f>
        <v>4.3</v>
      </c>
      <c r="J22" s="28" t="n">
        <v>76</v>
      </c>
      <c r="K22" s="28" t="n">
        <v>267</v>
      </c>
      <c r="L22" s="28" t="n">
        <v>217</v>
      </c>
      <c r="M22" s="28" t="n">
        <v>34</v>
      </c>
      <c r="N22" s="28" t="n">
        <v>52</v>
      </c>
      <c r="O22" s="28" t="n">
        <v>11</v>
      </c>
      <c r="P22" s="28" t="n">
        <v>0</v>
      </c>
      <c r="Q22" s="28" t="n">
        <v>9</v>
      </c>
      <c r="R22" s="28" t="n">
        <v>38</v>
      </c>
      <c r="S22" s="7" t="n">
        <v>1</v>
      </c>
      <c r="T22" s="7" t="n">
        <v>2</v>
      </c>
      <c r="U22" s="28" t="n">
        <v>37</v>
      </c>
      <c r="V22" s="28" t="n">
        <v>4</v>
      </c>
      <c r="W22" s="28" t="n">
        <v>2</v>
      </c>
      <c r="X22" s="28" t="n">
        <v>66</v>
      </c>
      <c r="Y22" s="28" t="n">
        <v>9</v>
      </c>
      <c r="Z22" s="28" t="n">
        <v>3</v>
      </c>
      <c r="AA22" s="29" t="n">
        <f aca="false">ROUND(N22/L22,3)</f>
        <v>0.24</v>
      </c>
      <c r="AB22" s="29" t="n">
        <f aca="false">ROUND((N22+U22+V22)/(L22+U22+V22+Z22),3)</f>
        <v>0.356</v>
      </c>
      <c r="AC22" s="29" t="n">
        <f aca="false">ROUND(((N22-O22-P22-Q22)+2*O22+3*P22+4*Q22)/L22,3)</f>
        <v>0.415</v>
      </c>
      <c r="AD22" s="29" t="n">
        <f aca="false">ROUND(AB22+AC22,3)</f>
        <v>0.771</v>
      </c>
      <c r="AE22" s="30" t="n">
        <f aca="false">ROUND((('연도별 상수'!$N$46*(U22-W22))+('연도별 상수'!$O$46*V22)+('연도별 상수'!$P$46*(N22-O22-P22-Q22))+('연도별 상수'!$Q$46*O22)+('연도별 상수'!$R$46*P22)+('연도별 상수'!$S$46*Q22))/(L22+U22+V22-W22+Z22),3)</f>
        <v>0.353</v>
      </c>
      <c r="AF22" s="31" t="n">
        <f aca="false">'연도별 상수'!AG$2</f>
        <v>5.22</v>
      </c>
      <c r="AG22" s="9" t="n">
        <f aca="false">'연도별 상수'!AH$2</f>
        <v>10</v>
      </c>
      <c r="AH22" s="9" t="n">
        <f aca="false">'연도별 상수'!$B$46</f>
        <v>0.871842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9" t="n">
        <v>2</v>
      </c>
      <c r="AP22" s="1" t="n">
        <f aca="false">K22</f>
        <v>267</v>
      </c>
      <c r="AQ22" s="7" t="n">
        <v>0</v>
      </c>
    </row>
    <row r="23" customFormat="false" ht="26.25" hidden="false" customHeight="true" outlineLevel="0" collapsed="false">
      <c r="A23" s="10" t="n">
        <v>22</v>
      </c>
      <c r="B23" s="23" t="s">
        <v>71</v>
      </c>
      <c r="C23" s="24" t="str">
        <f aca="false">'연도별 상수'!AE$2</f>
        <v>C</v>
      </c>
      <c r="D23" s="25" t="s">
        <v>54</v>
      </c>
      <c r="E23" s="24" t="n">
        <f aca="false">'연도별 상수'!$A$46</f>
        <v>2026</v>
      </c>
      <c r="F23" s="26" t="n">
        <f aca="false">ROUND(((H23)+(I23)+(AG23*K23/600)+(20*K23/600))/'연도별 상수'!$U$46,2)</f>
        <v>1.68</v>
      </c>
      <c r="G23" s="27" t="n">
        <f aca="false">ROUND(100*(((((AE23-'리그 타자'!$B$46)/'연도별 상수'!$T$46)+'연도별 상수'!$W$46))+('연도별 상수'!$W$46*(1-AH23)))/'연도별 상수'!$W$46,1)</f>
        <v>111.4</v>
      </c>
      <c r="H23" s="27" t="n">
        <f aca="false">ROUND((((AE23-'리그 타자'!$B$46)/'연도별 상수'!$T$46)*K23/AH23)+(S23*'연도별 상수'!$AB$46-T23*'연도별 상수'!$AC$46)-((S23+T23)*('연도별 상수'!$AD$46*0.2-(1-'연도별 상수'!$AD$46)*0.4))+0.05*(S23+O23+P23),1)</f>
        <v>0</v>
      </c>
      <c r="I23" s="27" t="n">
        <f aca="false">ROUND((0.75*AO23)+(AF23*(J23/144)),1)</f>
        <v>1.5</v>
      </c>
      <c r="J23" s="28" t="n">
        <v>84</v>
      </c>
      <c r="K23" s="28" t="n">
        <v>333</v>
      </c>
      <c r="L23" s="28" t="n">
        <v>281</v>
      </c>
      <c r="M23" s="28" t="n">
        <v>27</v>
      </c>
      <c r="N23" s="28" t="n">
        <v>71</v>
      </c>
      <c r="O23" s="28" t="n">
        <v>11</v>
      </c>
      <c r="P23" s="28" t="n">
        <v>0</v>
      </c>
      <c r="Q23" s="28" t="n">
        <v>11</v>
      </c>
      <c r="R23" s="28" t="n">
        <v>43</v>
      </c>
      <c r="S23" s="7" t="n">
        <v>1</v>
      </c>
      <c r="T23" s="7" t="n">
        <v>0</v>
      </c>
      <c r="U23" s="28" t="n">
        <v>27</v>
      </c>
      <c r="V23" s="28" t="n">
        <v>16</v>
      </c>
      <c r="W23" s="28" t="n">
        <v>0</v>
      </c>
      <c r="X23" s="28" t="n">
        <v>37</v>
      </c>
      <c r="Y23" s="28" t="n">
        <v>8</v>
      </c>
      <c r="Z23" s="28" t="n">
        <v>9</v>
      </c>
      <c r="AA23" s="29" t="n">
        <f aca="false">ROUND(N23/L23,3)</f>
        <v>0.253</v>
      </c>
      <c r="AB23" s="29" t="n">
        <f aca="false">ROUND((N23+U23+V23)/(L23+U23+V23+Z23),3)</f>
        <v>0.342</v>
      </c>
      <c r="AC23" s="29" t="n">
        <f aca="false">ROUND(((N23-O23-P23-Q23)+2*O23+3*P23+4*Q23)/L23,3)</f>
        <v>0.409</v>
      </c>
      <c r="AD23" s="29" t="n">
        <f aca="false">ROUND(AB23+AC23,3)</f>
        <v>0.751</v>
      </c>
      <c r="AE23" s="30" t="n">
        <f aca="false">ROUND((('연도별 상수'!$N$46*(U23-W23))+('연도별 상수'!$O$46*V23)+('연도별 상수'!$P$46*(N23-O23-P23-Q23))+('연도별 상수'!$Q$46*O23)+('연도별 상수'!$R$46*P23)+('연도별 상수'!$S$46*Q23))/(L23+U23+V23-W23+Z23),3)</f>
        <v>0.344</v>
      </c>
      <c r="AF23" s="31" t="n">
        <f aca="false">'연도별 상수'!AG$2</f>
        <v>5.22</v>
      </c>
      <c r="AG23" s="9" t="n">
        <f aca="false">'연도별 상수'!AH$2</f>
        <v>10</v>
      </c>
      <c r="AH23" s="9" t="n">
        <f aca="false">'연도별 상수'!$B$46</f>
        <v>0.871842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9" t="n">
        <v>-2</v>
      </c>
      <c r="AP23" s="1" t="n">
        <f aca="false">K23</f>
        <v>333</v>
      </c>
      <c r="AQ23" s="7" t="n">
        <v>0</v>
      </c>
    </row>
    <row r="24" customFormat="false" ht="26.25" hidden="false" customHeight="true" outlineLevel="0" collapsed="false">
      <c r="A24" s="10" t="n">
        <v>23</v>
      </c>
      <c r="B24" s="23" t="s">
        <v>72</v>
      </c>
      <c r="C24" s="24" t="str">
        <f aca="false">'연도별 상수'!AE$8</f>
        <v>CF</v>
      </c>
      <c r="D24" s="25" t="s">
        <v>54</v>
      </c>
      <c r="E24" s="24" t="n">
        <f aca="false">'연도별 상수'!$A$46</f>
        <v>2026</v>
      </c>
      <c r="F24" s="26" t="n">
        <f aca="false">ROUND(((H24)+(I24)+(AG24*K24/600)+(20*K24/600))/'연도별 상수'!$U$46,2)</f>
        <v>1.66</v>
      </c>
      <c r="G24" s="27" t="n">
        <f aca="false">ROUND(100*(((((AE24-'리그 타자'!$B$46)/'연도별 상수'!$T$46)+'연도별 상수'!$W$46))+('연도별 상수'!$W$46*(1-AH24)))/'연도별 상수'!$W$46,1)</f>
        <v>107.6</v>
      </c>
      <c r="H24" s="27" t="n">
        <f aca="false">ROUND((((AE24-'리그 타자'!$B$46)/'연도별 상수'!$T$46)*K24/AH24)+(S24*'연도별 상수'!$AB$46-T24*'연도별 상수'!$AC$46)-((S24+T24)*('연도별 상수'!$AD$46*0.2-(1-'연도별 상수'!$AD$46)*0.4))+0.05*(S24+O24+P24),1)</f>
        <v>-1</v>
      </c>
      <c r="I24" s="27" t="n">
        <f aca="false">ROUND((0.75*AO24)+(AF24*(J24/144)),1)</f>
        <v>5.8</v>
      </c>
      <c r="J24" s="28" t="n">
        <v>85</v>
      </c>
      <c r="K24" s="28" t="n">
        <v>342</v>
      </c>
      <c r="L24" s="28" t="n">
        <v>297</v>
      </c>
      <c r="M24" s="28" t="n">
        <v>45</v>
      </c>
      <c r="N24" s="28" t="n">
        <v>79</v>
      </c>
      <c r="O24" s="28" t="n">
        <v>8</v>
      </c>
      <c r="P24" s="28" t="n">
        <v>4</v>
      </c>
      <c r="Q24" s="28" t="n">
        <v>6</v>
      </c>
      <c r="R24" s="28" t="n">
        <v>32</v>
      </c>
      <c r="S24" s="7" t="n">
        <v>14</v>
      </c>
      <c r="T24" s="7" t="n">
        <v>4</v>
      </c>
      <c r="U24" s="28" t="n">
        <v>34</v>
      </c>
      <c r="V24" s="28" t="n">
        <v>4</v>
      </c>
      <c r="W24" s="28" t="n">
        <v>1</v>
      </c>
      <c r="X24" s="28" t="n">
        <v>49</v>
      </c>
      <c r="Y24" s="28" t="n">
        <v>4</v>
      </c>
      <c r="Z24" s="28" t="n">
        <v>1</v>
      </c>
      <c r="AA24" s="29" t="n">
        <f aca="false">ROUND(N24/L24,3)</f>
        <v>0.266</v>
      </c>
      <c r="AB24" s="29" t="n">
        <f aca="false">ROUND((N24+U24+V24)/(L24+U24+V24+Z24),3)</f>
        <v>0.348</v>
      </c>
      <c r="AC24" s="29" t="n">
        <f aca="false">ROUND(((N24-O24-P24-Q24)+2*O24+3*P24+4*Q24)/L24,3)</f>
        <v>0.38</v>
      </c>
      <c r="AD24" s="29" t="n">
        <f aca="false">ROUND(AB24+AC24,3)</f>
        <v>0.728</v>
      </c>
      <c r="AE24" s="30" t="n">
        <f aca="false">ROUND((('연도별 상수'!$N$46*(U24-W24))+('연도별 상수'!$O$46*V24)+('연도별 상수'!$P$46*(N24-O24-P24-Q24))+('연도별 상수'!$Q$46*O24)+('연도별 상수'!$R$46*P24)+('연도별 상수'!$S$46*Q24))/(L24+U24+V24-W24+Z24),3)</f>
        <v>0.338</v>
      </c>
      <c r="AF24" s="31" t="n">
        <f aca="false">'연도별 상수'!AG$8</f>
        <v>2.22</v>
      </c>
      <c r="AG24" s="9" t="n">
        <f aca="false">'연도별 상수'!AH$8</f>
        <v>3</v>
      </c>
      <c r="AH24" s="9" t="n">
        <f aca="false">'연도별 상수'!$B$46</f>
        <v>0.871842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9" t="n">
        <v>6</v>
      </c>
      <c r="AP24" s="1" t="n">
        <f aca="false">K24</f>
        <v>342</v>
      </c>
      <c r="AQ24" s="7" t="n">
        <v>0</v>
      </c>
    </row>
    <row r="25" customFormat="false" ht="26.25" hidden="false" customHeight="true" outlineLevel="0" collapsed="false">
      <c r="A25" s="10" t="n">
        <v>24</v>
      </c>
      <c r="B25" s="23" t="s">
        <v>73</v>
      </c>
      <c r="C25" s="24" t="str">
        <f aca="false">'연도별 상수'!AE$10</f>
        <v>DH</v>
      </c>
      <c r="D25" s="25" t="s">
        <v>62</v>
      </c>
      <c r="E25" s="24" t="n">
        <f aca="false">'연도별 상수'!$A$46</f>
        <v>2026</v>
      </c>
      <c r="F25" s="26" t="n">
        <f aca="false">ROUND(((H25)+(I25)+(AG25*K25/600)+(20*K25/600))/'연도별 상수'!$U$46,2)</f>
        <v>1.43</v>
      </c>
      <c r="G25" s="27" t="n">
        <f aca="false">ROUND(100*(((((AE25-'리그 타자'!$B$46)/'연도별 상수'!$T$46)+'연도별 상수'!$W$46))+('연도별 상수'!$W$46*(1-AH25)))/'연도별 상수'!$W$46,1)</f>
        <v>134.4</v>
      </c>
      <c r="H25" s="27" t="n">
        <f aca="false">ROUND((((AE25-'리그 타자'!$B$46)/'연도별 상수'!$T$46)*K25/AH25)+(S25*'연도별 상수'!$AB$46-T25*'연도별 상수'!$AC$46)-((S25+T25)*('연도별 상수'!$AD$46*0.2-(1-'연도별 상수'!$AD$46)*0.4))+0.05*(S25+O25+P25),1)</f>
        <v>19.4</v>
      </c>
      <c r="I25" s="27" t="n">
        <f aca="false">ROUND((0.75*AO25)+(AF25*(J25/144)),1)</f>
        <v>-6.8</v>
      </c>
      <c r="J25" s="28" t="n">
        <v>78</v>
      </c>
      <c r="K25" s="28" t="n">
        <v>341</v>
      </c>
      <c r="L25" s="28" t="n">
        <v>300</v>
      </c>
      <c r="M25" s="28" t="n">
        <v>50</v>
      </c>
      <c r="N25" s="28" t="n">
        <v>94</v>
      </c>
      <c r="O25" s="28" t="n">
        <v>17</v>
      </c>
      <c r="P25" s="28" t="n">
        <v>0</v>
      </c>
      <c r="Q25" s="28" t="n">
        <v>23</v>
      </c>
      <c r="R25" s="28" t="n">
        <v>85</v>
      </c>
      <c r="S25" s="7" t="n">
        <v>0</v>
      </c>
      <c r="T25" s="7" t="n">
        <v>2</v>
      </c>
      <c r="U25" s="28" t="n">
        <v>36</v>
      </c>
      <c r="V25" s="28" t="n">
        <v>1</v>
      </c>
      <c r="W25" s="28" t="n">
        <v>3</v>
      </c>
      <c r="X25" s="28" t="n">
        <v>68</v>
      </c>
      <c r="Y25" s="28" t="n">
        <v>6</v>
      </c>
      <c r="Z25" s="28" t="n">
        <v>4</v>
      </c>
      <c r="AA25" s="29" t="n">
        <f aca="false">ROUND(N25/L25,3)</f>
        <v>0.313</v>
      </c>
      <c r="AB25" s="29" t="n">
        <f aca="false">ROUND((N25+U25+V25)/(L25+U25+V25+Z25),3)</f>
        <v>0.384</v>
      </c>
      <c r="AC25" s="29" t="n">
        <f aca="false">ROUND(((N25-O25-P25-Q25)+2*O25+3*P25+4*Q25)/L25,3)</f>
        <v>0.6</v>
      </c>
      <c r="AD25" s="29" t="n">
        <f aca="false">ROUND(AB25+AC25,3)</f>
        <v>0.984</v>
      </c>
      <c r="AE25" s="30" t="n">
        <f aca="false">ROUND((('연도별 상수'!$N$46*(U25-W25))+('연도별 상수'!$O$46*V25)+('연도별 상수'!$P$46*(N25-O25-P25-Q25))+('연도별 상수'!$Q$46*O25)+('연도별 상수'!$R$46*P25)+('연도별 상수'!$S$46*Q25))/(L25+U25+V25-W25+Z25),3)</f>
        <v>0.429</v>
      </c>
      <c r="AF25" s="31" t="n">
        <f aca="false">'연도별 상수'!AG$10</f>
        <v>-12.5</v>
      </c>
      <c r="AG25" s="9" t="n">
        <f aca="false">'연도별 상수'!AH$10</f>
        <v>-15</v>
      </c>
      <c r="AH25" s="9" t="n">
        <f aca="false">'연도별 상수'!$F$46</f>
        <v>1.170772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9" t="n">
        <v>0</v>
      </c>
      <c r="AP25" s="1" t="n">
        <f aca="false">K25</f>
        <v>341</v>
      </c>
      <c r="AQ25" s="7" t="n">
        <v>0</v>
      </c>
    </row>
    <row r="26" customFormat="false" ht="26.25" hidden="false" customHeight="true" outlineLevel="0" collapsed="false">
      <c r="A26" s="10" t="n">
        <v>25</v>
      </c>
      <c r="B26" s="23" t="s">
        <v>74</v>
      </c>
      <c r="C26" s="24" t="str">
        <f aca="false">'연도별 상수'!AE$9</f>
        <v>RF</v>
      </c>
      <c r="D26" s="25" t="s">
        <v>47</v>
      </c>
      <c r="E26" s="24" t="n">
        <f aca="false">'연도별 상수'!$A$46</f>
        <v>2026</v>
      </c>
      <c r="F26" s="26" t="n">
        <f aca="false">ROUND(((H26)+(I26)+(AG26*K26/600)+(20*K26/600))/'연도별 상수'!$U$46,2)</f>
        <v>1.77</v>
      </c>
      <c r="G26" s="27" t="n">
        <f aca="false">ROUND(100*(((((AE26-'리그 타자'!$B$46)/'연도별 상수'!$T$46)+'연도별 상수'!$W$46))+('연도별 상수'!$W$46*(1-AH26)))/'연도별 상수'!$W$46,1)</f>
        <v>146.5</v>
      </c>
      <c r="H26" s="27" t="n">
        <f aca="false">ROUND((((AE26-'리그 타자'!$B$46)/'연도별 상수'!$T$46)*K26/AH26)+(S26*'연도별 상수'!$AB$46-T26*'연도별 상수'!$AC$46)-((S26+T26)*('연도별 상수'!$AD$46*0.2-(1-'연도별 상수'!$AD$46)*0.4))+0.05*(S26+O26+P26),1)</f>
        <v>18.8</v>
      </c>
      <c r="I26" s="27" t="n">
        <f aca="false">ROUND((0.75*AO26)+(AF26*(J26/144)),1)</f>
        <v>-8</v>
      </c>
      <c r="J26" s="28" t="n">
        <v>82</v>
      </c>
      <c r="K26" s="28" t="n">
        <v>331</v>
      </c>
      <c r="L26" s="28" t="n">
        <v>288</v>
      </c>
      <c r="M26" s="28" t="n">
        <v>47</v>
      </c>
      <c r="N26" s="28" t="n">
        <v>85</v>
      </c>
      <c r="O26" s="28" t="n">
        <v>17</v>
      </c>
      <c r="P26" s="28" t="n">
        <v>0</v>
      </c>
      <c r="Q26" s="28" t="n">
        <v>17</v>
      </c>
      <c r="R26" s="28" t="n">
        <v>49</v>
      </c>
      <c r="S26" s="7" t="n">
        <v>0</v>
      </c>
      <c r="T26" s="7" t="n">
        <v>0</v>
      </c>
      <c r="U26" s="28" t="n">
        <v>36</v>
      </c>
      <c r="V26" s="28" t="n">
        <v>5</v>
      </c>
      <c r="W26" s="28" t="n">
        <v>0</v>
      </c>
      <c r="X26" s="28" t="n">
        <v>87</v>
      </c>
      <c r="Y26" s="28" t="n">
        <v>5</v>
      </c>
      <c r="Z26" s="28" t="n">
        <v>2</v>
      </c>
      <c r="AA26" s="29" t="n">
        <f aca="false">ROUND(N26/L26,3)</f>
        <v>0.295</v>
      </c>
      <c r="AB26" s="29" t="n">
        <f aca="false">ROUND((N26+U26+V26)/(L26+U26+V26+Z26),3)</f>
        <v>0.381</v>
      </c>
      <c r="AC26" s="29" t="n">
        <f aca="false">ROUND(((N26-O26-P26-Q26)+2*O26+3*P26+4*Q26)/L26,3)</f>
        <v>0.531</v>
      </c>
      <c r="AD26" s="29" t="n">
        <f aca="false">ROUND(AB26+AC26,3)</f>
        <v>0.912</v>
      </c>
      <c r="AE26" s="30" t="n">
        <f aca="false">ROUND((('연도별 상수'!$N$46*(U26-W26))+('연도별 상수'!$O$46*V26)+('연도별 상수'!$P$46*(N26-O26-P26-Q26))+('연도별 상수'!$Q$46*O26)+('연도별 상수'!$R$46*P26)+('연도별 상수'!$S$46*Q26))/(L26+U26+V26-W26+Z26),3)</f>
        <v>0.408</v>
      </c>
      <c r="AF26" s="31" t="n">
        <f aca="false">'연도별 상수'!AG$9</f>
        <v>-4.77</v>
      </c>
      <c r="AG26" s="9" t="n">
        <f aca="false">'연도별 상수'!AH$9</f>
        <v>-5</v>
      </c>
      <c r="AH26" s="9" t="n">
        <f aca="false">'연도별 상수'!$G$46</f>
        <v>0.919389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9" t="n">
        <v>-7</v>
      </c>
      <c r="AP26" s="1" t="n">
        <f aca="false">K26</f>
        <v>331</v>
      </c>
      <c r="AQ26" s="7" t="n">
        <v>0</v>
      </c>
    </row>
    <row r="27" customFormat="false" ht="26.25" hidden="false" customHeight="true" outlineLevel="0" collapsed="false">
      <c r="A27" s="10" t="n">
        <v>26</v>
      </c>
      <c r="B27" s="23" t="s">
        <v>75</v>
      </c>
      <c r="C27" s="24" t="str">
        <f aca="false">'연도별 상수'!AE$7</f>
        <v>LF</v>
      </c>
      <c r="D27" s="25" t="s">
        <v>76</v>
      </c>
      <c r="E27" s="24" t="n">
        <f aca="false">'연도별 상수'!$A$46</f>
        <v>2026</v>
      </c>
      <c r="F27" s="26" t="n">
        <f aca="false">ROUND(((H27)+(I27)+(AG27*K27/600)+(20*K27/600))/'연도별 상수'!$U$46,2)</f>
        <v>1.49</v>
      </c>
      <c r="G27" s="27" t="n">
        <f aca="false">ROUND(100*(((((AE27-'리그 타자'!$B$46)/'연도별 상수'!$T$46)+'연도별 상수'!$W$46))+('연도별 상수'!$W$46*(1-AH27)))/'연도별 상수'!$W$46,1)</f>
        <v>122</v>
      </c>
      <c r="H27" s="27" t="n">
        <f aca="false">ROUND((((AE27-'리그 타자'!$B$46)/'연도별 상수'!$T$46)*K27/AH27)+(S27*'연도별 상수'!$AB$46-T27*'연도별 상수'!$AC$46)-((S27+T27)*('연도별 상수'!$AD$46*0.2-(1-'연도별 상수'!$AD$46)*0.4))+0.05*(S27+O27+P27),1)</f>
        <v>16.7</v>
      </c>
      <c r="I27" s="27" t="n">
        <f aca="false">ROUND((0.75*AO27)+(AF27*(J27/144)),1)</f>
        <v>-10</v>
      </c>
      <c r="J27" s="28" t="n">
        <v>85</v>
      </c>
      <c r="K27" s="28" t="n">
        <v>374</v>
      </c>
      <c r="L27" s="28" t="n">
        <v>336</v>
      </c>
      <c r="M27" s="28" t="n">
        <v>43</v>
      </c>
      <c r="N27" s="28" t="n">
        <v>117</v>
      </c>
      <c r="O27" s="28" t="n">
        <v>19</v>
      </c>
      <c r="P27" s="28" t="n">
        <v>1</v>
      </c>
      <c r="Q27" s="28" t="n">
        <v>11</v>
      </c>
      <c r="R27" s="28" t="n">
        <v>61</v>
      </c>
      <c r="S27" s="7" t="n">
        <v>1</v>
      </c>
      <c r="T27" s="7" t="n">
        <v>1</v>
      </c>
      <c r="U27" s="28" t="n">
        <v>33</v>
      </c>
      <c r="V27" s="28" t="n">
        <v>2</v>
      </c>
      <c r="W27" s="28" t="n">
        <v>7</v>
      </c>
      <c r="X27" s="28" t="n">
        <v>40</v>
      </c>
      <c r="Y27" s="28" t="n">
        <v>5</v>
      </c>
      <c r="Z27" s="28" t="n">
        <v>3</v>
      </c>
      <c r="AA27" s="29" t="n">
        <f aca="false">ROUND(N27/L27,3)</f>
        <v>0.348</v>
      </c>
      <c r="AB27" s="29" t="n">
        <f aca="false">ROUND((N27+U27+V27)/(L27+U27+V27+Z27),3)</f>
        <v>0.406</v>
      </c>
      <c r="AC27" s="29" t="n">
        <f aca="false">ROUND(((N27-O27-P27-Q27)+2*O27+3*P27+4*Q27)/L27,3)</f>
        <v>0.509</v>
      </c>
      <c r="AD27" s="29" t="n">
        <f aca="false">ROUND(AB27+AC27,3)</f>
        <v>0.915</v>
      </c>
      <c r="AE27" s="30" t="n">
        <f aca="false">ROUND((('연도별 상수'!$N$46*(U27-W27))+('연도별 상수'!$O$46*V27)+('연도별 상수'!$P$46*(N27-O27-P27-Q27))+('연도별 상수'!$Q$46*O27)+('연도별 상수'!$R$46*P27)+('연도별 상수'!$S$46*Q27))/(L27+U27+V27-W27+Z27),3)</f>
        <v>0.408</v>
      </c>
      <c r="AF27" s="31" t="n">
        <f aca="false">'연도별 상수'!AG$7</f>
        <v>-5.5</v>
      </c>
      <c r="AG27" s="9" t="n">
        <f aca="false">'연도별 상수'!AH$7</f>
        <v>-5</v>
      </c>
      <c r="AH27" s="9" t="n">
        <f aca="false">'연도별 상수'!$I$46</f>
        <v>1.163773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9" t="n">
        <v>-9</v>
      </c>
      <c r="AP27" s="1" t="n">
        <f aca="false">K27</f>
        <v>374</v>
      </c>
      <c r="AQ27" s="7" t="n">
        <v>1</v>
      </c>
    </row>
    <row r="28" customFormat="false" ht="26.25" hidden="false" customHeight="true" outlineLevel="0" collapsed="false">
      <c r="A28" s="10" t="n">
        <v>27</v>
      </c>
      <c r="B28" s="23" t="s">
        <v>77</v>
      </c>
      <c r="C28" s="24" t="str">
        <f aca="false">'연도별 상수'!AE$7</f>
        <v>LF</v>
      </c>
      <c r="D28" s="25" t="s">
        <v>59</v>
      </c>
      <c r="E28" s="24" t="n">
        <f aca="false">'연도별 상수'!$A$46</f>
        <v>2026</v>
      </c>
      <c r="F28" s="26" t="n">
        <f aca="false">ROUND(((H28)+(I28)+(AG28*K28/600)+(20*K28/600))/'연도별 상수'!$U$46,2)</f>
        <v>1.65</v>
      </c>
      <c r="G28" s="27" t="n">
        <f aca="false">ROUND(100*(((((AE28-'리그 타자'!$B$46)/'연도별 상수'!$T$46)+'연도별 상수'!$W$46))+('연도별 상수'!$W$46*(1-AH28)))/'연도별 상수'!$W$46,1)</f>
        <v>141</v>
      </c>
      <c r="H28" s="27" t="n">
        <f aca="false">ROUND((((AE28-'리그 타자'!$B$46)/'연도별 상수'!$T$46)*K28/AH28)+(S28*'연도별 상수'!$AB$46-T28*'연도별 상수'!$AC$46)-((S28+T28)*('연도별 상수'!$AD$46*0.2-(1-'연도별 상수'!$AD$46)*0.4))+0.05*(S28+O28+P28),1)</f>
        <v>17.6</v>
      </c>
      <c r="I28" s="27" t="n">
        <f aca="false">ROUND((0.75*AO28)+(AF28*(J28/144)),1)</f>
        <v>-7</v>
      </c>
      <c r="J28" s="28" t="n">
        <v>66</v>
      </c>
      <c r="K28" s="28" t="n">
        <v>287</v>
      </c>
      <c r="L28" s="28" t="n">
        <v>245</v>
      </c>
      <c r="M28" s="28" t="n">
        <v>49</v>
      </c>
      <c r="N28" s="28" t="n">
        <v>83</v>
      </c>
      <c r="O28" s="28" t="n">
        <v>14</v>
      </c>
      <c r="P28" s="28" t="n">
        <v>3</v>
      </c>
      <c r="Q28" s="28" t="n">
        <v>8</v>
      </c>
      <c r="R28" s="28" t="n">
        <v>57</v>
      </c>
      <c r="S28" s="7" t="n">
        <v>4</v>
      </c>
      <c r="T28" s="7" t="n">
        <v>1</v>
      </c>
      <c r="U28" s="28" t="n">
        <v>35</v>
      </c>
      <c r="V28" s="28" t="n">
        <v>3</v>
      </c>
      <c r="W28" s="28" t="n">
        <v>2</v>
      </c>
      <c r="X28" s="28" t="n">
        <v>41</v>
      </c>
      <c r="Y28" s="28" t="n">
        <v>2</v>
      </c>
      <c r="Z28" s="28" t="n">
        <v>4</v>
      </c>
      <c r="AA28" s="29" t="n">
        <f aca="false">ROUND(N28/L28,3)</f>
        <v>0.339</v>
      </c>
      <c r="AB28" s="29" t="n">
        <f aca="false">ROUND((N28+U28+V28)/(L28+U28+V28+Z28),3)</f>
        <v>0.422</v>
      </c>
      <c r="AC28" s="29" t="n">
        <f aca="false">ROUND(((N28-O28-P28-Q28)+2*O28+3*P28+4*Q28)/L28,3)</f>
        <v>0.518</v>
      </c>
      <c r="AD28" s="29" t="n">
        <f aca="false">ROUND(AB28+AC28,3)</f>
        <v>0.94</v>
      </c>
      <c r="AE28" s="30" t="n">
        <f aca="false">ROUND((('연도별 상수'!$N$46*(U28-W28))+('연도별 상수'!$O$46*V28)+('연도별 상수'!$P$46*(N28-O28-P28-Q28))+('연도별 상수'!$Q$46*O28)+('연도별 상수'!$R$46*P28)+('연도별 상수'!$S$46*Q28))/(L28+U28+V28-W28+Z28),3)</f>
        <v>0.421</v>
      </c>
      <c r="AF28" s="31" t="n">
        <f aca="false">'연도별 상수'!AG$7</f>
        <v>-5.5</v>
      </c>
      <c r="AG28" s="9" t="n">
        <f aca="false">'연도별 상수'!AH$7</f>
        <v>-5</v>
      </c>
      <c r="AH28" s="9" t="n">
        <f aca="false">'연도별 상수'!$H$46</f>
        <v>1.055356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9" t="n">
        <v>-6</v>
      </c>
      <c r="AP28" s="1" t="n">
        <f aca="false">K28</f>
        <v>287</v>
      </c>
      <c r="AQ28" s="7" t="n">
        <v>0</v>
      </c>
    </row>
    <row r="29" customFormat="false" ht="26.25" hidden="false" customHeight="true" outlineLevel="0" collapsed="false">
      <c r="A29" s="10" t="n">
        <v>28</v>
      </c>
      <c r="B29" s="23" t="s">
        <v>78</v>
      </c>
      <c r="C29" s="24" t="str">
        <f aca="false">'연도별 상수'!AE$9</f>
        <v>RF</v>
      </c>
      <c r="D29" s="25" t="s">
        <v>59</v>
      </c>
      <c r="E29" s="24" t="n">
        <f aca="false">'연도별 상수'!$A$46</f>
        <v>2026</v>
      </c>
      <c r="F29" s="26" t="n">
        <f aca="false">ROUND(((H29)+(I29)+(AG29*K29/600)+(20*K29/600))/'연도별 상수'!$U$46,2)</f>
        <v>1.58</v>
      </c>
      <c r="G29" s="27" t="n">
        <f aca="false">ROUND(100*(((((AE29-'리그 타자'!$B$46)/'연도별 상수'!$T$46)+'연도별 상수'!$W$46))+('연도별 상수'!$W$46*(1-AH29)))/'연도별 상수'!$W$46,1)</f>
        <v>131.6</v>
      </c>
      <c r="H29" s="27" t="n">
        <f aca="false">ROUND((((AE29-'리그 타자'!$B$46)/'연도별 상수'!$T$46)*K29/AH29)+(S29*'연도별 상수'!$AB$46-T29*'연도별 상수'!$AC$46)-((S29+T29)*('연도별 상수'!$AD$46*0.2-(1-'연도별 상수'!$AD$46)*0.4))+0.05*(S29+O29+P29),1)</f>
        <v>13.5</v>
      </c>
      <c r="I29" s="27" t="n">
        <f aca="false">ROUND((0.75*AO29)+(AF29*(J29/144)),1)</f>
        <v>-3</v>
      </c>
      <c r="J29" s="28" t="n">
        <v>69</v>
      </c>
      <c r="K29" s="28" t="n">
        <v>262</v>
      </c>
      <c r="L29" s="28" t="n">
        <v>217</v>
      </c>
      <c r="M29" s="28" t="n">
        <v>46</v>
      </c>
      <c r="N29" s="28" t="n">
        <v>62</v>
      </c>
      <c r="O29" s="28" t="n">
        <v>10</v>
      </c>
      <c r="P29" s="28" t="n">
        <v>5</v>
      </c>
      <c r="Q29" s="28" t="n">
        <v>9</v>
      </c>
      <c r="R29" s="28" t="n">
        <v>34</v>
      </c>
      <c r="S29" s="7" t="n">
        <v>6</v>
      </c>
      <c r="T29" s="7" t="n">
        <v>1</v>
      </c>
      <c r="U29" s="28" t="n">
        <v>40</v>
      </c>
      <c r="V29" s="28" t="n">
        <v>3</v>
      </c>
      <c r="W29" s="28" t="n">
        <v>1</v>
      </c>
      <c r="X29" s="28" t="n">
        <v>37</v>
      </c>
      <c r="Y29" s="28" t="n">
        <v>5</v>
      </c>
      <c r="Z29" s="28" t="n">
        <v>2</v>
      </c>
      <c r="AA29" s="29" t="n">
        <f aca="false">ROUND(N29/L29,3)</f>
        <v>0.286</v>
      </c>
      <c r="AB29" s="29" t="n">
        <f aca="false">ROUND((N29+U29+V29)/(L29+U29+V29+Z29),3)</f>
        <v>0.401</v>
      </c>
      <c r="AC29" s="29" t="n">
        <f aca="false">ROUND(((N29-O29-P29-Q29)+2*O29+3*P29+4*Q29)/L29,3)</f>
        <v>0.502</v>
      </c>
      <c r="AD29" s="29" t="n">
        <f aca="false">ROUND(AB29+AC29,3)</f>
        <v>0.903</v>
      </c>
      <c r="AE29" s="30" t="n">
        <f aca="false">ROUND((('연도별 상수'!$N$46*(U29-W29))+('연도별 상수'!$O$46*V29)+('연도별 상수'!$P$46*(N29-O29-P29-Q29))+('연도별 상수'!$Q$46*O29)+('연도별 상수'!$R$46*P29)+('연도별 상수'!$S$46*Q29))/(L29+U29+V29-W29+Z29),3)</f>
        <v>0.406</v>
      </c>
      <c r="AF29" s="31" t="n">
        <f aca="false">'연도별 상수'!AG$9</f>
        <v>-4.77</v>
      </c>
      <c r="AG29" s="9" t="n">
        <f aca="false">'연도별 상수'!AH$9</f>
        <v>-5</v>
      </c>
      <c r="AH29" s="9" t="n">
        <f aca="false">'연도별 상수'!$H$46</f>
        <v>1.055356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9" t="n">
        <v>-1</v>
      </c>
      <c r="AP29" s="1" t="n">
        <f aca="false">K29</f>
        <v>262</v>
      </c>
      <c r="AQ29" s="7" t="n">
        <v>0</v>
      </c>
    </row>
    <row r="30" customFormat="false" ht="26.25" hidden="false" customHeight="true" outlineLevel="0" collapsed="false">
      <c r="A30" s="10" t="n">
        <v>29</v>
      </c>
      <c r="B30" s="23" t="s">
        <v>79</v>
      </c>
      <c r="C30" s="24" t="str">
        <f aca="false">'연도별 상수'!AE$3</f>
        <v>1B</v>
      </c>
      <c r="D30" s="25" t="s">
        <v>59</v>
      </c>
      <c r="E30" s="24" t="n">
        <f aca="false">'연도별 상수'!$A$46</f>
        <v>2026</v>
      </c>
      <c r="F30" s="26" t="n">
        <f aca="false">ROUND(((H30)+(I30)+(AG30*K30/600)+(20*K30/600))/'연도별 상수'!$U$46,2)</f>
        <v>1.47</v>
      </c>
      <c r="G30" s="27" t="n">
        <f aca="false">ROUND(100*(((((AE30-'리그 타자'!$B$46)/'연도별 상수'!$T$46)+'연도별 상수'!$W$46))+('연도별 상수'!$W$46*(1-AH30)))/'연도별 상수'!$W$46,1)</f>
        <v>123.5</v>
      </c>
      <c r="H30" s="27" t="n">
        <f aca="false">ROUND((((AE30-'리그 타자'!$B$46)/'연도별 상수'!$T$46)*K30/AH30)+(S30*'연도별 상수'!$AB$46-T30*'연도별 상수'!$AC$46)-((S30+T30)*('연도별 상수'!$AD$46*0.2-(1-'연도별 상수'!$AD$46)*0.4))+0.05*(S30+O30+P30),1)</f>
        <v>15</v>
      </c>
      <c r="I30" s="27" t="n">
        <f aca="false">ROUND((0.75*AO30)+(AF30*(J30/144)),1)</f>
        <v>-6.8</v>
      </c>
      <c r="J30" s="28" t="n">
        <v>85</v>
      </c>
      <c r="K30" s="28" t="n">
        <v>382</v>
      </c>
      <c r="L30" s="28" t="n">
        <v>332</v>
      </c>
      <c r="M30" s="28" t="n">
        <v>52</v>
      </c>
      <c r="N30" s="28" t="n">
        <v>98</v>
      </c>
      <c r="O30" s="28" t="n">
        <v>20</v>
      </c>
      <c r="P30" s="28" t="n">
        <v>0</v>
      </c>
      <c r="Q30" s="28" t="n">
        <v>16</v>
      </c>
      <c r="R30" s="28" t="n">
        <v>71</v>
      </c>
      <c r="S30" s="7" t="n">
        <v>2</v>
      </c>
      <c r="T30" s="7" t="n">
        <v>0</v>
      </c>
      <c r="U30" s="28" t="n">
        <v>46</v>
      </c>
      <c r="V30" s="28" t="n">
        <v>1</v>
      </c>
      <c r="W30" s="28" t="n">
        <v>3</v>
      </c>
      <c r="X30" s="28" t="n">
        <v>60</v>
      </c>
      <c r="Y30" s="28" t="n">
        <v>9</v>
      </c>
      <c r="Z30" s="28" t="n">
        <v>3</v>
      </c>
      <c r="AA30" s="29" t="n">
        <f aca="false">ROUND(N30/L30,3)</f>
        <v>0.295</v>
      </c>
      <c r="AB30" s="29" t="n">
        <f aca="false">ROUND((N30+U30+V30)/(L30+U30+V30+Z30),3)</f>
        <v>0.38</v>
      </c>
      <c r="AC30" s="29" t="n">
        <f aca="false">ROUND(((N30-O30-P30-Q30)+2*O30+3*P30+4*Q30)/L30,3)</f>
        <v>0.5</v>
      </c>
      <c r="AD30" s="29" t="n">
        <f aca="false">ROUND(AB30+AC30,3)</f>
        <v>0.88</v>
      </c>
      <c r="AE30" s="30" t="n">
        <f aca="false">ROUND((('연도별 상수'!$N$46*(U30-W30))+('연도별 상수'!$O$46*V30)+('연도별 상수'!$P$46*(N30-O30-P30-Q30))+('연도별 상수'!$Q$46*O30)+('연도별 상수'!$R$46*P30)+('연도별 상수'!$S$46*Q30))/(L30+U30+V30-W30+Z30),3)</f>
        <v>0.393</v>
      </c>
      <c r="AF30" s="31" t="n">
        <f aca="false">'연도별 상수'!AG$3</f>
        <v>-10.22</v>
      </c>
      <c r="AG30" s="9" t="n">
        <f aca="false">'연도별 상수'!AH$3</f>
        <v>-8</v>
      </c>
      <c r="AH30" s="9" t="n">
        <f aca="false">'연도별 상수'!$H$46</f>
        <v>1.055356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9" t="n">
        <v>-1</v>
      </c>
      <c r="AP30" s="1" t="n">
        <f aca="false">K30</f>
        <v>382</v>
      </c>
      <c r="AQ30" s="7" t="n">
        <v>1</v>
      </c>
    </row>
    <row r="31" customFormat="false" ht="26.25" hidden="false" customHeight="true" outlineLevel="0" collapsed="false">
      <c r="A31" s="10" t="n">
        <v>30</v>
      </c>
      <c r="B31" s="23" t="s">
        <v>80</v>
      </c>
      <c r="C31" s="24" t="str">
        <f aca="false">'연도별 상수'!AE$9</f>
        <v>RF</v>
      </c>
      <c r="D31" s="25" t="s">
        <v>54</v>
      </c>
      <c r="E31" s="24" t="n">
        <f aca="false">'연도별 상수'!$A$46</f>
        <v>2026</v>
      </c>
      <c r="F31" s="26" t="n">
        <f aca="false">ROUND(((H31)+(I31)+(AG31*K31/600)+(20*K31/600))/'연도별 상수'!$U$46,2)</f>
        <v>1.5</v>
      </c>
      <c r="G31" s="27" t="n">
        <f aca="false">ROUND(100*(((((AE31-'리그 타자'!$B$46)/'연도별 상수'!$T$46)+'연도별 상수'!$W$46))+('연도별 상수'!$W$46*(1-AH31)))/'연도별 상수'!$W$46,1)</f>
        <v>131.3</v>
      </c>
      <c r="H31" s="27" t="n">
        <f aca="false">ROUND((((AE31-'리그 타자'!$B$46)/'연도별 상수'!$T$46)*K31/AH31)+(S31*'연도별 상수'!$AB$46-T31*'연도별 상수'!$AC$46)-((S31+T31)*('연도별 상수'!$AD$46*0.2-(1-'연도별 상수'!$AD$46)*0.4))+0.05*(S31+O31+P31),1)</f>
        <v>11.5</v>
      </c>
      <c r="I31" s="27" t="n">
        <f aca="false">ROUND((0.75*AO31)+(AF31*(J31/144)),1)</f>
        <v>-3.2</v>
      </c>
      <c r="J31" s="28" t="n">
        <v>75</v>
      </c>
      <c r="K31" s="28" t="n">
        <v>314</v>
      </c>
      <c r="L31" s="28" t="n">
        <v>279</v>
      </c>
      <c r="M31" s="28" t="n">
        <v>39</v>
      </c>
      <c r="N31" s="28" t="n">
        <v>80</v>
      </c>
      <c r="O31" s="28" t="n">
        <v>19</v>
      </c>
      <c r="P31" s="28" t="n">
        <v>3</v>
      </c>
      <c r="Q31" s="28" t="n">
        <v>9</v>
      </c>
      <c r="R31" s="28" t="n">
        <v>43</v>
      </c>
      <c r="S31" s="7" t="n">
        <v>9</v>
      </c>
      <c r="T31" s="7" t="n">
        <v>0</v>
      </c>
      <c r="U31" s="28" t="n">
        <v>30</v>
      </c>
      <c r="V31" s="28" t="n">
        <v>3</v>
      </c>
      <c r="W31" s="28" t="n">
        <v>0</v>
      </c>
      <c r="X31" s="28" t="n">
        <v>53</v>
      </c>
      <c r="Y31" s="28" t="n">
        <v>9</v>
      </c>
      <c r="Z31" s="28" t="n">
        <v>2</v>
      </c>
      <c r="AA31" s="29" t="n">
        <f aca="false">ROUND(N31/L31,3)</f>
        <v>0.287</v>
      </c>
      <c r="AB31" s="29" t="n">
        <f aca="false">ROUND((N31+U31+V31)/(L31+U31+V31+Z31),3)</f>
        <v>0.36</v>
      </c>
      <c r="AC31" s="29" t="n">
        <f aca="false">ROUND(((N31-O31-P31-Q31)+2*O31+3*P31+4*Q31)/L31,3)</f>
        <v>0.473</v>
      </c>
      <c r="AD31" s="29" t="n">
        <f aca="false">ROUND(AB31+AC31,3)</f>
        <v>0.833</v>
      </c>
      <c r="AE31" s="30" t="n">
        <f aca="false">ROUND((('연도별 상수'!$N$46*(U31-W31))+('연도별 상수'!$O$46*V31)+('연도별 상수'!$P$46*(N31-O31-P31-Q31))+('연도별 상수'!$Q$46*O31)+('연도별 상수'!$R$46*P31)+('연도별 상수'!$S$46*Q31))/(L31+U31+V31-W31+Z31),3)</f>
        <v>0.376</v>
      </c>
      <c r="AF31" s="31" t="n">
        <f aca="false">'연도별 상수'!AG$9</f>
        <v>-4.77</v>
      </c>
      <c r="AG31" s="9" t="n">
        <f aca="false">'연도별 상수'!AH$9</f>
        <v>-5</v>
      </c>
      <c r="AH31" s="9" t="n">
        <f aca="false">'연도별 상수'!$B$46</f>
        <v>0.871842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9" t="n">
        <v>-1</v>
      </c>
      <c r="AP31" s="1" t="n">
        <f aca="false">K31</f>
        <v>314</v>
      </c>
      <c r="AQ31" s="7" t="n">
        <v>1</v>
      </c>
    </row>
    <row r="32" customFormat="false" ht="26.25" hidden="false" customHeight="true" outlineLevel="0" collapsed="false">
      <c r="A32" s="10" t="n">
        <v>31</v>
      </c>
      <c r="B32" s="23" t="s">
        <v>81</v>
      </c>
      <c r="C32" s="24" t="str">
        <f aca="false">'연도별 상수'!AE$4</f>
        <v>2B</v>
      </c>
      <c r="D32" s="25" t="s">
        <v>56</v>
      </c>
      <c r="E32" s="24" t="n">
        <f aca="false">'연도별 상수'!$A$46</f>
        <v>2026</v>
      </c>
      <c r="F32" s="26" t="n">
        <f aca="false">ROUND(((H32)+(I32)+(AG32*K32/600)+(20*K32/600))/'연도별 상수'!$U$46,2)</f>
        <v>1.44</v>
      </c>
      <c r="G32" s="27" t="n">
        <f aca="false">ROUND(100*(((((AE32-'리그 타자'!$B$46)/'연도별 상수'!$T$46)+'연도별 상수'!$W$46))+('연도별 상수'!$W$46*(1-AH32)))/'연도별 상수'!$W$46,1)</f>
        <v>91.5</v>
      </c>
      <c r="H32" s="27" t="n">
        <f aca="false">ROUND((((AE32-'리그 타자'!$B$46)/'연도별 상수'!$T$46)*K32/AH32)+(S32*'연도별 상수'!$AB$46-T32*'연도별 상수'!$AC$46)-((S32+T32)*('연도별 상수'!$AD$46*0.2-(1-'연도별 상수'!$AD$46)*0.4))+0.05*(S32+O32+P32),1)</f>
        <v>-1.5</v>
      </c>
      <c r="I32" s="27" t="n">
        <f aca="false">ROUND((0.75*AO32)+(AF32*(J32/144)),1)</f>
        <v>5.9</v>
      </c>
      <c r="J32" s="28" t="n">
        <v>75</v>
      </c>
      <c r="K32" s="28" t="n">
        <v>291</v>
      </c>
      <c r="L32" s="28" t="n">
        <v>242</v>
      </c>
      <c r="M32" s="28" t="n">
        <v>24</v>
      </c>
      <c r="N32" s="28" t="n">
        <v>69</v>
      </c>
      <c r="O32" s="28" t="n">
        <v>7</v>
      </c>
      <c r="P32" s="28" t="n">
        <v>1</v>
      </c>
      <c r="Q32" s="28" t="n">
        <v>0</v>
      </c>
      <c r="R32" s="28" t="n">
        <v>24</v>
      </c>
      <c r="S32" s="7" t="n">
        <v>0</v>
      </c>
      <c r="T32" s="7" t="n">
        <v>3</v>
      </c>
      <c r="U32" s="28" t="n">
        <v>36</v>
      </c>
      <c r="V32" s="28" t="n">
        <v>5</v>
      </c>
      <c r="W32" s="28" t="n">
        <v>0</v>
      </c>
      <c r="X32" s="28" t="n">
        <v>34</v>
      </c>
      <c r="Y32" s="28" t="n">
        <v>8</v>
      </c>
      <c r="Z32" s="28" t="n">
        <v>1</v>
      </c>
      <c r="AA32" s="29" t="n">
        <f aca="false">ROUND(N32/L32,3)</f>
        <v>0.285</v>
      </c>
      <c r="AB32" s="29" t="n">
        <f aca="false">ROUND((N32+U32+V32)/(L32+U32+V32+Z32),3)</f>
        <v>0.387</v>
      </c>
      <c r="AC32" s="29" t="n">
        <f aca="false">ROUND(((N32-O32-P32-Q32)+2*O32+3*P32+4*Q32)/L32,3)</f>
        <v>0.322</v>
      </c>
      <c r="AD32" s="29" t="n">
        <f aca="false">ROUND(AB32+AC32,3)</f>
        <v>0.709</v>
      </c>
      <c r="AE32" s="30" t="n">
        <f aca="false">ROUND((('연도별 상수'!$N$46*(U32-W32))+('연도별 상수'!$O$46*V32)+('연도별 상수'!$P$46*(N32-O32-P32-Q32))+('연도별 상수'!$Q$46*O32)+('연도별 상수'!$R$46*P32)+('연도별 상수'!$S$46*Q32))/(L32+U32+V32-W32+Z32),3)</f>
        <v>0.344</v>
      </c>
      <c r="AF32" s="31" t="n">
        <f aca="false">'연도별 상수'!AG$4</f>
        <v>1.22</v>
      </c>
      <c r="AG32" s="9" t="n">
        <f aca="false">'연도별 상수'!AH$4</f>
        <v>3</v>
      </c>
      <c r="AH32" s="9" t="n">
        <f aca="false">'연도별 상수'!$E$46</f>
        <v>1.069855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9" t="n">
        <v>7</v>
      </c>
      <c r="AP32" s="1" t="n">
        <f aca="false">K32</f>
        <v>291</v>
      </c>
      <c r="AQ32" s="7" t="n">
        <v>0</v>
      </c>
    </row>
    <row r="33" customFormat="false" ht="26.25" hidden="false" customHeight="true" outlineLevel="0" collapsed="false">
      <c r="A33" s="10" t="n">
        <v>32</v>
      </c>
      <c r="B33" s="23" t="s">
        <v>82</v>
      </c>
      <c r="C33" s="24" t="str">
        <f aca="false">'연도별 상수'!AE$6</f>
        <v>SS</v>
      </c>
      <c r="D33" s="25" t="s">
        <v>76</v>
      </c>
      <c r="E33" s="24" t="n">
        <f aca="false">'연도별 상수'!$A$46</f>
        <v>2026</v>
      </c>
      <c r="F33" s="26" t="n">
        <f aca="false">ROUND(((H33)+(I33)+(AG33*K33/600)+(20*K33/600))/'연도별 상수'!$U$46,2)</f>
        <v>1.43</v>
      </c>
      <c r="G33" s="27" t="n">
        <f aca="false">ROUND(100*(((((AE33-'리그 타자'!$B$46)/'연도별 상수'!$T$46)+'연도별 상수'!$W$46))+('연도별 상수'!$W$46*(1-AH33)))/'연도별 상수'!$W$46,1)</f>
        <v>72.8</v>
      </c>
      <c r="H33" s="27" t="n">
        <f aca="false">ROUND((((AE33-'리그 타자'!$B$46)/'연도별 상수'!$T$46)*K33/AH33)+(S33*'연도별 상수'!$AB$46-T33*'연도별 상수'!$AC$46)-((S33+T33)*('연도별 상수'!$AD$46*0.2-(1-'연도별 상수'!$AD$46)*0.4))+0.05*(S33+O33+P33),1)</f>
        <v>-2.5</v>
      </c>
      <c r="I33" s="27" t="n">
        <f aca="false">ROUND((0.75*AO33)+(AF33*(J33/144)),1)</f>
        <v>4.6</v>
      </c>
      <c r="J33" s="28" t="n">
        <v>82</v>
      </c>
      <c r="K33" s="28" t="n">
        <v>297</v>
      </c>
      <c r="L33" s="28" t="n">
        <v>272</v>
      </c>
      <c r="M33" s="28" t="n">
        <v>29</v>
      </c>
      <c r="N33" s="28" t="n">
        <v>74</v>
      </c>
      <c r="O33" s="28" t="n">
        <v>12</v>
      </c>
      <c r="P33" s="28" t="n">
        <v>0</v>
      </c>
      <c r="Q33" s="28" t="n">
        <v>8</v>
      </c>
      <c r="R33" s="28" t="n">
        <v>43</v>
      </c>
      <c r="S33" s="7" t="n">
        <v>9</v>
      </c>
      <c r="T33" s="7" t="n">
        <v>3</v>
      </c>
      <c r="U33" s="28" t="n">
        <v>17</v>
      </c>
      <c r="V33" s="28" t="n">
        <v>3</v>
      </c>
      <c r="W33" s="28" t="n">
        <v>0</v>
      </c>
      <c r="X33" s="28" t="n">
        <v>61</v>
      </c>
      <c r="Y33" s="28" t="n">
        <v>5</v>
      </c>
      <c r="Z33" s="28" t="n">
        <v>3</v>
      </c>
      <c r="AA33" s="29" t="n">
        <f aca="false">ROUND(N33/L33,3)</f>
        <v>0.272</v>
      </c>
      <c r="AB33" s="29" t="n">
        <f aca="false">ROUND((N33+U33+V33)/(L33+U33+V33+Z33),3)</f>
        <v>0.319</v>
      </c>
      <c r="AC33" s="29" t="n">
        <f aca="false">ROUND(((N33-O33-P33-Q33)+2*O33+3*P33+4*Q33)/L33,3)</f>
        <v>0.404</v>
      </c>
      <c r="AD33" s="29" t="n">
        <f aca="false">ROUND(AB33+AC33,3)</f>
        <v>0.723</v>
      </c>
      <c r="AE33" s="30" t="n">
        <f aca="false">ROUND((('연도별 상수'!$N$46*(U33-W33))+('연도별 상수'!$O$46*V33)+('연도별 상수'!$P$46*(N33-O33-P33-Q33))+('연도별 상수'!$Q$46*O33)+('연도별 상수'!$R$46*P33)+('연도별 상수'!$S$46*Q33))/(L33+U33+V33-W33+Z33),3)</f>
        <v>0.329</v>
      </c>
      <c r="AF33" s="31" t="n">
        <f aca="false">'연도별 상수'!AG$6</f>
        <v>2.77</v>
      </c>
      <c r="AG33" s="9" t="n">
        <f aca="false">'연도별 상수'!AH$6</f>
        <v>7</v>
      </c>
      <c r="AH33" s="9" t="n">
        <f aca="false">'연도별 상수'!$I$46</f>
        <v>1.163773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9" t="n">
        <v>4</v>
      </c>
      <c r="AP33" s="1" t="n">
        <f aca="false">K33</f>
        <v>297</v>
      </c>
      <c r="AQ33" s="7" t="n">
        <v>0</v>
      </c>
    </row>
    <row r="34" customFormat="false" ht="26.25" hidden="false" customHeight="true" outlineLevel="0" collapsed="false">
      <c r="A34" s="10" t="n">
        <v>33</v>
      </c>
      <c r="B34" s="23" t="s">
        <v>83</v>
      </c>
      <c r="C34" s="24" t="str">
        <f aca="false">'연도별 상수'!AE$10</f>
        <v>DH</v>
      </c>
      <c r="D34" s="25" t="s">
        <v>59</v>
      </c>
      <c r="E34" s="24" t="n">
        <f aca="false">'연도별 상수'!$A$46</f>
        <v>2026</v>
      </c>
      <c r="F34" s="26" t="n">
        <f aca="false">ROUND(((H34)+(I34)+(AG34*K34/600)+(20*K34/600))/'연도별 상수'!$U$46,2)</f>
        <v>1.43</v>
      </c>
      <c r="G34" s="27" t="n">
        <f aca="false">ROUND(100*(((((AE34-'리그 타자'!$B$46)/'연도별 상수'!$T$46)+'연도별 상수'!$W$46))+('연도별 상수'!$W$46*(1-AH34)))/'연도별 상수'!$W$46,1)</f>
        <v>139.7</v>
      </c>
      <c r="H34" s="27" t="n">
        <f aca="false">ROUND((((AE34-'리그 타자'!$B$46)/'연도별 상수'!$T$46)*K34/AH34)+(S34*'연도별 상수'!$AB$46-T34*'연도별 상수'!$AC$46)-((S34+T34)*('연도별 상수'!$AD$46*0.2-(1-'연도별 상수'!$AD$46)*0.4))+0.05*(S34+O34+P34),1)</f>
        <v>20.3</v>
      </c>
      <c r="I34" s="27" t="n">
        <f aca="false">ROUND((0.75*AO34)+(AF34*(J34/144)),1)</f>
        <v>-7.8</v>
      </c>
      <c r="J34" s="28" t="n">
        <v>81</v>
      </c>
      <c r="K34" s="28" t="n">
        <v>348</v>
      </c>
      <c r="L34" s="28" t="n">
        <v>289</v>
      </c>
      <c r="M34" s="28" t="n">
        <v>40</v>
      </c>
      <c r="N34" s="28" t="n">
        <v>95</v>
      </c>
      <c r="O34" s="28" t="n">
        <v>16</v>
      </c>
      <c r="P34" s="28" t="n">
        <v>0</v>
      </c>
      <c r="Q34" s="28" t="n">
        <v>12</v>
      </c>
      <c r="R34" s="28" t="n">
        <v>66</v>
      </c>
      <c r="S34" s="7" t="n">
        <v>1</v>
      </c>
      <c r="T34" s="7" t="n">
        <v>0</v>
      </c>
      <c r="U34" s="28" t="n">
        <v>50</v>
      </c>
      <c r="V34" s="28" t="n">
        <v>3</v>
      </c>
      <c r="W34" s="28" t="n">
        <v>4</v>
      </c>
      <c r="X34" s="28" t="n">
        <v>48</v>
      </c>
      <c r="Y34" s="28" t="n">
        <v>11</v>
      </c>
      <c r="Z34" s="28" t="n">
        <v>6</v>
      </c>
      <c r="AA34" s="29" t="n">
        <f aca="false">ROUND(N34/L34,3)</f>
        <v>0.329</v>
      </c>
      <c r="AB34" s="29" t="n">
        <f aca="false">ROUND((N34+U34+V34)/(L34+U34+V34+Z34),3)</f>
        <v>0.425</v>
      </c>
      <c r="AC34" s="29" t="n">
        <f aca="false">ROUND(((N34-O34-P34-Q34)+2*O34+3*P34+4*Q34)/L34,3)</f>
        <v>0.509</v>
      </c>
      <c r="AD34" s="29" t="n">
        <f aca="false">ROUND(AB34+AC34,3)</f>
        <v>0.934</v>
      </c>
      <c r="AE34" s="30" t="n">
        <f aca="false">ROUND((('연도별 상수'!$N$46*(U34-W34))+('연도별 상수'!$O$46*V34)+('연도별 상수'!$P$46*(N34-O34-P34-Q34))+('연도별 상수'!$Q$46*O34)+('연도별 상수'!$R$46*P34)+('연도별 상수'!$S$46*Q34))/(L34+U34+V34-W34+Z34),3)</f>
        <v>0.419</v>
      </c>
      <c r="AF34" s="31" t="n">
        <f aca="false">'연도별 상수'!AG$10</f>
        <v>-12.5</v>
      </c>
      <c r="AG34" s="9" t="n">
        <f aca="false">'연도별 상수'!AH$10</f>
        <v>-15</v>
      </c>
      <c r="AH34" s="9" t="n">
        <f aca="false">'연도별 상수'!$H$46</f>
        <v>1.055356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9" t="n">
        <v>-1</v>
      </c>
      <c r="AP34" s="1" t="n">
        <f aca="false">K34</f>
        <v>348</v>
      </c>
      <c r="AQ34" s="7" t="n">
        <v>0</v>
      </c>
    </row>
    <row r="35" customFormat="false" ht="26.25" hidden="false" customHeight="true" outlineLevel="0" collapsed="false">
      <c r="A35" s="10" t="n">
        <v>34</v>
      </c>
      <c r="B35" s="23" t="s">
        <v>84</v>
      </c>
      <c r="C35" s="24" t="str">
        <f aca="false">'연도별 상수'!AE$4</f>
        <v>2B</v>
      </c>
      <c r="D35" s="25" t="s">
        <v>50</v>
      </c>
      <c r="E35" s="24" t="n">
        <f aca="false">'연도별 상수'!$A$46</f>
        <v>2026</v>
      </c>
      <c r="F35" s="26" t="n">
        <f aca="false">ROUND(((H35)+(I35)+(AG35*K35/600)+(20*K35/600))/'연도별 상수'!$U$46,2)</f>
        <v>1.27</v>
      </c>
      <c r="G35" s="27" t="n">
        <f aca="false">ROUND(100*(((((AE35-'리그 타자'!$B$46)/'연도별 상수'!$T$46)+'연도별 상수'!$W$46))+('연도별 상수'!$W$46*(1-AH35)))/'연도별 상수'!$W$46,1)</f>
        <v>94.9</v>
      </c>
      <c r="H35" s="27" t="n">
        <f aca="false">ROUND((((AE35-'리그 타자'!$B$46)/'연도별 상수'!$T$46)*K35/AH35)+(S35*'연도별 상수'!$AB$46-T35*'연도별 상수'!$AC$46)-((S35+T35)*('연도별 상수'!$AD$46*0.2-(1-'연도별 상수'!$AD$46)*0.4))+0.05*(S35+O35+P35),1)</f>
        <v>-3.7</v>
      </c>
      <c r="I35" s="27" t="n">
        <f aca="false">ROUND((0.75*AO35)+(AF35*(J35/144)),1)</f>
        <v>4.5</v>
      </c>
      <c r="J35" s="28" t="n">
        <v>83</v>
      </c>
      <c r="K35" s="28" t="n">
        <v>336</v>
      </c>
      <c r="L35" s="28" t="n">
        <v>285</v>
      </c>
      <c r="M35" s="28" t="n">
        <v>43</v>
      </c>
      <c r="N35" s="28" t="n">
        <v>79</v>
      </c>
      <c r="O35" s="28" t="n">
        <v>8</v>
      </c>
      <c r="P35" s="28" t="n">
        <v>6</v>
      </c>
      <c r="Q35" s="28" t="n">
        <v>1</v>
      </c>
      <c r="R35" s="28" t="n">
        <v>27</v>
      </c>
      <c r="S35" s="7" t="n">
        <v>12</v>
      </c>
      <c r="T35" s="7" t="n">
        <v>4</v>
      </c>
      <c r="U35" s="28" t="n">
        <v>29</v>
      </c>
      <c r="V35" s="28" t="n">
        <v>5</v>
      </c>
      <c r="W35" s="28" t="n">
        <v>0</v>
      </c>
      <c r="X35" s="28" t="n">
        <v>46</v>
      </c>
      <c r="Y35" s="28" t="n">
        <v>4</v>
      </c>
      <c r="Z35" s="28" t="n">
        <v>5</v>
      </c>
      <c r="AA35" s="29" t="n">
        <f aca="false">ROUND(N35/L35,3)</f>
        <v>0.277</v>
      </c>
      <c r="AB35" s="29" t="n">
        <f aca="false">ROUND((N35+U35+V35)/(L35+U35+V35+Z35),3)</f>
        <v>0.349</v>
      </c>
      <c r="AC35" s="29" t="n">
        <f aca="false">ROUND(((N35-O35-P35-Q35)+2*O35+3*P35+4*Q35)/L35,3)</f>
        <v>0.358</v>
      </c>
      <c r="AD35" s="29" t="n">
        <f aca="false">ROUND(AB35+AC35,3)</f>
        <v>0.707</v>
      </c>
      <c r="AE35" s="30" t="n">
        <f aca="false">ROUND((('연도별 상수'!$N$46*(U35-W35))+('연도별 상수'!$O$46*V35)+('연도별 상수'!$P$46*(N35-O35-P35-Q35))+('연도별 상수'!$Q$46*O35)+('연도별 상수'!$R$46*P35)+('연도별 상수'!$S$46*Q35))/(L35+U35+V35-W35+Z35),3)</f>
        <v>0.329</v>
      </c>
      <c r="AF35" s="31" t="n">
        <f aca="false">'연도별 상수'!AG$4</f>
        <v>1.22</v>
      </c>
      <c r="AG35" s="9" t="n">
        <f aca="false">'연도별 상수'!AH$4</f>
        <v>3</v>
      </c>
      <c r="AH35" s="9" t="n">
        <f aca="false">'연도별 상수'!$D$46</f>
        <v>0.943387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9" t="n">
        <v>5</v>
      </c>
      <c r="AP35" s="1" t="n">
        <f aca="false">K35</f>
        <v>336</v>
      </c>
      <c r="AQ35" s="7" t="n">
        <v>0</v>
      </c>
    </row>
    <row r="36" customFormat="false" ht="26.25" hidden="false" customHeight="true" outlineLevel="0" collapsed="false">
      <c r="A36" s="10" t="n">
        <v>35</v>
      </c>
      <c r="B36" s="23" t="s">
        <v>85</v>
      </c>
      <c r="C36" s="24" t="str">
        <f aca="false">'연도별 상수'!AE$8</f>
        <v>CF</v>
      </c>
      <c r="D36" s="25" t="s">
        <v>76</v>
      </c>
      <c r="E36" s="24" t="n">
        <f aca="false">'연도별 상수'!$A$46</f>
        <v>2026</v>
      </c>
      <c r="F36" s="26" t="n">
        <f aca="false">ROUND(((H36)+(I36)+(AG36*K36/600)+(20*K36/600))/'연도별 상수'!$U$46,2)</f>
        <v>1.31</v>
      </c>
      <c r="G36" s="27" t="n">
        <f aca="false">ROUND(100*(((((AE36-'리그 타자'!$B$46)/'연도별 상수'!$T$46)+'연도별 상수'!$W$46))+('연도별 상수'!$W$46*(1-AH36)))/'연도별 상수'!$W$46,1)</f>
        <v>69.1</v>
      </c>
      <c r="H36" s="27" t="n">
        <f aca="false">ROUND((((AE36-'리그 타자'!$B$46)/'연도별 상수'!$T$46)*K36/AH36)+(S36*'연도별 상수'!$AB$46-T36*'연도별 상수'!$AC$46)-((S36+T36)*('연도별 상수'!$AD$46*0.2-(1-'연도별 상수'!$AD$46)*0.4))+0.05*(S36+O36+P36),1)</f>
        <v>0.1</v>
      </c>
      <c r="I36" s="27" t="n">
        <f aca="false">ROUND((0.75*AO36)+(AF36*(J36/144)),1)</f>
        <v>4</v>
      </c>
      <c r="J36" s="28" t="n">
        <v>66</v>
      </c>
      <c r="K36" s="28" t="n">
        <v>263</v>
      </c>
      <c r="L36" s="28" t="n">
        <v>239</v>
      </c>
      <c r="M36" s="28" t="n">
        <v>38</v>
      </c>
      <c r="N36" s="28" t="n">
        <v>69</v>
      </c>
      <c r="O36" s="28" t="n">
        <v>6</v>
      </c>
      <c r="P36" s="28" t="n">
        <v>6</v>
      </c>
      <c r="Q36" s="28" t="n">
        <v>0</v>
      </c>
      <c r="R36" s="28" t="n">
        <v>20</v>
      </c>
      <c r="S36" s="7" t="n">
        <v>32</v>
      </c>
      <c r="T36" s="7" t="n">
        <v>6</v>
      </c>
      <c r="U36" s="28" t="n">
        <v>17</v>
      </c>
      <c r="V36" s="28" t="n">
        <v>1</v>
      </c>
      <c r="W36" s="28" t="n">
        <v>0</v>
      </c>
      <c r="X36" s="28" t="n">
        <v>42</v>
      </c>
      <c r="Y36" s="28" t="n">
        <v>1</v>
      </c>
      <c r="Z36" s="28" t="n">
        <v>2</v>
      </c>
      <c r="AA36" s="29" t="n">
        <f aca="false">ROUND(N36/L36,3)</f>
        <v>0.289</v>
      </c>
      <c r="AB36" s="29" t="n">
        <f aca="false">ROUND((N36+U36+V36)/(L36+U36+V36+Z36),3)</f>
        <v>0.336</v>
      </c>
      <c r="AC36" s="29" t="n">
        <f aca="false">ROUND(((N36-O36-P36-Q36)+2*O36+3*P36+4*Q36)/L36,3)</f>
        <v>0.364</v>
      </c>
      <c r="AD36" s="29" t="n">
        <f aca="false">ROUND(AB36+AC36,3)</f>
        <v>0.7</v>
      </c>
      <c r="AE36" s="30" t="n">
        <f aca="false">ROUND((('연도별 상수'!$N$46*(U36-W36))+('연도별 상수'!$O$46*V36)+('연도별 상수'!$P$46*(N36-O36-P36-Q36))+('연도별 상수'!$Q$46*O36)+('연도별 상수'!$R$46*P36)+('연도별 상수'!$S$46*Q36))/(L36+U36+V36-W36+Z36),3)</f>
        <v>0.323</v>
      </c>
      <c r="AF36" s="31" t="n">
        <f aca="false">'연도별 상수'!AG$8</f>
        <v>2.22</v>
      </c>
      <c r="AG36" s="9" t="n">
        <f aca="false">'연도별 상수'!AH$8</f>
        <v>3</v>
      </c>
      <c r="AH36" s="9" t="n">
        <f aca="false">'연도별 상수'!$I$46</f>
        <v>1.163773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9" t="n">
        <v>4</v>
      </c>
      <c r="AP36" s="1" t="n">
        <f aca="false">K36</f>
        <v>263</v>
      </c>
      <c r="AQ36" s="7" t="n">
        <v>0</v>
      </c>
    </row>
    <row r="37" customFormat="false" ht="26.25" hidden="false" customHeight="true" outlineLevel="0" collapsed="false">
      <c r="A37" s="10" t="n">
        <v>36</v>
      </c>
      <c r="B37" s="23" t="s">
        <v>86</v>
      </c>
      <c r="C37" s="24" t="str">
        <f aca="false">'연도별 상수'!AE$6</f>
        <v>SS</v>
      </c>
      <c r="D37" s="25" t="s">
        <v>62</v>
      </c>
      <c r="E37" s="24" t="n">
        <f aca="false">'연도별 상수'!$A$46</f>
        <v>2026</v>
      </c>
      <c r="F37" s="26" t="n">
        <f aca="false">ROUND(((H37)+(I37)+(AG37*K37/600)+(20*K37/600))/'연도별 상수'!$U$46,2)</f>
        <v>1.3</v>
      </c>
      <c r="G37" s="27" t="n">
        <f aca="false">ROUND(100*(((((AE37-'리그 타자'!$B$46)/'연도별 상수'!$T$46)+'연도별 상수'!$W$46))+('연도별 상수'!$W$46*(1-AH37)))/'연도별 상수'!$W$46,1)</f>
        <v>70.9</v>
      </c>
      <c r="H37" s="27" t="n">
        <f aca="false">ROUND((((AE37-'리그 타자'!$B$46)/'연도별 상수'!$T$46)*K37/AH37)+(S37*'연도별 상수'!$AB$46-T37*'연도별 상수'!$AC$46)-((S37+T37)*('연도별 상수'!$AD$46*0.2-(1-'연도별 상수'!$AD$46)*0.4))+0.05*(S37+O37+P37),1)</f>
        <v>-0.6</v>
      </c>
      <c r="I37" s="27" t="n">
        <f aca="false">ROUND((0.75*AO37)+(AF37*(J37/144)),1)</f>
        <v>2.9</v>
      </c>
      <c r="J37" s="28" t="n">
        <v>74</v>
      </c>
      <c r="K37" s="28" t="n">
        <v>261</v>
      </c>
      <c r="L37" s="28" t="n">
        <v>225</v>
      </c>
      <c r="M37" s="28" t="n">
        <v>39</v>
      </c>
      <c r="N37" s="28" t="n">
        <v>60</v>
      </c>
      <c r="O37" s="28" t="n">
        <v>7</v>
      </c>
      <c r="P37" s="28" t="n">
        <v>0</v>
      </c>
      <c r="Q37" s="28" t="n">
        <v>3</v>
      </c>
      <c r="R37" s="28" t="n">
        <v>24</v>
      </c>
      <c r="S37" s="7" t="n">
        <v>15</v>
      </c>
      <c r="T37" s="7" t="n">
        <v>1</v>
      </c>
      <c r="U37" s="28" t="n">
        <v>27</v>
      </c>
      <c r="V37" s="28" t="n">
        <v>3</v>
      </c>
      <c r="W37" s="28" t="n">
        <v>0</v>
      </c>
      <c r="X37" s="28" t="n">
        <v>45</v>
      </c>
      <c r="Y37" s="28" t="n">
        <v>1</v>
      </c>
      <c r="Z37" s="28" t="n">
        <v>1</v>
      </c>
      <c r="AA37" s="29" t="n">
        <f aca="false">ROUND(N37/L37,3)</f>
        <v>0.267</v>
      </c>
      <c r="AB37" s="29" t="n">
        <f aca="false">ROUND((N37+U37+V37)/(L37+U37+V37+Z37),3)</f>
        <v>0.352</v>
      </c>
      <c r="AC37" s="29" t="n">
        <f aca="false">ROUND(((N37-O37-P37-Q37)+2*O37+3*P37+4*Q37)/L37,3)</f>
        <v>0.338</v>
      </c>
      <c r="AD37" s="29" t="n">
        <f aca="false">ROUND(AB37+AC37,3)</f>
        <v>0.69</v>
      </c>
      <c r="AE37" s="30" t="n">
        <f aca="false">ROUND((('연도별 상수'!$N$46*(U37-W37))+('연도별 상수'!$O$46*V37)+('연도별 상수'!$P$46*(N37-O37-P37-Q37))+('연도별 상수'!$Q$46*O37)+('연도별 상수'!$R$46*P37)+('연도별 상수'!$S$46*Q37))/(L37+U37+V37-W37+Z37),3)</f>
        <v>0.327</v>
      </c>
      <c r="AF37" s="31" t="n">
        <f aca="false">'연도별 상수'!AG$6</f>
        <v>2.77</v>
      </c>
      <c r="AG37" s="9" t="n">
        <f aca="false">'연도별 상수'!AH$6</f>
        <v>7</v>
      </c>
      <c r="AH37" s="9" t="n">
        <f aca="false">'연도별 상수'!$F$46</f>
        <v>1.170772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9" t="n">
        <v>2</v>
      </c>
      <c r="AP37" s="1" t="n">
        <f aca="false">K37</f>
        <v>261</v>
      </c>
      <c r="AQ37" s="7" t="n">
        <v>0</v>
      </c>
    </row>
    <row r="38" customFormat="false" ht="26.25" hidden="false" customHeight="true" outlineLevel="0" collapsed="false">
      <c r="A38" s="10" t="n">
        <v>37</v>
      </c>
      <c r="B38" s="23" t="s">
        <v>87</v>
      </c>
      <c r="C38" s="24" t="str">
        <f aca="false">'연도별 상수'!AE$9</f>
        <v>RF</v>
      </c>
      <c r="D38" s="25" t="s">
        <v>45</v>
      </c>
      <c r="E38" s="24" t="n">
        <f aca="false">'연도별 상수'!$A$46</f>
        <v>2026</v>
      </c>
      <c r="F38" s="26" t="n">
        <f aca="false">ROUND(((H38)+(I38)+(AG38*K38/600)+(20*K38/600))/'연도별 상수'!$U$46,2)</f>
        <v>1.26</v>
      </c>
      <c r="G38" s="27" t="n">
        <f aca="false">ROUND(100*(((((AE38-'리그 타자'!$B$46)/'연도별 상수'!$T$46)+'연도별 상수'!$W$46))+('연도별 상수'!$W$46*(1-AH38)))/'연도별 상수'!$W$46,1)</f>
        <v>124.7</v>
      </c>
      <c r="H38" s="27" t="n">
        <f aca="false">ROUND((((AE38-'리그 타자'!$B$46)/'연도별 상수'!$T$46)*K38/AH38)+(S38*'연도별 상수'!$AB$46-T38*'연도별 상수'!$AC$46)-((S38+T38)*('연도별 상수'!$AD$46*0.2-(1-'연도별 상수'!$AD$46)*0.4))+0.05*(S38+O38+P38),1)</f>
        <v>9.8</v>
      </c>
      <c r="I38" s="27" t="n">
        <f aca="false">ROUND((0.75*AO38)+(AF38*(J38/144)),1)</f>
        <v>-4.1</v>
      </c>
      <c r="J38" s="28" t="n">
        <v>79</v>
      </c>
      <c r="K38" s="28" t="n">
        <v>318</v>
      </c>
      <c r="L38" s="28" t="n">
        <v>268</v>
      </c>
      <c r="M38" s="28" t="n">
        <v>41</v>
      </c>
      <c r="N38" s="28" t="n">
        <v>77</v>
      </c>
      <c r="O38" s="28" t="n">
        <v>11</v>
      </c>
      <c r="P38" s="28" t="n">
        <v>0</v>
      </c>
      <c r="Q38" s="28" t="n">
        <v>15</v>
      </c>
      <c r="R38" s="28" t="n">
        <v>50</v>
      </c>
      <c r="S38" s="7" t="n">
        <v>5</v>
      </c>
      <c r="T38" s="7" t="n">
        <v>2</v>
      </c>
      <c r="U38" s="28" t="n">
        <v>40</v>
      </c>
      <c r="V38" s="28" t="n">
        <v>1</v>
      </c>
      <c r="W38" s="28" t="n">
        <v>5</v>
      </c>
      <c r="X38" s="28" t="n">
        <v>58</v>
      </c>
      <c r="Y38" s="28" t="n">
        <v>5</v>
      </c>
      <c r="Z38" s="28" t="n">
        <v>9</v>
      </c>
      <c r="AA38" s="29" t="n">
        <f aca="false">ROUND(N38/L38,3)</f>
        <v>0.287</v>
      </c>
      <c r="AB38" s="29" t="n">
        <f aca="false">ROUND((N38+U38+V38)/(L38+U38+V38+Z38),3)</f>
        <v>0.371</v>
      </c>
      <c r="AC38" s="29" t="n">
        <f aca="false">ROUND(((N38-O38-P38-Q38)+2*O38+3*P38+4*Q38)/L38,3)</f>
        <v>0.496</v>
      </c>
      <c r="AD38" s="29" t="n">
        <f aca="false">ROUND(AB38+AC38,3)</f>
        <v>0.867</v>
      </c>
      <c r="AE38" s="30" t="n">
        <f aca="false">ROUND((('연도별 상수'!$N$46*(U38-W38))+('연도별 상수'!$O$46*V38)+('연도별 상수'!$P$46*(N38-O38-P38-Q38))+('연도별 상수'!$Q$46*O38)+('연도별 상수'!$R$46*P38)+('연도별 상수'!$S$46*Q38))/(L38+U38+V38-W38+Z38),3)</f>
        <v>0.381</v>
      </c>
      <c r="AF38" s="31" t="n">
        <f aca="false">'연도별 상수'!AG$9</f>
        <v>-4.77</v>
      </c>
      <c r="AG38" s="9" t="n">
        <f aca="false">'연도별 상수'!AH$9</f>
        <v>-5</v>
      </c>
      <c r="AH38" s="9" t="n">
        <f aca="false">'연도별 상수'!$J$46</f>
        <v>0.968492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9" t="n">
        <v>-2</v>
      </c>
      <c r="AP38" s="1" t="n">
        <f aca="false">K38</f>
        <v>318</v>
      </c>
      <c r="AQ38" s="7" t="n">
        <v>0</v>
      </c>
    </row>
    <row r="39" customFormat="false" ht="26.25" hidden="false" customHeight="true" outlineLevel="0" collapsed="false">
      <c r="A39" s="10" t="n">
        <v>38</v>
      </c>
      <c r="B39" s="23" t="s">
        <v>88</v>
      </c>
      <c r="C39" s="24" t="str">
        <f aca="false">'연도별 상수'!AE$2</f>
        <v>C</v>
      </c>
      <c r="D39" s="25" t="s">
        <v>89</v>
      </c>
      <c r="E39" s="24" t="n">
        <f aca="false">'연도별 상수'!$A$46</f>
        <v>2026</v>
      </c>
      <c r="F39" s="26" t="n">
        <f aca="false">ROUND(((H39)+(I39)+(AG39*K39/600)+(20*K39/600))/'연도별 상수'!$U$46,2)</f>
        <v>1.22</v>
      </c>
      <c r="G39" s="27" t="n">
        <f aca="false">ROUND(100*(((((AE39-'리그 타자'!$B$46)/'연도별 상수'!$T$46)+'연도별 상수'!$W$46))+('연도별 상수'!$W$46*(1-AH39)))/'연도별 상수'!$W$46,1)</f>
        <v>94.8</v>
      </c>
      <c r="H39" s="27" t="n">
        <f aca="false">ROUND((((AE39-'리그 타자'!$B$46)/'연도별 상수'!$T$46)*K39/AH39)+(S39*'연도별 상수'!$AB$46-T39*'연도별 상수'!$AC$46)-((S39+T39)*('연도별 상수'!$AD$46*0.2-(1-'연도별 상수'!$AD$46)*0.4))+0.05*(S39+O39+P39),1)</f>
        <v>-3.9</v>
      </c>
      <c r="I39" s="27" t="n">
        <f aca="false">ROUND((0.75*AO39)+(AF39*(J39/144)),1)</f>
        <v>3.7</v>
      </c>
      <c r="J39" s="28" t="n">
        <v>80</v>
      </c>
      <c r="K39" s="28" t="n">
        <v>267</v>
      </c>
      <c r="L39" s="28" t="n">
        <v>236</v>
      </c>
      <c r="M39" s="28" t="n">
        <v>18</v>
      </c>
      <c r="N39" s="28" t="n">
        <v>61</v>
      </c>
      <c r="O39" s="28" t="n">
        <v>12</v>
      </c>
      <c r="P39" s="28" t="n">
        <v>0</v>
      </c>
      <c r="Q39" s="28" t="n">
        <v>6</v>
      </c>
      <c r="R39" s="28" t="n">
        <v>34</v>
      </c>
      <c r="S39" s="7" t="n">
        <v>0</v>
      </c>
      <c r="T39" s="7" t="n">
        <v>0</v>
      </c>
      <c r="U39" s="28" t="n">
        <v>25</v>
      </c>
      <c r="V39" s="28" t="n">
        <v>1</v>
      </c>
      <c r="W39" s="28" t="n">
        <v>1</v>
      </c>
      <c r="X39" s="28" t="n">
        <v>74</v>
      </c>
      <c r="Y39" s="28" t="n">
        <v>3</v>
      </c>
      <c r="Z39" s="28" t="n">
        <v>3</v>
      </c>
      <c r="AA39" s="29" t="n">
        <f aca="false">ROUND(N39/L39,3)</f>
        <v>0.258</v>
      </c>
      <c r="AB39" s="29" t="n">
        <f aca="false">ROUND((N39+U39+V39)/(L39+U39+V39+Z39),3)</f>
        <v>0.328</v>
      </c>
      <c r="AC39" s="29" t="n">
        <f aca="false">ROUND(((N39-O39-P39-Q39)+2*O39+3*P39+4*Q39)/L39,3)</f>
        <v>0.386</v>
      </c>
      <c r="AD39" s="29" t="n">
        <f aca="false">ROUND(AB39+AC39,3)</f>
        <v>0.714</v>
      </c>
      <c r="AE39" s="30" t="n">
        <f aca="false">ROUND((('연도별 상수'!$N$46*(U39-W39))+('연도별 상수'!$O$46*V39)+('연도별 상수'!$P$46*(N39-O39-P39-Q39))+('연도별 상수'!$Q$46*O39)+('연도별 상수'!$R$46*P39)+('연도별 상수'!$S$46*Q39))/(L39+U39+V39-W39+Z39),3)</f>
        <v>0.327</v>
      </c>
      <c r="AF39" s="31" t="n">
        <f aca="false">'연도별 상수'!AG$2</f>
        <v>5.22</v>
      </c>
      <c r="AG39" s="9" t="n">
        <f aca="false">'연도별 상수'!AH$2</f>
        <v>10</v>
      </c>
      <c r="AH39" s="9" t="n">
        <f aca="false">'연도별 상수'!$C$46</f>
        <v>0.931727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9" t="n">
        <v>1</v>
      </c>
      <c r="AP39" s="1" t="n">
        <f aca="false">K39</f>
        <v>267</v>
      </c>
      <c r="AQ39" s="7" t="n">
        <v>0</v>
      </c>
    </row>
    <row r="40" customFormat="false" ht="26.25" hidden="false" customHeight="true" outlineLevel="0" collapsed="false">
      <c r="A40" s="10" t="n">
        <v>39</v>
      </c>
      <c r="B40" s="23" t="s">
        <v>90</v>
      </c>
      <c r="C40" s="24" t="str">
        <f aca="false">'연도별 상수'!AE$6</f>
        <v>SS</v>
      </c>
      <c r="D40" s="25" t="s">
        <v>43</v>
      </c>
      <c r="E40" s="24" t="n">
        <f aca="false">'연도별 상수'!$A$46</f>
        <v>2026</v>
      </c>
      <c r="F40" s="26" t="n">
        <f aca="false">ROUND(((H40)+(I40)+(AG40*K40/600)+(20*K40/600))/'연도별 상수'!$U$46,2)</f>
        <v>1.09</v>
      </c>
      <c r="G40" s="27" t="n">
        <f aca="false">ROUND(100*(((((AE40-'리그 타자'!$B$46)/'연도별 상수'!$T$46)+'연도별 상수'!$W$46))+('연도별 상수'!$W$46*(1-AH40)))/'연도별 상수'!$W$46,1)</f>
        <v>100.1</v>
      </c>
      <c r="H40" s="27" t="n">
        <f aca="false">ROUND((((AE40-'리그 타자'!$B$46)/'연도별 상수'!$T$46)*K40/AH40)+(S40*'연도별 상수'!$AB$46-T40*'연도별 상수'!$AC$46)-((S40+T40)*('연도별 상수'!$AD$46*0.2-(1-'연도별 상수'!$AD$46)*0.4))+0.05*(S40+O40+P40),1)</f>
        <v>-5</v>
      </c>
      <c r="I40" s="27" t="n">
        <f aca="false">ROUND((0.75*AO40)+(AF40*(J40/144)),1)</f>
        <v>4.5</v>
      </c>
      <c r="J40" s="28" t="n">
        <v>78</v>
      </c>
      <c r="K40" s="28" t="n">
        <v>273</v>
      </c>
      <c r="L40" s="28" t="n">
        <v>234</v>
      </c>
      <c r="M40" s="28" t="n">
        <v>31</v>
      </c>
      <c r="N40" s="28" t="n">
        <v>59</v>
      </c>
      <c r="O40" s="28" t="n">
        <v>9</v>
      </c>
      <c r="P40" s="28" t="n">
        <v>0</v>
      </c>
      <c r="Q40" s="28" t="n">
        <v>6</v>
      </c>
      <c r="R40" s="28" t="n">
        <v>40</v>
      </c>
      <c r="S40" s="7" t="n">
        <v>3</v>
      </c>
      <c r="T40" s="7" t="n">
        <v>2</v>
      </c>
      <c r="U40" s="28" t="n">
        <v>27</v>
      </c>
      <c r="V40" s="28" t="n">
        <v>3</v>
      </c>
      <c r="W40" s="28" t="n">
        <v>0</v>
      </c>
      <c r="X40" s="28" t="n">
        <v>54</v>
      </c>
      <c r="Y40" s="28" t="n">
        <v>4</v>
      </c>
      <c r="Z40" s="28" t="n">
        <v>3</v>
      </c>
      <c r="AA40" s="29" t="n">
        <f aca="false">ROUND(N40/L40,3)</f>
        <v>0.252</v>
      </c>
      <c r="AB40" s="29" t="n">
        <f aca="false">ROUND((N40+U40+V40)/(L40+U40+V40+Z40),3)</f>
        <v>0.333</v>
      </c>
      <c r="AC40" s="29" t="n">
        <f aca="false">ROUND(((N40-O40-P40-Q40)+2*O40+3*P40+4*Q40)/L40,3)</f>
        <v>0.368</v>
      </c>
      <c r="AD40" s="29" t="n">
        <f aca="false">ROUND(AB40+AC40,3)</f>
        <v>0.701</v>
      </c>
      <c r="AE40" s="30" t="n">
        <f aca="false">ROUND((('연도별 상수'!$N$46*(U40-W40))+('연도별 상수'!$O$46*V40)+('연도별 상수'!$P$46*(N40-O40-P40-Q40))+('연도별 상수'!$Q$46*O40)+('연도별 상수'!$R$46*P40)+('연도별 상수'!$S$46*Q40))/(L40+U40+V40-W40+Z40),3)</f>
        <v>0.326</v>
      </c>
      <c r="AF40" s="31" t="n">
        <f aca="false">'연도별 상수'!AG$6</f>
        <v>2.77</v>
      </c>
      <c r="AG40" s="9" t="n">
        <f aca="false">'연도별 상수'!AH$6</f>
        <v>7</v>
      </c>
      <c r="AH40" s="9" t="n">
        <f aca="false">'연도별 상수'!$B$46</f>
        <v>0.871842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9" t="n">
        <v>4</v>
      </c>
      <c r="AP40" s="1" t="n">
        <f aca="false">K40</f>
        <v>273</v>
      </c>
      <c r="AQ40" s="7" t="n">
        <v>0</v>
      </c>
    </row>
    <row r="41" customFormat="false" ht="26.25" hidden="false" customHeight="true" outlineLevel="0" collapsed="false">
      <c r="A41" s="10" t="n">
        <v>40</v>
      </c>
      <c r="B41" s="23" t="s">
        <v>91</v>
      </c>
      <c r="C41" s="24" t="str">
        <f aca="false">'연도별 상수'!AE$5</f>
        <v>3B</v>
      </c>
      <c r="D41" s="25" t="s">
        <v>56</v>
      </c>
      <c r="E41" s="24" t="n">
        <f aca="false">'연도별 상수'!$A$46</f>
        <v>2026</v>
      </c>
      <c r="F41" s="26" t="n">
        <f aca="false">ROUND(((H41)+(I41)+(AG41*K41/600)+(20*K41/600))/'연도별 상수'!$U$46,2)</f>
        <v>1.13</v>
      </c>
      <c r="G41" s="27" t="n">
        <f aca="false">ROUND(100*(((((AE41-'리그 타자'!$B$46)/'연도별 상수'!$T$46)+'연도별 상수'!$W$46))+('연도별 상수'!$W$46*(1-AH41)))/'연도별 상수'!$W$46,1)</f>
        <v>112.1</v>
      </c>
      <c r="H41" s="27" t="n">
        <f aca="false">ROUND((((AE41-'리그 타자'!$B$46)/'연도별 상수'!$T$46)*K41/AH41)+(S41*'연도별 상수'!$AB$46-T41*'연도별 상수'!$AC$46)-((S41+T41)*('연도별 상수'!$AD$46*0.2-(1-'연도별 상수'!$AD$46)*0.4))+0.05*(S41+O41+P41),1)</f>
        <v>4</v>
      </c>
      <c r="I41" s="27" t="n">
        <f aca="false">ROUND((0.75*AO41)+(AF41*(J41/144)),1)</f>
        <v>2.3</v>
      </c>
      <c r="J41" s="28" t="n">
        <v>51</v>
      </c>
      <c r="K41" s="28" t="n">
        <v>187</v>
      </c>
      <c r="L41" s="28" t="n">
        <v>163</v>
      </c>
      <c r="M41" s="28" t="n">
        <v>33</v>
      </c>
      <c r="N41" s="28" t="n">
        <v>51</v>
      </c>
      <c r="O41" s="28" t="n">
        <v>8</v>
      </c>
      <c r="P41" s="28" t="n">
        <v>0</v>
      </c>
      <c r="Q41" s="28" t="n">
        <v>3</v>
      </c>
      <c r="R41" s="28" t="n">
        <v>26</v>
      </c>
      <c r="S41" s="7" t="n">
        <v>1</v>
      </c>
      <c r="T41" s="7" t="n">
        <v>2</v>
      </c>
      <c r="U41" s="28" t="n">
        <v>15</v>
      </c>
      <c r="V41" s="28" t="n">
        <v>7</v>
      </c>
      <c r="W41" s="28" t="n">
        <v>0</v>
      </c>
      <c r="X41" s="28" t="n">
        <v>17</v>
      </c>
      <c r="Y41" s="28" t="n">
        <v>7</v>
      </c>
      <c r="Z41" s="28" t="n">
        <v>1</v>
      </c>
      <c r="AA41" s="29" t="n">
        <f aca="false">ROUND(N41/L41,3)</f>
        <v>0.313</v>
      </c>
      <c r="AB41" s="29" t="n">
        <f aca="false">ROUND((N41+U41+V41)/(L41+U41+V41+Z41),3)</f>
        <v>0.392</v>
      </c>
      <c r="AC41" s="29" t="n">
        <f aca="false">ROUND(((N41-O41-P41-Q41)+2*O41+3*P41+4*Q41)/L41,3)</f>
        <v>0.417</v>
      </c>
      <c r="AD41" s="29" t="n">
        <f aca="false">ROUND(AB41+AC41,3)</f>
        <v>0.809</v>
      </c>
      <c r="AE41" s="30" t="n">
        <f aca="false">ROUND((('연도별 상수'!$N$46*(U41-W41))+('연도별 상수'!$O$46*V41)+('연도별 상수'!$P$46*(N41-O41-P41-Q41))+('연도별 상수'!$Q$46*O41)+('연도별 상수'!$R$46*P41)+('연도별 상수'!$S$46*Q41))/(L41+U41+V41-W41+Z41),3)</f>
        <v>0.377</v>
      </c>
      <c r="AF41" s="31" t="n">
        <f aca="false">'연도별 상수'!AG$5</f>
        <v>0.22</v>
      </c>
      <c r="AG41" s="9" t="n">
        <f aca="false">'연도별 상수'!AH$5</f>
        <v>-1</v>
      </c>
      <c r="AH41" s="9" t="n">
        <f aca="false">'연도별 상수'!$E$46</f>
        <v>1.069855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9" t="n">
        <v>3</v>
      </c>
      <c r="AP41" s="1" t="n">
        <f aca="false">K41</f>
        <v>187</v>
      </c>
      <c r="AQ41" s="7" t="n">
        <v>0</v>
      </c>
    </row>
    <row r="42" customFormat="false" ht="26.25" hidden="false" customHeight="true" outlineLevel="0" collapsed="false">
      <c r="A42" s="10" t="n">
        <v>41</v>
      </c>
      <c r="B42" s="23" t="s">
        <v>92</v>
      </c>
      <c r="C42" s="24" t="str">
        <f aca="false">'연도별 상수'!AE$2</f>
        <v>C</v>
      </c>
      <c r="D42" s="25" t="s">
        <v>45</v>
      </c>
      <c r="E42" s="24" t="n">
        <f aca="false">'연도별 상수'!$A$46</f>
        <v>2026</v>
      </c>
      <c r="F42" s="26" t="n">
        <f aca="false">ROUND(((H42)+(I42)+(AG42*K42/600)+(20*K42/600))/'연도별 상수'!$U$46,2)</f>
        <v>1.07</v>
      </c>
      <c r="G42" s="27" t="n">
        <f aca="false">ROUND(100*(((((AE42-'리그 타자'!$B$46)/'연도별 상수'!$T$46)+'연도별 상수'!$W$46))+('연도별 상수'!$W$46*(1-AH42)))/'연도별 상수'!$W$46,1)</f>
        <v>99.2</v>
      </c>
      <c r="H42" s="27" t="n">
        <f aca="false">ROUND((((AE42-'리그 타자'!$B$46)/'연도별 상수'!$T$46)*K42/AH42)+(S42*'연도별 상수'!$AB$46-T42*'연도별 상수'!$AC$46)-((S42+T42)*('연도별 상수'!$AD$46*0.2-(1-'연도별 상수'!$AD$46)*0.4))+0.05*(S42+O42+P42),1)</f>
        <v>-1</v>
      </c>
      <c r="I42" s="27" t="n">
        <f aca="false">ROUND((0.75*AO42)+(AF42*(J42/144)),1)</f>
        <v>1.1</v>
      </c>
      <c r="J42" s="28" t="n">
        <v>73</v>
      </c>
      <c r="K42" s="28" t="n">
        <v>229</v>
      </c>
      <c r="L42" s="28" t="n">
        <v>199</v>
      </c>
      <c r="M42" s="28" t="n">
        <v>26</v>
      </c>
      <c r="N42" s="28" t="n">
        <v>49</v>
      </c>
      <c r="O42" s="28" t="n">
        <v>4</v>
      </c>
      <c r="P42" s="28" t="n">
        <v>1</v>
      </c>
      <c r="Q42" s="28" t="n">
        <v>10</v>
      </c>
      <c r="R42" s="28" t="n">
        <v>41</v>
      </c>
      <c r="S42" s="7" t="n">
        <v>0</v>
      </c>
      <c r="T42" s="7" t="n">
        <v>0</v>
      </c>
      <c r="U42" s="28" t="n">
        <v>20</v>
      </c>
      <c r="V42" s="28" t="n">
        <v>4</v>
      </c>
      <c r="W42" s="28" t="n">
        <v>0</v>
      </c>
      <c r="X42" s="28" t="n">
        <v>72</v>
      </c>
      <c r="Y42" s="28" t="n">
        <v>9</v>
      </c>
      <c r="Z42" s="28" t="n">
        <v>3</v>
      </c>
      <c r="AA42" s="29" t="n">
        <f aca="false">ROUND(N42/L42,3)</f>
        <v>0.246</v>
      </c>
      <c r="AB42" s="29" t="n">
        <f aca="false">ROUND((N42+U42+V42)/(L42+U42+V42+Z42),3)</f>
        <v>0.323</v>
      </c>
      <c r="AC42" s="29" t="n">
        <f aca="false">ROUND(((N42-O42-P42-Q42)+2*O42+3*P42+4*Q42)/L42,3)</f>
        <v>0.427</v>
      </c>
      <c r="AD42" s="29" t="n">
        <f aca="false">ROUND(AB42+AC42,3)</f>
        <v>0.75</v>
      </c>
      <c r="AE42" s="30" t="n">
        <f aca="false">ROUND((('연도별 상수'!$N$46*(U42-W42))+('연도별 상수'!$O$46*V42)+('연도별 상수'!$P$46*(N42-O42-P42-Q42))+('연도별 상수'!$Q$46*O42)+('연도별 상수'!$R$46*P42)+('연도별 상수'!$S$46*Q42))/(L42+U42+V42-W42+Z42),3)</f>
        <v>0.34</v>
      </c>
      <c r="AF42" s="31" t="n">
        <f aca="false">'연도별 상수'!AG$2</f>
        <v>5.22</v>
      </c>
      <c r="AG42" s="9" t="n">
        <f aca="false">'연도별 상수'!AH$2</f>
        <v>10</v>
      </c>
      <c r="AH42" s="9" t="n">
        <f aca="false">'연도별 상수'!$J$46</f>
        <v>0.968492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9" t="n">
        <v>-2</v>
      </c>
      <c r="AP42" s="1" t="n">
        <f aca="false">K42</f>
        <v>229</v>
      </c>
      <c r="AQ42" s="7" t="n">
        <v>0</v>
      </c>
    </row>
    <row r="43" customFormat="false" ht="26.25" hidden="false" customHeight="true" outlineLevel="0" collapsed="false">
      <c r="A43" s="10" t="n">
        <v>42</v>
      </c>
      <c r="B43" s="23" t="s">
        <v>93</v>
      </c>
      <c r="C43" s="24" t="str">
        <f aca="false">'연도별 상수'!AE$7</f>
        <v>LF</v>
      </c>
      <c r="D43" s="25" t="s">
        <v>50</v>
      </c>
      <c r="E43" s="24" t="n">
        <f aca="false">'연도별 상수'!$A$46</f>
        <v>2026</v>
      </c>
      <c r="F43" s="26" t="n">
        <f aca="false">ROUND(((H43)+(I43)+(AG43*K43/600)+(20*K43/600))/'연도별 상수'!$U$46,2)</f>
        <v>1.06</v>
      </c>
      <c r="G43" s="27" t="n">
        <f aca="false">ROUND(100*(((((AE43-'리그 타자'!$B$46)/'연도별 상수'!$T$46)+'연도별 상수'!$W$46))+('연도별 상수'!$W$46*(1-AH43)))/'연도별 상수'!$W$46,1)</f>
        <v>112.9</v>
      </c>
      <c r="H43" s="27" t="n">
        <f aca="false">ROUND((((AE43-'리그 타자'!$B$46)/'연도별 상수'!$T$46)*K43/AH43)+(S43*'연도별 상수'!$AB$46-T43*'연도별 상수'!$AC$46)-((S43+T43)*('연도별 상수'!$AD$46*0.2-(1-'연도별 상수'!$AD$46)*0.4))+0.05*(S43+O43+P43),1)</f>
        <v>3.3</v>
      </c>
      <c r="I43" s="27" t="n">
        <f aca="false">ROUND((0.75*AO43)+(AF43*(J43/144)),1)</f>
        <v>-1</v>
      </c>
      <c r="J43" s="28" t="n">
        <v>84</v>
      </c>
      <c r="K43" s="28" t="n">
        <v>366</v>
      </c>
      <c r="L43" s="28" t="n">
        <v>333</v>
      </c>
      <c r="M43" s="28" t="n">
        <v>42</v>
      </c>
      <c r="N43" s="28" t="n">
        <v>94</v>
      </c>
      <c r="O43" s="28" t="n">
        <v>15</v>
      </c>
      <c r="P43" s="28" t="n">
        <v>0</v>
      </c>
      <c r="Q43" s="28" t="n">
        <v>15</v>
      </c>
      <c r="R43" s="28" t="n">
        <v>75</v>
      </c>
      <c r="S43" s="7" t="n">
        <v>1</v>
      </c>
      <c r="T43" s="7" t="n">
        <v>3</v>
      </c>
      <c r="U43" s="28" t="n">
        <v>22</v>
      </c>
      <c r="V43" s="28" t="n">
        <v>7</v>
      </c>
      <c r="W43" s="28" t="n">
        <v>1</v>
      </c>
      <c r="X43" s="28" t="n">
        <v>58</v>
      </c>
      <c r="Y43" s="28" t="n">
        <v>8</v>
      </c>
      <c r="Z43" s="28" t="n">
        <v>4</v>
      </c>
      <c r="AA43" s="29" t="n">
        <f aca="false">ROUND(N43/L43,3)</f>
        <v>0.282</v>
      </c>
      <c r="AB43" s="29" t="n">
        <f aca="false">ROUND((N43+U43+V43)/(L43+U43+V43+Z43),3)</f>
        <v>0.336</v>
      </c>
      <c r="AC43" s="29" t="n">
        <f aca="false">ROUND(((N43-O43-P43-Q43)+2*O43+3*P43+4*Q43)/L43,3)</f>
        <v>0.462</v>
      </c>
      <c r="AD43" s="29" t="n">
        <f aca="false">ROUND(AB43+AC43,3)</f>
        <v>0.798</v>
      </c>
      <c r="AE43" s="30" t="n">
        <f aca="false">ROUND((('연도별 상수'!$N$46*(U43-W43))+('연도별 상수'!$O$46*V43)+('연도별 상수'!$P$46*(N43-O43-P43-Q43))+('연도별 상수'!$Q$46*O43)+('연도별 상수'!$R$46*P43)+('연도별 상수'!$S$46*Q43))/(L43+U43+V43-W43+Z43),3)</f>
        <v>0.358</v>
      </c>
      <c r="AF43" s="31" t="n">
        <f aca="false">'연도별 상수'!AG$7</f>
        <v>-5.5</v>
      </c>
      <c r="AG43" s="9" t="n">
        <f aca="false">'연도별 상수'!AH$7</f>
        <v>-5</v>
      </c>
      <c r="AH43" s="9" t="n">
        <f aca="false">'연도별 상수'!$D$46</f>
        <v>0.943387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9" t="n">
        <v>3</v>
      </c>
      <c r="AP43" s="1" t="n">
        <f aca="false">K43</f>
        <v>366</v>
      </c>
      <c r="AQ43" s="7" t="n">
        <v>1</v>
      </c>
    </row>
    <row r="44" customFormat="false" ht="26.25" hidden="false" customHeight="true" outlineLevel="0" collapsed="false">
      <c r="A44" s="10" t="n">
        <v>43</v>
      </c>
      <c r="B44" s="23" t="s">
        <v>94</v>
      </c>
      <c r="C44" s="24" t="str">
        <f aca="false">'연도별 상수'!AE$4</f>
        <v>2B</v>
      </c>
      <c r="D44" s="25" t="s">
        <v>89</v>
      </c>
      <c r="E44" s="24" t="n">
        <f aca="false">'연도별 상수'!$A$46</f>
        <v>2026</v>
      </c>
      <c r="F44" s="26" t="n">
        <f aca="false">ROUND(((H44)+(I44)+(AG44*K44/600)+(20*K44/600))/'연도별 상수'!$U$46,2)</f>
        <v>1.07</v>
      </c>
      <c r="G44" s="27" t="n">
        <f aca="false">ROUND(100*(((((AE44-'리그 타자'!$B$46)/'연도별 상수'!$T$46)+'연도별 상수'!$W$46))+('연도별 상수'!$W$46*(1-AH44)))/'연도별 상수'!$W$46,1)</f>
        <v>115.3</v>
      </c>
      <c r="H44" s="27" t="n">
        <f aca="false">ROUND((((AE44-'리그 타자'!$B$46)/'연도별 상수'!$T$46)*K44/AH44)+(S44*'연도별 상수'!$AB$46-T44*'연도별 상수'!$AC$46)-((S44+T44)*('연도별 상수'!$AD$46*0.2-(1-'연도별 상수'!$AD$46)*0.4))+0.05*(S44+O44+P44),1)</f>
        <v>3.5</v>
      </c>
      <c r="I44" s="27" t="n">
        <f aca="false">ROUND((0.75*AO44)+(AF44*(J44/144)),1)</f>
        <v>-1.1</v>
      </c>
      <c r="J44" s="28" t="n">
        <v>52</v>
      </c>
      <c r="K44" s="28" t="n">
        <v>239</v>
      </c>
      <c r="L44" s="28" t="n">
        <v>201</v>
      </c>
      <c r="M44" s="28" t="n">
        <v>30</v>
      </c>
      <c r="N44" s="28" t="n">
        <v>59</v>
      </c>
      <c r="O44" s="28" t="n">
        <v>7</v>
      </c>
      <c r="P44" s="28" t="n">
        <v>3</v>
      </c>
      <c r="Q44" s="28" t="n">
        <v>1</v>
      </c>
      <c r="R44" s="28" t="n">
        <v>14</v>
      </c>
      <c r="S44" s="7" t="n">
        <v>1</v>
      </c>
      <c r="T44" s="7" t="n">
        <v>0</v>
      </c>
      <c r="U44" s="28" t="n">
        <v>26</v>
      </c>
      <c r="V44" s="28" t="n">
        <v>7</v>
      </c>
      <c r="W44" s="28" t="n">
        <v>1</v>
      </c>
      <c r="X44" s="28" t="n">
        <v>23</v>
      </c>
      <c r="Y44" s="28" t="n">
        <v>5</v>
      </c>
      <c r="Z44" s="28" t="n">
        <v>1</v>
      </c>
      <c r="AA44" s="29" t="n">
        <f aca="false">ROUND(N44/L44,3)</f>
        <v>0.294</v>
      </c>
      <c r="AB44" s="29" t="n">
        <f aca="false">ROUND((N44+U44+V44)/(L44+U44+V44+Z44),3)</f>
        <v>0.391</v>
      </c>
      <c r="AC44" s="29" t="n">
        <f aca="false">ROUND(((N44-O44-P44-Q44)+2*O44+3*P44+4*Q44)/L44,3)</f>
        <v>0.373</v>
      </c>
      <c r="AD44" s="29" t="n">
        <f aca="false">ROUND(AB44+AC44,3)</f>
        <v>0.764</v>
      </c>
      <c r="AE44" s="30" t="n">
        <f aca="false">ROUND((('연도별 상수'!$N$46*(U44-W44))+('연도별 상수'!$O$46*V44)+('연도별 상수'!$P$46*(N44-O44-P44-Q44))+('연도별 상수'!$Q$46*O44)+('연도별 상수'!$R$46*P44)+('연도별 상수'!$S$46*Q44))/(L44+U44+V44-W44+Z44),3)</f>
        <v>0.36</v>
      </c>
      <c r="AF44" s="31" t="n">
        <f aca="false">'연도별 상수'!AG$4</f>
        <v>1.22</v>
      </c>
      <c r="AG44" s="9" t="n">
        <f aca="false">'연도별 상수'!AH$4</f>
        <v>3</v>
      </c>
      <c r="AH44" s="9" t="n">
        <f aca="false">'연도별 상수'!$C$46</f>
        <v>0.931727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9" t="n">
        <v>-2</v>
      </c>
      <c r="AP44" s="1" t="n">
        <f aca="false">K44</f>
        <v>239</v>
      </c>
      <c r="AQ44" s="7" t="n">
        <v>0</v>
      </c>
    </row>
    <row r="45" customFormat="false" ht="26.25" hidden="false" customHeight="true" outlineLevel="0" collapsed="false">
      <c r="A45" s="10" t="n">
        <v>44</v>
      </c>
      <c r="B45" s="23" t="s">
        <v>95</v>
      </c>
      <c r="C45" s="24" t="str">
        <f aca="false">'연도별 상수'!AE$9</f>
        <v>RF</v>
      </c>
      <c r="D45" s="25" t="s">
        <v>59</v>
      </c>
      <c r="E45" s="24" t="n">
        <f aca="false">'연도별 상수'!$A$46</f>
        <v>2026</v>
      </c>
      <c r="F45" s="26" t="n">
        <f aca="false">ROUND(((H45)+(I45)+(AG45*K45/600)+(20*K45/600))/'연도별 상수'!$U$46,2)</f>
        <v>1.08</v>
      </c>
      <c r="G45" s="27" t="n">
        <f aca="false">ROUND(100*(((((AE45-'리그 타자'!$B$46)/'연도별 상수'!$T$46)+'연도별 상수'!$W$46))+('연도별 상수'!$W$46*(1-AH45)))/'연도별 상수'!$W$46,1)</f>
        <v>99.2</v>
      </c>
      <c r="H45" s="27" t="n">
        <f aca="false">ROUND((((AE45-'리그 타자'!$B$46)/'연도별 상수'!$T$46)*K45/AH45)+(S45*'연도별 상수'!$AB$46-T45*'연도별 상수'!$AC$46)-((S45+T45)*('연도별 상수'!$AD$46*0.2-(1-'연도별 상수'!$AD$46)*0.4))+0.05*(S45+O45+P45),1)</f>
        <v>3.6</v>
      </c>
      <c r="I45" s="27" t="n">
        <f aca="false">ROUND((0.75*AO45)+(AF45*(J45/144)),1)</f>
        <v>1.5</v>
      </c>
      <c r="J45" s="28" t="n">
        <v>68</v>
      </c>
      <c r="K45" s="28" t="n">
        <v>261</v>
      </c>
      <c r="L45" s="28" t="n">
        <v>226</v>
      </c>
      <c r="M45" s="28" t="n">
        <v>43</v>
      </c>
      <c r="N45" s="28" t="n">
        <v>68</v>
      </c>
      <c r="O45" s="28" t="n">
        <v>11</v>
      </c>
      <c r="P45" s="28" t="n">
        <v>2</v>
      </c>
      <c r="Q45" s="28" t="n">
        <v>2</v>
      </c>
      <c r="R45" s="28" t="n">
        <v>31</v>
      </c>
      <c r="S45" s="7" t="n">
        <v>14</v>
      </c>
      <c r="T45" s="7" t="n">
        <v>3</v>
      </c>
      <c r="U45" s="28" t="n">
        <v>24</v>
      </c>
      <c r="V45" s="28" t="n">
        <v>2</v>
      </c>
      <c r="W45" s="28" t="n">
        <v>0</v>
      </c>
      <c r="X45" s="28" t="n">
        <v>28</v>
      </c>
      <c r="Y45" s="28" t="n">
        <v>2</v>
      </c>
      <c r="Z45" s="28" t="n">
        <v>2</v>
      </c>
      <c r="AA45" s="29" t="n">
        <f aca="false">ROUND(N45/L45,3)</f>
        <v>0.301</v>
      </c>
      <c r="AB45" s="29" t="n">
        <f aca="false">ROUND((N45+U45+V45)/(L45+U45+V45+Z45),3)</f>
        <v>0.37</v>
      </c>
      <c r="AC45" s="29" t="n">
        <f aca="false">ROUND(((N45-O45-P45-Q45)+2*O45+3*P45+4*Q45)/L45,3)</f>
        <v>0.394</v>
      </c>
      <c r="AD45" s="29" t="n">
        <f aca="false">ROUND(AB45+AC45,3)</f>
        <v>0.764</v>
      </c>
      <c r="AE45" s="30" t="n">
        <f aca="false">ROUND((('연도별 상수'!$N$46*(U45-W45))+('연도별 상수'!$O$46*V45)+('연도별 상수'!$P$46*(N45-O45-P45-Q45))+('연도별 상수'!$Q$46*O45)+('연도별 상수'!$R$46*P45)+('연도별 상수'!$S$46*Q45))/(L45+U45+V45-W45+Z45),3)</f>
        <v>0.354</v>
      </c>
      <c r="AF45" s="31" t="n">
        <f aca="false">'연도별 상수'!AG$9</f>
        <v>-4.77</v>
      </c>
      <c r="AG45" s="9" t="n">
        <f aca="false">'연도별 상수'!AH$9</f>
        <v>-5</v>
      </c>
      <c r="AH45" s="9" t="n">
        <f aca="false">'연도별 상수'!$H$46</f>
        <v>1.055356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9" t="n">
        <v>5</v>
      </c>
      <c r="AP45" s="1" t="n">
        <f aca="false">K45</f>
        <v>261</v>
      </c>
      <c r="AQ45" s="7" t="n">
        <v>0</v>
      </c>
    </row>
    <row r="46" customFormat="false" ht="26.25" hidden="false" customHeight="true" outlineLevel="0" collapsed="false">
      <c r="A46" s="10" t="n">
        <v>45</v>
      </c>
      <c r="B46" s="23" t="s">
        <v>96</v>
      </c>
      <c r="C46" s="24" t="str">
        <f aca="false">'연도별 상수'!AE$7</f>
        <v>LF</v>
      </c>
      <c r="D46" s="25" t="s">
        <v>62</v>
      </c>
      <c r="E46" s="24" t="n">
        <f aca="false">'연도별 상수'!$A$46</f>
        <v>2026</v>
      </c>
      <c r="F46" s="26" t="n">
        <f aca="false">ROUND(((H46)+(I46)+(AG46*K46/600)+(20*K46/600))/'연도별 상수'!$U$46,2)</f>
        <v>0.85</v>
      </c>
      <c r="G46" s="27" t="n">
        <f aca="false">ROUND(100*(((((AE46-'리그 타자'!$B$46)/'연도별 상수'!$T$46)+'연도별 상수'!$W$46))+('연도별 상수'!$W$46*(1-AH46)))/'연도별 상수'!$W$46,1)</f>
        <v>103.9</v>
      </c>
      <c r="H46" s="27" t="n">
        <f aca="false">ROUND((((AE46-'리그 타자'!$B$46)/'연도별 상수'!$T$46)*K46/AH46)+(S46*'연도별 상수'!$AB$46-T46*'연도별 상수'!$AC$46)-((S46+T46)*('연도별 상수'!$AD$46*0.2-(1-'연도별 상수'!$AD$46)*0.4))+0.05*(S46+O46+P46),1)</f>
        <v>10.6</v>
      </c>
      <c r="I46" s="27" t="n">
        <f aca="false">ROUND((0.75*AO46)+(AF46*(J46/144)),1)</f>
        <v>-10.6</v>
      </c>
      <c r="J46" s="28" t="n">
        <v>80</v>
      </c>
      <c r="K46" s="28" t="n">
        <v>367</v>
      </c>
      <c r="L46" s="28" t="n">
        <v>319</v>
      </c>
      <c r="M46" s="28" t="n">
        <v>52</v>
      </c>
      <c r="N46" s="28" t="n">
        <v>92</v>
      </c>
      <c r="O46" s="28" t="n">
        <v>22</v>
      </c>
      <c r="P46" s="28" t="n">
        <v>4</v>
      </c>
      <c r="Q46" s="28" t="n">
        <v>9</v>
      </c>
      <c r="R46" s="28" t="n">
        <v>50</v>
      </c>
      <c r="S46" s="7" t="n">
        <v>6</v>
      </c>
      <c r="T46" s="7" t="n">
        <v>1</v>
      </c>
      <c r="U46" s="28" t="n">
        <v>40</v>
      </c>
      <c r="V46" s="28" t="n">
        <v>4</v>
      </c>
      <c r="W46" s="28" t="n">
        <v>0</v>
      </c>
      <c r="X46" s="28" t="n">
        <v>45</v>
      </c>
      <c r="Y46" s="28" t="n">
        <v>13</v>
      </c>
      <c r="Z46" s="28" t="n">
        <v>3</v>
      </c>
      <c r="AA46" s="29" t="n">
        <f aca="false">ROUND(N46/L46,3)</f>
        <v>0.288</v>
      </c>
      <c r="AB46" s="29" t="n">
        <f aca="false">ROUND((N46+U46+V46)/(L46+U46+V46+Z46),3)</f>
        <v>0.372</v>
      </c>
      <c r="AC46" s="29" t="n">
        <f aca="false">ROUND(((N46-O46-P46-Q46)+2*O46+3*P46+4*Q46)/L46,3)</f>
        <v>0.467</v>
      </c>
      <c r="AD46" s="29" t="n">
        <f aca="false">ROUND(AB46+AC46,3)</f>
        <v>0.839</v>
      </c>
      <c r="AE46" s="30" t="n">
        <f aca="false">ROUND((('연도별 상수'!$N$46*(U46-W46))+('연도별 상수'!$O$46*V46)+('연도별 상수'!$P$46*(N46-O46-P46-Q46))+('연도별 상수'!$Q$46*O46)+('연도별 상수'!$R$46*P46)+('연도별 상수'!$S$46*Q46))/(L46+U46+V46-W46+Z46),3)</f>
        <v>0.38</v>
      </c>
      <c r="AF46" s="31" t="n">
        <f aca="false">'연도별 상수'!AG$7</f>
        <v>-5.5</v>
      </c>
      <c r="AG46" s="9" t="n">
        <f aca="false">'연도별 상수'!AH$7</f>
        <v>-5</v>
      </c>
      <c r="AH46" s="9" t="n">
        <f aca="false">'연도별 상수'!$F$46</f>
        <v>1.170772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9" t="n">
        <v>-10</v>
      </c>
      <c r="AP46" s="1" t="n">
        <f aca="false">K46</f>
        <v>367</v>
      </c>
      <c r="AQ46" s="7" t="n">
        <v>0</v>
      </c>
    </row>
    <row r="47" customFormat="false" ht="26.25" hidden="false" customHeight="true" outlineLevel="0" collapsed="false">
      <c r="A47" s="10" t="n">
        <v>46</v>
      </c>
      <c r="B47" s="23" t="s">
        <v>97</v>
      </c>
      <c r="C47" s="24" t="str">
        <f aca="false">'연도별 상수'!AE$9</f>
        <v>RF</v>
      </c>
      <c r="D47" s="25" t="s">
        <v>43</v>
      </c>
      <c r="E47" s="24" t="n">
        <f aca="false">'연도별 상수'!$A$46</f>
        <v>2026</v>
      </c>
      <c r="F47" s="26" t="n">
        <f aca="false">ROUND(((H47)+(I47)+(AG47*K47/600)+(20*K47/600))/'연도별 상수'!$U$46,2)</f>
        <v>0.94</v>
      </c>
      <c r="G47" s="27" t="n">
        <f aca="false">ROUND(100*(((((AE47-'리그 타자'!$B$46)/'연도별 상수'!$T$46)+'연도별 상수'!$W$46))+('연도별 상수'!$W$46*(1-AH47)))/'연도별 상수'!$W$46,1)</f>
        <v>115.1</v>
      </c>
      <c r="H47" s="27" t="n">
        <f aca="false">ROUND((((AE47-'리그 타자'!$B$46)/'연도별 상수'!$T$46)*K47/AH47)+(S47*'연도별 상수'!$AB$46-T47*'연도별 상수'!$AC$46)-((S47+T47)*('연도별 상수'!$AD$46*0.2-(1-'연도별 상수'!$AD$46)*0.4))+0.05*(S47+O47+P47),1)</f>
        <v>1.5</v>
      </c>
      <c r="I47" s="27" t="n">
        <f aca="false">ROUND((0.75*AO47)+(AF47*(J47/144)),1)</f>
        <v>0.4</v>
      </c>
      <c r="J47" s="28" t="n">
        <v>78</v>
      </c>
      <c r="K47" s="28" t="n">
        <v>329</v>
      </c>
      <c r="L47" s="28" t="n">
        <v>263</v>
      </c>
      <c r="M47" s="28" t="n">
        <v>48</v>
      </c>
      <c r="N47" s="28" t="n">
        <v>68</v>
      </c>
      <c r="O47" s="28" t="n">
        <v>11</v>
      </c>
      <c r="P47" s="28" t="n">
        <v>2</v>
      </c>
      <c r="Q47" s="28" t="n">
        <v>0</v>
      </c>
      <c r="R47" s="28" t="n">
        <v>24</v>
      </c>
      <c r="S47" s="7" t="n">
        <v>3</v>
      </c>
      <c r="T47" s="7" t="n">
        <v>2</v>
      </c>
      <c r="U47" s="28" t="n">
        <v>52</v>
      </c>
      <c r="V47" s="28" t="n">
        <v>10</v>
      </c>
      <c r="W47" s="28" t="n">
        <v>0</v>
      </c>
      <c r="X47" s="28" t="n">
        <v>74</v>
      </c>
      <c r="Y47" s="28" t="n">
        <v>9</v>
      </c>
      <c r="Z47" s="28" t="n">
        <v>2</v>
      </c>
      <c r="AA47" s="29" t="n">
        <f aca="false">ROUND(N47/L47,3)</f>
        <v>0.259</v>
      </c>
      <c r="AB47" s="29" t="n">
        <f aca="false">ROUND((N47+U47+V47)/(L47+U47+V47+Z47),3)</f>
        <v>0.398</v>
      </c>
      <c r="AC47" s="29" t="n">
        <f aca="false">ROUND(((N47-O47-P47-Q47)+2*O47+3*P47+4*Q47)/L47,3)</f>
        <v>0.316</v>
      </c>
      <c r="AD47" s="29" t="n">
        <f aca="false">ROUND(AB47+AC47,3)</f>
        <v>0.714</v>
      </c>
      <c r="AE47" s="30" t="n">
        <f aca="false">ROUND((('연도별 상수'!$N$46*(U47-W47))+('연도별 상수'!$O$46*V47)+('연도별 상수'!$P$46*(N47-O47-P47-Q47))+('연도별 상수'!$Q$46*O47)+('연도별 상수'!$R$46*P47)+('연도별 상수'!$S$46*Q47))/(L47+U47+V47-W47+Z47),3)</f>
        <v>0.35</v>
      </c>
      <c r="AF47" s="31" t="n">
        <f aca="false">'연도별 상수'!AG$9</f>
        <v>-4.77</v>
      </c>
      <c r="AG47" s="9" t="n">
        <f aca="false">'연도별 상수'!AH$9</f>
        <v>-5</v>
      </c>
      <c r="AH47" s="9" t="n">
        <f aca="false">'연도별 상수'!$B$46</f>
        <v>0.871842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9" t="n">
        <v>4</v>
      </c>
      <c r="AP47" s="1" t="n">
        <f aca="false">K47</f>
        <v>329</v>
      </c>
      <c r="AQ47" s="7" t="n">
        <v>0</v>
      </c>
    </row>
    <row r="48" customFormat="false" ht="26.25" hidden="false" customHeight="true" outlineLevel="0" collapsed="false">
      <c r="A48" s="10" t="n">
        <v>47</v>
      </c>
      <c r="B48" s="23" t="s">
        <v>98</v>
      </c>
      <c r="C48" s="24" t="str">
        <f aca="false">'연도별 상수'!AE$2</f>
        <v>C</v>
      </c>
      <c r="D48" s="25" t="s">
        <v>59</v>
      </c>
      <c r="E48" s="24" t="n">
        <f aca="false">'연도별 상수'!$A$46</f>
        <v>2026</v>
      </c>
      <c r="F48" s="26" t="n">
        <f aca="false">ROUND(((H48)+(I48)+(AG48*K48/600)+(20*K48/600))/'연도별 상수'!$U$46,2)</f>
        <v>0.93</v>
      </c>
      <c r="G48" s="27" t="n">
        <f aca="false">ROUND(100*(((((AE48-'리그 타자'!$B$46)/'연도별 상수'!$T$46)+'연도별 상수'!$W$46))+('연도별 상수'!$W$46*(1-AH48)))/'연도별 상수'!$W$46,1)</f>
        <v>99.9</v>
      </c>
      <c r="H48" s="27" t="n">
        <f aca="false">ROUND((((AE48-'리그 타자'!$B$46)/'연도별 상수'!$T$46)*K48/AH48)+(S48*'연도별 상수'!$AB$46-T48*'연도별 상수'!$AC$46)-((S48+T48)*('연도별 상수'!$AD$46*0.2-(1-'연도별 상수'!$AD$46)*0.4))+0.05*(S48+O48+P48),1)</f>
        <v>0.9</v>
      </c>
      <c r="I48" s="27" t="n">
        <f aca="false">ROUND((0.75*AO48)+(AF48*(J48/144)),1)</f>
        <v>-0.8</v>
      </c>
      <c r="J48" s="28" t="n">
        <v>60</v>
      </c>
      <c r="K48" s="28" t="n">
        <v>198</v>
      </c>
      <c r="L48" s="28" t="n">
        <v>172</v>
      </c>
      <c r="M48" s="28" t="n">
        <v>15</v>
      </c>
      <c r="N48" s="28" t="n">
        <v>44</v>
      </c>
      <c r="O48" s="28" t="n">
        <v>9</v>
      </c>
      <c r="P48" s="28" t="n">
        <v>0</v>
      </c>
      <c r="Q48" s="28" t="n">
        <v>6</v>
      </c>
      <c r="R48" s="28" t="n">
        <v>35</v>
      </c>
      <c r="S48" s="7" t="n">
        <v>0</v>
      </c>
      <c r="T48" s="7" t="n">
        <v>2</v>
      </c>
      <c r="U48" s="28" t="n">
        <v>23</v>
      </c>
      <c r="V48" s="28" t="n">
        <v>3</v>
      </c>
      <c r="W48" s="28" t="n">
        <v>0</v>
      </c>
      <c r="X48" s="28" t="n">
        <v>44</v>
      </c>
      <c r="Y48" s="28" t="n">
        <v>3</v>
      </c>
      <c r="Z48" s="28" t="n">
        <v>0</v>
      </c>
      <c r="AA48" s="29" t="n">
        <f aca="false">ROUND(N48/L48,3)</f>
        <v>0.256</v>
      </c>
      <c r="AB48" s="29" t="n">
        <f aca="false">ROUND((N48+U48+V48)/(L48+U48+V48+Z48),3)</f>
        <v>0.354</v>
      </c>
      <c r="AC48" s="29" t="n">
        <f aca="false">ROUND(((N48-O48-P48-Q48)+2*O48+3*P48+4*Q48)/L48,3)</f>
        <v>0.413</v>
      </c>
      <c r="AD48" s="29" t="n">
        <f aca="false">ROUND(AB48+AC48,3)</f>
        <v>0.767</v>
      </c>
      <c r="AE48" s="30" t="n">
        <f aca="false">ROUND((('연도별 상수'!$N$46*(U48-W48))+('연도별 상수'!$O$46*V48)+('연도별 상수'!$P$46*(N48-O48-P48-Q48))+('연도별 상수'!$Q$46*O48)+('연도별 상수'!$R$46*P48)+('연도별 상수'!$S$46*Q48))/(L48+U48+V48-W48+Z48),3)</f>
        <v>0.355</v>
      </c>
      <c r="AF48" s="31" t="n">
        <f aca="false">'연도별 상수'!AG$2</f>
        <v>5.22</v>
      </c>
      <c r="AG48" s="9" t="n">
        <f aca="false">'연도별 상수'!AH$2</f>
        <v>10</v>
      </c>
      <c r="AH48" s="9" t="n">
        <f aca="false">'연도별 상수'!$H$46</f>
        <v>1.055356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9" t="n">
        <v>-4</v>
      </c>
      <c r="AP48" s="1" t="n">
        <f aca="false">K48</f>
        <v>198</v>
      </c>
      <c r="AQ48" s="7" t="n">
        <v>0</v>
      </c>
    </row>
    <row r="49" customFormat="false" ht="26.25" hidden="false" customHeight="true" outlineLevel="0" collapsed="false">
      <c r="A49" s="10" t="n">
        <v>48</v>
      </c>
      <c r="B49" s="23" t="s">
        <v>99</v>
      </c>
      <c r="C49" s="24" t="str">
        <f aca="false">'연도별 상수'!AE$4</f>
        <v>2B</v>
      </c>
      <c r="D49" s="25" t="s">
        <v>43</v>
      </c>
      <c r="E49" s="24" t="n">
        <f aca="false">'연도별 상수'!$A$46</f>
        <v>2026</v>
      </c>
      <c r="F49" s="26" t="n">
        <f aca="false">ROUND(((H49)+(I49)+(AG49*K49/600)+(20*K49/600))/'연도별 상수'!$U$46,2)</f>
        <v>0.72</v>
      </c>
      <c r="G49" s="27" t="n">
        <f aca="false">ROUND(100*(((((AE49-'리그 타자'!$B$46)/'연도별 상수'!$T$46)+'연도별 상수'!$W$46))+('연도별 상수'!$W$46*(1-AH49)))/'연도별 상수'!$W$46,1)</f>
        <v>79.6</v>
      </c>
      <c r="H49" s="27" t="n">
        <f aca="false">ROUND((((AE49-'리그 타자'!$B$46)/'연도별 상수'!$T$46)*K49/AH49)+(S49*'연도별 상수'!$AB$46-T49*'연도별 상수'!$AC$46)-((S49+T49)*('연도별 상수'!$AD$46*0.2-(1-'연도별 상수'!$AD$46)*0.4))+0.05*(S49+O49+P49),1)</f>
        <v>-12.7</v>
      </c>
      <c r="I49" s="27" t="n">
        <f aca="false">ROUND((0.75*AO49)+(AF49*(J49/144)),1)</f>
        <v>9.7</v>
      </c>
      <c r="J49" s="28" t="n">
        <v>84</v>
      </c>
      <c r="K49" s="28" t="n">
        <v>282</v>
      </c>
      <c r="L49" s="28" t="n">
        <v>242</v>
      </c>
      <c r="M49" s="28" t="n">
        <v>29</v>
      </c>
      <c r="N49" s="28" t="n">
        <v>60</v>
      </c>
      <c r="O49" s="28" t="n">
        <v>3</v>
      </c>
      <c r="P49" s="28" t="n">
        <v>0</v>
      </c>
      <c r="Q49" s="28" t="n">
        <v>0</v>
      </c>
      <c r="R49" s="28" t="n">
        <v>16</v>
      </c>
      <c r="S49" s="7" t="n">
        <v>10</v>
      </c>
      <c r="T49" s="7" t="n">
        <v>2</v>
      </c>
      <c r="U49" s="28" t="n">
        <v>31</v>
      </c>
      <c r="V49" s="28" t="n">
        <v>2</v>
      </c>
      <c r="W49" s="28" t="n">
        <v>0</v>
      </c>
      <c r="X49" s="28" t="n">
        <v>37</v>
      </c>
      <c r="Y49" s="28" t="n">
        <v>5</v>
      </c>
      <c r="Z49" s="28" t="n">
        <v>2</v>
      </c>
      <c r="AA49" s="29" t="n">
        <f aca="false">ROUND(N49/L49,3)</f>
        <v>0.248</v>
      </c>
      <c r="AB49" s="29" t="n">
        <f aca="false">ROUND((N49+U49+V49)/(L49+U49+V49+Z49),3)</f>
        <v>0.336</v>
      </c>
      <c r="AC49" s="29" t="n">
        <f aca="false">ROUND(((N49-O49-P49-Q49)+2*O49+3*P49+4*Q49)/L49,3)</f>
        <v>0.26</v>
      </c>
      <c r="AD49" s="29" t="n">
        <f aca="false">ROUND(AB49+AC49,3)</f>
        <v>0.596</v>
      </c>
      <c r="AE49" s="30" t="n">
        <f aca="false">ROUND((('연도별 상수'!$N$46*(U49-W49))+('연도별 상수'!$O$46*V49)+('연도별 상수'!$P$46*(N49-O49-P49-Q49))+('연도별 상수'!$Q$46*O49)+('연도별 상수'!$R$46*P49)+('연도별 상수'!$S$46*Q49))/(L49+U49+V49-W49+Z49),3)</f>
        <v>0.293</v>
      </c>
      <c r="AF49" s="31" t="n">
        <f aca="false">'연도별 상수'!AG$4</f>
        <v>1.22</v>
      </c>
      <c r="AG49" s="9" t="n">
        <f aca="false">'연도별 상수'!AH$4</f>
        <v>3</v>
      </c>
      <c r="AH49" s="9" t="n">
        <f aca="false">'연도별 상수'!$B$46</f>
        <v>0.871842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9" t="n">
        <v>12</v>
      </c>
      <c r="AP49" s="1" t="n">
        <f aca="false">K49</f>
        <v>282</v>
      </c>
      <c r="AQ49" s="7" t="n">
        <v>0</v>
      </c>
    </row>
    <row r="50" customFormat="false" ht="26.25" hidden="false" customHeight="true" outlineLevel="0" collapsed="false">
      <c r="A50" s="10" t="n">
        <v>49</v>
      </c>
      <c r="B50" s="23" t="s">
        <v>100</v>
      </c>
      <c r="C50" s="24" t="str">
        <f aca="false">'연도별 상수'!AE$7</f>
        <v>LF</v>
      </c>
      <c r="D50" s="25" t="s">
        <v>45</v>
      </c>
      <c r="E50" s="24" t="n">
        <f aca="false">'연도별 상수'!$A$46</f>
        <v>2026</v>
      </c>
      <c r="F50" s="26" t="n">
        <f aca="false">ROUND(((H50)+(I50)+(AG50*K50/600)+(20*K50/600))/'연도별 상수'!$U$46,2)</f>
        <v>0.72</v>
      </c>
      <c r="G50" s="27" t="n">
        <f aca="false">ROUND(100*(((((AE50-'리그 타자'!$B$46)/'연도별 상수'!$T$46)+'연도별 상수'!$W$46))+('연도별 상수'!$W$46*(1-AH50)))/'연도별 상수'!$W$46,1)</f>
        <v>121</v>
      </c>
      <c r="H50" s="27" t="n">
        <f aca="false">ROUND((((AE50-'리그 타자'!$B$46)/'연도별 상수'!$T$46)*K50/AH50)+(S50*'연도별 상수'!$AB$46-T50*'연도별 상수'!$AC$46)-((S50+T50)*('연도별 상수'!$AD$46*0.2-(1-'연도별 상수'!$AD$46)*0.4))+0.05*(S50+O50+P50),1)</f>
        <v>8.4</v>
      </c>
      <c r="I50" s="27" t="n">
        <f aca="false">ROUND((0.75*AO50)+(AF50*(J50/144)),1)</f>
        <v>-8.2</v>
      </c>
      <c r="J50" s="28" t="n">
        <v>78</v>
      </c>
      <c r="K50" s="28" t="n">
        <v>304</v>
      </c>
      <c r="L50" s="28" t="n">
        <v>283</v>
      </c>
      <c r="M50" s="28" t="n">
        <v>32</v>
      </c>
      <c r="N50" s="28" t="n">
        <v>94</v>
      </c>
      <c r="O50" s="28" t="n">
        <v>15</v>
      </c>
      <c r="P50" s="28" t="n">
        <v>0</v>
      </c>
      <c r="Q50" s="28" t="n">
        <v>6</v>
      </c>
      <c r="R50" s="28" t="n">
        <v>35</v>
      </c>
      <c r="S50" s="7" t="n">
        <v>4</v>
      </c>
      <c r="T50" s="7" t="n">
        <v>1</v>
      </c>
      <c r="U50" s="28" t="n">
        <v>18</v>
      </c>
      <c r="V50" s="28" t="n">
        <v>1</v>
      </c>
      <c r="W50" s="28" t="n">
        <v>0</v>
      </c>
      <c r="X50" s="28" t="n">
        <v>44</v>
      </c>
      <c r="Y50" s="28" t="n">
        <v>10</v>
      </c>
      <c r="Z50" s="28" t="n">
        <v>1</v>
      </c>
      <c r="AA50" s="29" t="n">
        <f aca="false">ROUND(N50/L50,3)</f>
        <v>0.332</v>
      </c>
      <c r="AB50" s="29" t="n">
        <f aca="false">ROUND((N50+U50+V50)/(L50+U50+V50+Z50),3)</f>
        <v>0.373</v>
      </c>
      <c r="AC50" s="29" t="n">
        <f aca="false">ROUND(((N50-O50-P50-Q50)+2*O50+3*P50+4*Q50)/L50,3)</f>
        <v>0.449</v>
      </c>
      <c r="AD50" s="29" t="n">
        <f aca="false">ROUND(AB50+AC50,3)</f>
        <v>0.822</v>
      </c>
      <c r="AE50" s="30" t="n">
        <f aca="false">ROUND((('연도별 상수'!$N$46*(U50-W50))+('연도별 상수'!$O$46*V50)+('연도별 상수'!$P$46*(N50-O50-P50-Q50))+('연도별 상수'!$Q$46*O50)+('연도별 상수'!$R$46*P50)+('연도별 상수'!$S$46*Q50))/(L50+U50+V50-W50+Z50),3)</f>
        <v>0.375</v>
      </c>
      <c r="AF50" s="31" t="n">
        <f aca="false">'연도별 상수'!AG$7</f>
        <v>-5.5</v>
      </c>
      <c r="AG50" s="9" t="n">
        <f aca="false">'연도별 상수'!AH$7</f>
        <v>-5</v>
      </c>
      <c r="AH50" s="9" t="n">
        <f aca="false">'연도별 상수'!$J$46</f>
        <v>0.968492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9" t="n">
        <v>-7</v>
      </c>
      <c r="AP50" s="1" t="n">
        <f aca="false">K50</f>
        <v>304</v>
      </c>
      <c r="AQ50" s="7" t="n">
        <v>0</v>
      </c>
    </row>
    <row r="51" customFormat="false" ht="26.25" hidden="false" customHeight="true" outlineLevel="0" collapsed="false">
      <c r="A51" s="10" t="n">
        <v>50</v>
      </c>
      <c r="B51" s="23" t="s">
        <v>101</v>
      </c>
      <c r="C51" s="24" t="str">
        <f aca="false">'연도별 상수'!AE$5</f>
        <v>3B</v>
      </c>
      <c r="D51" s="25" t="s">
        <v>54</v>
      </c>
      <c r="E51" s="24" t="n">
        <f aca="false">'연도별 상수'!$A$46</f>
        <v>2026</v>
      </c>
      <c r="F51" s="26" t="n">
        <f aca="false">ROUND(((H51)+(I51)+(AG51*K51/600)+(20*K51/600))/'연도별 상수'!$U$46,2)</f>
        <v>0.64</v>
      </c>
      <c r="G51" s="27" t="n">
        <f aca="false">ROUND(100*(((((AE51-'리그 타자'!$B$46)/'연도별 상수'!$T$46)+'연도별 상수'!$W$46))+('연도별 상수'!$W$46*(1-AH51)))/'연도별 상수'!$W$46,1)</f>
        <v>101.4</v>
      </c>
      <c r="H51" s="27" t="n">
        <f aca="false">ROUND((((AE51-'리그 타자'!$B$46)/'연도별 상수'!$T$46)*K51/AH51)+(S51*'연도별 상수'!$AB$46-T51*'연도별 상수'!$AC$46)-((S51+T51)*('연도별 상수'!$AD$46*0.2-(1-'연도별 상수'!$AD$46)*0.4))+0.05*(S51+O51+P51),1)</f>
        <v>-2.2</v>
      </c>
      <c r="I51" s="27" t="n">
        <f aca="false">ROUND((0.75*AO51)+(AF51*(J51/144)),1)</f>
        <v>2.3</v>
      </c>
      <c r="J51" s="28" t="n">
        <v>55</v>
      </c>
      <c r="K51" s="28" t="n">
        <v>216</v>
      </c>
      <c r="L51" s="28" t="n">
        <v>195</v>
      </c>
      <c r="M51" s="28" t="n">
        <v>24</v>
      </c>
      <c r="N51" s="28" t="n">
        <v>50</v>
      </c>
      <c r="O51" s="28" t="n">
        <v>12</v>
      </c>
      <c r="P51" s="28" t="n">
        <v>2</v>
      </c>
      <c r="Q51" s="28" t="n">
        <v>4</v>
      </c>
      <c r="R51" s="28" t="n">
        <v>27</v>
      </c>
      <c r="S51" s="7" t="n">
        <v>4</v>
      </c>
      <c r="T51" s="7" t="n">
        <v>0</v>
      </c>
      <c r="U51" s="28" t="n">
        <v>16</v>
      </c>
      <c r="V51" s="28" t="n">
        <v>3</v>
      </c>
      <c r="W51" s="28" t="n">
        <v>0</v>
      </c>
      <c r="X51" s="28" t="n">
        <v>39</v>
      </c>
      <c r="Y51" s="28" t="n">
        <v>3</v>
      </c>
      <c r="Z51" s="28" t="n">
        <v>2</v>
      </c>
      <c r="AA51" s="29" t="n">
        <f aca="false">ROUND(N51/L51,3)</f>
        <v>0.256</v>
      </c>
      <c r="AB51" s="29" t="n">
        <f aca="false">ROUND((N51+U51+V51)/(L51+U51+V51+Z51),3)</f>
        <v>0.319</v>
      </c>
      <c r="AC51" s="29" t="n">
        <f aca="false">ROUND(((N51-O51-P51-Q51)+2*O51+3*P51+4*Q51)/L51,3)</f>
        <v>0.4</v>
      </c>
      <c r="AD51" s="29" t="n">
        <f aca="false">ROUND(AB51+AC51,3)</f>
        <v>0.719</v>
      </c>
      <c r="AE51" s="30" t="n">
        <f aca="false">ROUND((('연도별 상수'!$N$46*(U51-W51))+('연도별 상수'!$O$46*V51)+('연도별 상수'!$P$46*(N51-O51-P51-Q51))+('연도별 상수'!$Q$46*O51)+('연도별 상수'!$R$46*P51)+('연도별 상수'!$S$46*Q51))/(L51+U51+V51-W51+Z51),3)</f>
        <v>0.328</v>
      </c>
      <c r="AF51" s="31" t="n">
        <f aca="false">'연도별 상수'!AG$5</f>
        <v>0.22</v>
      </c>
      <c r="AG51" s="9" t="n">
        <f aca="false">'연도별 상수'!AH$5</f>
        <v>-1</v>
      </c>
      <c r="AH51" s="9" t="n">
        <f aca="false">'연도별 상수'!$B$46</f>
        <v>0.871842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9" t="n">
        <v>3</v>
      </c>
      <c r="AP51" s="1" t="n">
        <f aca="false">K51</f>
        <v>216</v>
      </c>
      <c r="AQ51" s="7" t="n">
        <v>0</v>
      </c>
    </row>
    <row r="52" customFormat="false" ht="26.25" hidden="false" customHeight="true" outlineLevel="0" collapsed="false">
      <c r="A52" s="10" t="n">
        <v>51</v>
      </c>
      <c r="B52" s="23" t="s">
        <v>102</v>
      </c>
      <c r="C52" s="24" t="str">
        <f aca="false">'연도별 상수'!AE$3</f>
        <v>1B</v>
      </c>
      <c r="D52" s="25" t="s">
        <v>62</v>
      </c>
      <c r="E52" s="24" t="n">
        <f aca="false">'연도별 상수'!$A$46</f>
        <v>2026</v>
      </c>
      <c r="F52" s="26" t="n">
        <f aca="false">ROUND(((H52)+(I52)+(AG52*K52/600)+(20*K52/600))/'연도별 상수'!$U$46,2)</f>
        <v>0.56</v>
      </c>
      <c r="G52" s="27" t="n">
        <f aca="false">ROUND(100*(((((AE52-'리그 타자'!$B$46)/'연도별 상수'!$T$46)+'연도별 상수'!$W$46))+('연도별 상수'!$W$46*(1-AH52)))/'연도별 상수'!$W$46,1)</f>
        <v>100.8</v>
      </c>
      <c r="H52" s="27" t="n">
        <f aca="false">ROUND((((AE52-'리그 타자'!$B$46)/'연도별 상수'!$T$46)*K52/AH52)+(S52*'연도별 상수'!$AB$46-T52*'연도별 상수'!$AC$46)-((S52+T52)*('연도별 상수'!$AD$46*0.2-(1-'연도별 상수'!$AD$46)*0.4))+0.05*(S52+O52+P52),1)</f>
        <v>5.5</v>
      </c>
      <c r="I52" s="27" t="n">
        <f aca="false">ROUND((0.75*AO52)+(AF52*(J52/144)),1)</f>
        <v>-4.4</v>
      </c>
      <c r="J52" s="28" t="n">
        <v>72</v>
      </c>
      <c r="K52" s="28" t="n">
        <v>250</v>
      </c>
      <c r="L52" s="28" t="n">
        <v>210</v>
      </c>
      <c r="M52" s="28" t="n">
        <v>34</v>
      </c>
      <c r="N52" s="28" t="n">
        <v>63</v>
      </c>
      <c r="O52" s="28" t="n">
        <v>11</v>
      </c>
      <c r="P52" s="28" t="n">
        <v>2</v>
      </c>
      <c r="Q52" s="28" t="n">
        <v>5</v>
      </c>
      <c r="R52" s="28" t="n">
        <v>18</v>
      </c>
      <c r="S52" s="7" t="n">
        <v>2</v>
      </c>
      <c r="T52" s="7" t="n">
        <v>1</v>
      </c>
      <c r="U52" s="28" t="n">
        <v>21</v>
      </c>
      <c r="V52" s="28" t="n">
        <v>5</v>
      </c>
      <c r="W52" s="28" t="n">
        <v>0</v>
      </c>
      <c r="X52" s="28" t="n">
        <v>43</v>
      </c>
      <c r="Y52" s="28" t="n">
        <v>3</v>
      </c>
      <c r="Z52" s="28" t="n">
        <v>1</v>
      </c>
      <c r="AA52" s="29" t="n">
        <f aca="false">ROUND(N52/L52,3)</f>
        <v>0.3</v>
      </c>
      <c r="AB52" s="29" t="n">
        <f aca="false">ROUND((N52+U52+V52)/(L52+U52+V52+Z52),3)</f>
        <v>0.376</v>
      </c>
      <c r="AC52" s="29" t="n">
        <f aca="false">ROUND(((N52-O52-P52-Q52)+2*O52+3*P52+4*Q52)/L52,3)</f>
        <v>0.443</v>
      </c>
      <c r="AD52" s="29" t="n">
        <f aca="false">ROUND(AB52+AC52,3)</f>
        <v>0.819</v>
      </c>
      <c r="AE52" s="30" t="n">
        <f aca="false">ROUND((('연도별 상수'!$N$46*(U52-W52))+('연도별 상수'!$O$46*V52)+('연도별 상수'!$P$46*(N52-O52-P52-Q52))+('연도별 상수'!$Q$46*O52)+('연도별 상수'!$R$46*P52)+('연도별 상수'!$S$46*Q52))/(L52+U52+V52-W52+Z52),3)</f>
        <v>0.375</v>
      </c>
      <c r="AF52" s="31" t="n">
        <f aca="false">'연도별 상수'!AG$3</f>
        <v>-10.22</v>
      </c>
      <c r="AG52" s="9" t="n">
        <f aca="false">'연도별 상수'!AH$3</f>
        <v>-8</v>
      </c>
      <c r="AH52" s="9" t="n">
        <f aca="false">'연도별 상수'!$F$46</f>
        <v>1.170772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9" t="n">
        <v>1</v>
      </c>
      <c r="AP52" s="1" t="n">
        <f aca="false">K52</f>
        <v>250</v>
      </c>
      <c r="AQ52" s="7" t="n">
        <v>0</v>
      </c>
    </row>
    <row r="53" customFormat="false" ht="26.25" hidden="false" customHeight="true" outlineLevel="0" collapsed="false">
      <c r="A53" s="10" t="n">
        <v>52</v>
      </c>
      <c r="B53" s="23" t="s">
        <v>103</v>
      </c>
      <c r="C53" s="24" t="str">
        <f aca="false">'연도별 상수'!AE$7</f>
        <v>LF</v>
      </c>
      <c r="D53" s="25" t="s">
        <v>54</v>
      </c>
      <c r="E53" s="24" t="n">
        <f aca="false">'연도별 상수'!$A$46</f>
        <v>2026</v>
      </c>
      <c r="F53" s="26" t="n">
        <f aca="false">ROUND(((H53)+(I53)+(AG53*K53/600)+(20*K53/600))/'연도별 상수'!$U$46,2)</f>
        <v>0.62</v>
      </c>
      <c r="G53" s="27" t="n">
        <f aca="false">ROUND(100*(((((AE53-'리그 타자'!$B$46)/'연도별 상수'!$T$46)+'연도별 상수'!$W$46))+('연도별 상수'!$W$46*(1-AH53)))/'연도별 상수'!$W$46,1)</f>
        <v>129.4</v>
      </c>
      <c r="H53" s="27" t="n">
        <f aca="false">ROUND((((AE53-'리그 타자'!$B$46)/'연도별 상수'!$T$46)*K53/AH53)+(S53*'연도별 상수'!$AB$46-T53*'연도별 상수'!$AC$46)-((S53+T53)*('연도별 상수'!$AD$46*0.2-(1-'연도별 상수'!$AD$46)*0.4))+0.05*(S53+O53+P53),1)</f>
        <v>8.4</v>
      </c>
      <c r="I53" s="27" t="n">
        <f aca="false">ROUND((0.75*AO53)+(AF53*(J53/144)),1)</f>
        <v>-9</v>
      </c>
      <c r="J53" s="28" t="n">
        <v>79</v>
      </c>
      <c r="K53" s="28" t="n">
        <v>290</v>
      </c>
      <c r="L53" s="28" t="n">
        <v>255</v>
      </c>
      <c r="M53" s="28" t="n">
        <v>37</v>
      </c>
      <c r="N53" s="28" t="n">
        <v>78</v>
      </c>
      <c r="O53" s="28" t="n">
        <v>14</v>
      </c>
      <c r="P53" s="28" t="n">
        <v>2</v>
      </c>
      <c r="Q53" s="28" t="n">
        <v>4</v>
      </c>
      <c r="R53" s="28" t="n">
        <v>32</v>
      </c>
      <c r="S53" s="7" t="n">
        <v>2</v>
      </c>
      <c r="T53" s="7" t="n">
        <v>0</v>
      </c>
      <c r="U53" s="28" t="n">
        <v>31</v>
      </c>
      <c r="V53" s="28" t="n">
        <v>2</v>
      </c>
      <c r="W53" s="28" t="n">
        <v>0</v>
      </c>
      <c r="X53" s="28" t="n">
        <v>51</v>
      </c>
      <c r="Y53" s="28" t="n">
        <v>1</v>
      </c>
      <c r="Z53" s="28" t="n">
        <v>1</v>
      </c>
      <c r="AA53" s="29" t="n">
        <f aca="false">ROUND(N53/L53,3)</f>
        <v>0.306</v>
      </c>
      <c r="AB53" s="29" t="n">
        <f aca="false">ROUND((N53+U53+V53)/(L53+U53+V53+Z53),3)</f>
        <v>0.384</v>
      </c>
      <c r="AC53" s="29" t="n">
        <f aca="false">ROUND(((N53-O53-P53-Q53)+2*O53+3*P53+4*Q53)/L53,3)</f>
        <v>0.424</v>
      </c>
      <c r="AD53" s="29" t="n">
        <f aca="false">ROUND(AB53+AC53,3)</f>
        <v>0.808</v>
      </c>
      <c r="AE53" s="30" t="n">
        <f aca="false">ROUND((('연도별 상수'!$N$46*(U53-W53))+('연도별 상수'!$O$46*V53)+('연도별 상수'!$P$46*(N53-O53-P53-Q53))+('연도별 상수'!$Q$46*O53)+('연도별 상수'!$R$46*P53)+('연도별 상수'!$S$46*Q53))/(L53+U53+V53-W53+Z53),3)</f>
        <v>0.373</v>
      </c>
      <c r="AF53" s="31" t="n">
        <f aca="false">'연도별 상수'!AG$7</f>
        <v>-5.5</v>
      </c>
      <c r="AG53" s="9" t="n">
        <f aca="false">'연도별 상수'!AH$7</f>
        <v>-5</v>
      </c>
      <c r="AH53" s="9" t="n">
        <f aca="false">'연도별 상수'!$B$46</f>
        <v>0.871842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9" t="n">
        <v>-8</v>
      </c>
      <c r="AP53" s="1" t="n">
        <f aca="false">K53</f>
        <v>290</v>
      </c>
      <c r="AQ53" s="7" t="n">
        <v>0</v>
      </c>
    </row>
    <row r="54" customFormat="false" ht="26.25" hidden="false" customHeight="true" outlineLevel="0" collapsed="false">
      <c r="A54" s="10" t="n">
        <v>53</v>
      </c>
      <c r="B54" s="23" t="s">
        <v>104</v>
      </c>
      <c r="C54" s="24" t="str">
        <f aca="false">'연도별 상수'!AE$3</f>
        <v>1B</v>
      </c>
      <c r="D54" s="25" t="s">
        <v>89</v>
      </c>
      <c r="E54" s="24" t="n">
        <f aca="false">'연도별 상수'!$A$46</f>
        <v>2026</v>
      </c>
      <c r="F54" s="26" t="n">
        <f aca="false">ROUND(((H54)+(I54)+(AG54*K54/600)+(20*K54/600))/'연도별 상수'!$U$46,2)</f>
        <v>0.5</v>
      </c>
      <c r="G54" s="27" t="n">
        <f aca="false">ROUND(100*(((((AE54-'리그 타자'!$B$46)/'연도별 상수'!$T$46)+'연도별 상수'!$W$46))+('연도별 상수'!$W$46*(1-AH54)))/'연도별 상수'!$W$46,1)</f>
        <v>121.6</v>
      </c>
      <c r="H54" s="27" t="n">
        <f aca="false">ROUND((((AE54-'리그 타자'!$B$46)/'연도별 상수'!$T$46)*K54/AH54)+(S54*'연도별 상수'!$AB$46-T54*'연도별 상수'!$AC$46)-((S54+T54)*('연도별 상수'!$AD$46*0.2-(1-'연도별 상수'!$AD$46)*0.4))+0.05*(S54+O54+P54),1)</f>
        <v>7</v>
      </c>
      <c r="I54" s="27" t="n">
        <f aca="false">ROUND((0.75*AO54)+(AF54*(J54/144)),1)</f>
        <v>-7</v>
      </c>
      <c r="J54" s="28" t="n">
        <v>67</v>
      </c>
      <c r="K54" s="28" t="n">
        <v>270</v>
      </c>
      <c r="L54" s="28" t="n">
        <v>236</v>
      </c>
      <c r="M54" s="28" t="n">
        <v>24</v>
      </c>
      <c r="N54" s="28" t="n">
        <v>67</v>
      </c>
      <c r="O54" s="28" t="n">
        <v>12</v>
      </c>
      <c r="P54" s="28" t="n">
        <v>1</v>
      </c>
      <c r="Q54" s="28" t="n">
        <v>8</v>
      </c>
      <c r="R54" s="28" t="n">
        <v>40</v>
      </c>
      <c r="S54" s="7" t="n">
        <v>1</v>
      </c>
      <c r="T54" s="7" t="n">
        <v>0</v>
      </c>
      <c r="U54" s="28" t="n">
        <v>14</v>
      </c>
      <c r="V54" s="28" t="n">
        <v>18</v>
      </c>
      <c r="W54" s="28" t="n">
        <v>0</v>
      </c>
      <c r="X54" s="28" t="n">
        <v>63</v>
      </c>
      <c r="Y54" s="28" t="n">
        <v>5</v>
      </c>
      <c r="Z54" s="28" t="n">
        <v>2</v>
      </c>
      <c r="AA54" s="29" t="n">
        <f aca="false">ROUND(N54/L54,3)</f>
        <v>0.284</v>
      </c>
      <c r="AB54" s="29" t="n">
        <f aca="false">ROUND((N54+U54+V54)/(L54+U54+V54+Z54),3)</f>
        <v>0.367</v>
      </c>
      <c r="AC54" s="29" t="n">
        <f aca="false">ROUND(((N54-O54-P54-Q54)+2*O54+3*P54+4*Q54)/L54,3)</f>
        <v>0.445</v>
      </c>
      <c r="AD54" s="29" t="n">
        <f aca="false">ROUND(AB54+AC54,3)</f>
        <v>0.812</v>
      </c>
      <c r="AE54" s="30" t="n">
        <f aca="false">ROUND((('연도별 상수'!$N$46*(U54-W54))+('연도별 상수'!$O$46*V54)+('연도별 상수'!$P$46*(N54-O54-P54-Q54))+('연도별 상수'!$Q$46*O54)+('연도별 상수'!$R$46*P54)+('연도별 상수'!$S$46*Q54))/(L54+U54+V54-W54+Z54),3)</f>
        <v>0.373</v>
      </c>
      <c r="AF54" s="31" t="n">
        <f aca="false">'연도별 상수'!AG$3</f>
        <v>-10.22</v>
      </c>
      <c r="AG54" s="9" t="n">
        <f aca="false">'연도별 상수'!AH$3</f>
        <v>-8</v>
      </c>
      <c r="AH54" s="9" t="n">
        <f aca="false">'연도별 상수'!$C$46/2+'연도별 상수'!$J$46/2</f>
        <v>0.9501095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9" t="n">
        <v>-3</v>
      </c>
      <c r="AP54" s="1" t="n">
        <f aca="false">K54</f>
        <v>270</v>
      </c>
      <c r="AQ54" s="7" t="n">
        <v>1</v>
      </c>
    </row>
    <row r="55" customFormat="false" ht="26.25" hidden="false" customHeight="true" outlineLevel="0" collapsed="false">
      <c r="A55" s="10" t="n">
        <v>54</v>
      </c>
      <c r="B55" s="23" t="s">
        <v>105</v>
      </c>
      <c r="C55" s="24" t="str">
        <f aca="false">'연도별 상수'!AE$4</f>
        <v>2B</v>
      </c>
      <c r="D55" s="25" t="s">
        <v>76</v>
      </c>
      <c r="E55" s="24" t="n">
        <f aca="false">'연도별 상수'!$A$46</f>
        <v>2026</v>
      </c>
      <c r="F55" s="26" t="n">
        <f aca="false">ROUND(((H55)+(I55)+(AG55*K55/600)+(20*K55/600))/'연도별 상수'!$U$46,2)</f>
        <v>0.46</v>
      </c>
      <c r="G55" s="27" t="n">
        <f aca="false">ROUND(100*(((((AE55-'리그 타자'!$B$46)/'연도별 상수'!$T$46)+'연도별 상수'!$W$46))+('연도별 상수'!$W$46*(1-AH55)))/'연도별 상수'!$W$46,1)</f>
        <v>74.1</v>
      </c>
      <c r="H55" s="27" t="n">
        <f aca="false">ROUND((((AE55-'리그 타자'!$B$46)/'연도별 상수'!$T$46)*K55/AH55)+(S55*'연도별 상수'!$AB$46-T55*'연도별 상수'!$AC$46)-((S55+T55)*('연도별 상수'!$AD$46*0.2-(1-'연도별 상수'!$AD$46)*0.4))+0.05*(S55+O55+P55),1)</f>
        <v>-2.5</v>
      </c>
      <c r="I55" s="27" t="n">
        <f aca="false">ROUND((0.75*AO55)+(AF55*(J55/144)),1)</f>
        <v>-1.8</v>
      </c>
      <c r="J55" s="28" t="n">
        <v>55</v>
      </c>
      <c r="K55" s="28" t="n">
        <v>243</v>
      </c>
      <c r="L55" s="28" t="n">
        <v>222</v>
      </c>
      <c r="M55" s="28" t="n">
        <v>35</v>
      </c>
      <c r="N55" s="28" t="n">
        <v>60</v>
      </c>
      <c r="O55" s="28" t="n">
        <v>9</v>
      </c>
      <c r="P55" s="28" t="n">
        <v>2</v>
      </c>
      <c r="Q55" s="28" t="n">
        <v>6</v>
      </c>
      <c r="R55" s="28" t="n">
        <v>33</v>
      </c>
      <c r="S55" s="7" t="n">
        <v>0</v>
      </c>
      <c r="T55" s="7" t="n">
        <v>1</v>
      </c>
      <c r="U55" s="28" t="n">
        <v>18</v>
      </c>
      <c r="V55" s="28" t="n">
        <v>0</v>
      </c>
      <c r="W55" s="28" t="n">
        <v>1</v>
      </c>
      <c r="X55" s="28" t="n">
        <v>44</v>
      </c>
      <c r="Y55" s="28" t="n">
        <v>0</v>
      </c>
      <c r="Z55" s="28" t="n">
        <v>2</v>
      </c>
      <c r="AA55" s="29" t="n">
        <f aca="false">ROUND(N55/L55,3)</f>
        <v>0.27</v>
      </c>
      <c r="AB55" s="29" t="n">
        <f aca="false">ROUND((N55+U55+V55)/(L55+U55+V55+Z55),3)</f>
        <v>0.322</v>
      </c>
      <c r="AC55" s="29" t="n">
        <f aca="false">ROUND(((N55-O55-P55-Q55)+2*O55+3*P55+4*Q55)/L55,3)</f>
        <v>0.41</v>
      </c>
      <c r="AD55" s="29" t="n">
        <f aca="false">ROUND(AB55+AC55,3)</f>
        <v>0.732</v>
      </c>
      <c r="AE55" s="30" t="n">
        <f aca="false">ROUND((('연도별 상수'!$N$46*(U55-W55))+('연도별 상수'!$O$46*V55)+('연도별 상수'!$P$46*(N55-O55-P55-Q55))+('연도별 상수'!$Q$46*O55)+('연도별 상수'!$R$46*P55)+('연도별 상수'!$S$46*Q55))/(L55+U55+V55-W55+Z55),3)</f>
        <v>0.331</v>
      </c>
      <c r="AF55" s="31" t="n">
        <f aca="false">'연도별 상수'!AG$4</f>
        <v>1.22</v>
      </c>
      <c r="AG55" s="9" t="n">
        <f aca="false">'연도별 상수'!AH$4</f>
        <v>3</v>
      </c>
      <c r="AH55" s="9" t="n">
        <f aca="false">'연도별 상수'!$I$46</f>
        <v>1.163773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9" t="n">
        <v>-3</v>
      </c>
      <c r="AP55" s="1" t="n">
        <f aca="false">K55</f>
        <v>243</v>
      </c>
      <c r="AQ55" s="7" t="n">
        <v>0</v>
      </c>
    </row>
    <row r="56" customFormat="false" ht="26.25" hidden="false" customHeight="true" outlineLevel="0" collapsed="false">
      <c r="A56" s="10" t="n">
        <v>55</v>
      </c>
      <c r="B56" s="23" t="s">
        <v>106</v>
      </c>
      <c r="C56" s="24" t="str">
        <f aca="false">'연도별 상수'!AE$5</f>
        <v>3B</v>
      </c>
      <c r="D56" s="25" t="s">
        <v>59</v>
      </c>
      <c r="E56" s="24" t="n">
        <f aca="false">'연도별 상수'!$A$46</f>
        <v>2026</v>
      </c>
      <c r="F56" s="26" t="n">
        <f aca="false">ROUND(((H56)+(I56)+(AG56*K56/600)+(20*K56/600))/'연도별 상수'!$U$46,2)</f>
        <v>0.36</v>
      </c>
      <c r="G56" s="27" t="n">
        <f aca="false">ROUND(100*(((((AE56-'리그 타자'!$B$46)/'연도별 상수'!$T$46)+'연도별 상수'!$W$46))+('연도별 상수'!$W$46*(1-AH56)))/'연도별 상수'!$W$46,1)</f>
        <v>83</v>
      </c>
      <c r="H56" s="27" t="n">
        <f aca="false">ROUND((((AE56-'리그 타자'!$B$46)/'연도별 상수'!$T$46)*K56/AH56)+(S56*'연도별 상수'!$AB$46-T56*'연도별 상수'!$AC$46)-((S56+T56)*('연도별 상수'!$AD$46*0.2-(1-'연도별 상수'!$AD$46)*0.4))+0.05*(S56+O56+P56),1)</f>
        <v>-3.8</v>
      </c>
      <c r="I56" s="27" t="n">
        <f aca="false">ROUND((0.75*AO56)+(AF56*(J56/144)),1)</f>
        <v>-1.4</v>
      </c>
      <c r="J56" s="28" t="n">
        <v>76</v>
      </c>
      <c r="K56" s="28" t="n">
        <v>286</v>
      </c>
      <c r="L56" s="28" t="n">
        <v>236</v>
      </c>
      <c r="M56" s="28" t="n">
        <v>37</v>
      </c>
      <c r="N56" s="28" t="n">
        <v>52</v>
      </c>
      <c r="O56" s="28" t="n">
        <v>14</v>
      </c>
      <c r="P56" s="28" t="n">
        <v>0</v>
      </c>
      <c r="Q56" s="28" t="n">
        <v>5</v>
      </c>
      <c r="R56" s="28" t="n">
        <v>32</v>
      </c>
      <c r="S56" s="7" t="n">
        <v>2</v>
      </c>
      <c r="T56" s="7" t="n">
        <v>2</v>
      </c>
      <c r="U56" s="28" t="n">
        <v>31</v>
      </c>
      <c r="V56" s="28" t="n">
        <v>16</v>
      </c>
      <c r="W56" s="28" t="n">
        <v>1</v>
      </c>
      <c r="X56" s="28" t="n">
        <v>77</v>
      </c>
      <c r="Y56" s="28" t="n">
        <v>8</v>
      </c>
      <c r="Z56" s="28" t="n">
        <v>3</v>
      </c>
      <c r="AA56" s="29" t="n">
        <f aca="false">ROUND(N56/L56,3)</f>
        <v>0.22</v>
      </c>
      <c r="AB56" s="29" t="n">
        <f aca="false">ROUND((N56+U56+V56)/(L56+U56+V56+Z56),3)</f>
        <v>0.346</v>
      </c>
      <c r="AC56" s="29" t="n">
        <f aca="false">ROUND(((N56-O56-P56-Q56)+2*O56+3*P56+4*Q56)/L56,3)</f>
        <v>0.343</v>
      </c>
      <c r="AD56" s="29" t="n">
        <f aca="false">ROUND(AB56+AC56,3)</f>
        <v>0.689</v>
      </c>
      <c r="AE56" s="30" t="n">
        <f aca="false">ROUND((('연도별 상수'!$N$46*(U56-W56))+('연도별 상수'!$O$46*V56)+('연도별 상수'!$P$46*(N56-O56-P56-Q56))+('연도별 상수'!$Q$46*O56)+('연도별 상수'!$R$46*P56)+('연도별 상수'!$S$46*Q56))/(L56+U56+V56-W56+Z56),3)</f>
        <v>0.328</v>
      </c>
      <c r="AF56" s="31" t="n">
        <f aca="false">'연도별 상수'!AG$5</f>
        <v>0.22</v>
      </c>
      <c r="AG56" s="9" t="n">
        <f aca="false">'연도별 상수'!AH$5</f>
        <v>-1</v>
      </c>
      <c r="AH56" s="9" t="n">
        <f aca="false">'연도별 상수'!$H$46</f>
        <v>1.055356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9" t="n">
        <v>-2</v>
      </c>
      <c r="AP56" s="1" t="n">
        <f aca="false">K56</f>
        <v>286</v>
      </c>
      <c r="AQ56" s="7" t="n">
        <v>0</v>
      </c>
    </row>
    <row r="57" customFormat="false" ht="26.25" hidden="false" customHeight="true" outlineLevel="0" collapsed="false">
      <c r="A57" s="10" t="n">
        <v>56</v>
      </c>
      <c r="B57" s="23" t="s">
        <v>107</v>
      </c>
      <c r="C57" s="24" t="str">
        <f aca="false">'연도별 상수'!AE$7</f>
        <v>LF</v>
      </c>
      <c r="D57" s="25" t="s">
        <v>43</v>
      </c>
      <c r="E57" s="24" t="n">
        <f aca="false">'연도별 상수'!$A$46</f>
        <v>2026</v>
      </c>
      <c r="F57" s="26" t="n">
        <f aca="false">ROUND(((H57)+(I57)+(AG57*K57/600)+(20*K57/600))/'연도별 상수'!$U$46,2)</f>
        <v>0.34</v>
      </c>
      <c r="G57" s="27" t="n">
        <f aca="false">ROUND(100*(((((AE57-'리그 타자'!$B$46)/'연도별 상수'!$T$46)+'연도별 상수'!$W$46))+('연도별 상수'!$W$46*(1-AH57)))/'연도별 상수'!$W$46,1)</f>
        <v>104.5</v>
      </c>
      <c r="H57" s="27" t="n">
        <f aca="false">ROUND((((AE57-'리그 타자'!$B$46)/'연도별 상수'!$T$46)*K57/AH57)+(S57*'연도별 상수'!$AB$46-T57*'연도별 상수'!$AC$46)-((S57+T57)*('연도별 상수'!$AD$46*0.2-(1-'연도별 상수'!$AD$46)*0.4))+0.05*(S57+O57+P57),1)</f>
        <v>-2</v>
      </c>
      <c r="I57" s="27" t="n">
        <f aca="false">ROUND((0.75*AO57)+(AF57*(J57/144)),1)</f>
        <v>0.9</v>
      </c>
      <c r="J57" s="28" t="n">
        <v>54</v>
      </c>
      <c r="K57" s="28" t="n">
        <v>191</v>
      </c>
      <c r="L57" s="28" t="n">
        <v>169</v>
      </c>
      <c r="M57" s="28" t="n">
        <v>13</v>
      </c>
      <c r="N57" s="28" t="n">
        <v>50</v>
      </c>
      <c r="O57" s="28" t="n">
        <v>8</v>
      </c>
      <c r="P57" s="28" t="n">
        <v>0</v>
      </c>
      <c r="Q57" s="28" t="n">
        <v>1</v>
      </c>
      <c r="R57" s="28" t="n">
        <v>19</v>
      </c>
      <c r="S57" s="7" t="n">
        <v>2</v>
      </c>
      <c r="T57" s="7" t="n">
        <v>1</v>
      </c>
      <c r="U57" s="28" t="n">
        <v>16</v>
      </c>
      <c r="V57" s="28" t="n">
        <v>2</v>
      </c>
      <c r="W57" s="28" t="n">
        <v>2</v>
      </c>
      <c r="X57" s="28" t="n">
        <v>24</v>
      </c>
      <c r="Y57" s="28" t="n">
        <v>4</v>
      </c>
      <c r="Z57" s="28" t="n">
        <v>2</v>
      </c>
      <c r="AA57" s="29" t="n">
        <f aca="false">ROUND(N57/L57,3)</f>
        <v>0.296</v>
      </c>
      <c r="AB57" s="29" t="n">
        <f aca="false">ROUND((N57+U57+V57)/(L57+U57+V57+Z57),3)</f>
        <v>0.36</v>
      </c>
      <c r="AC57" s="29" t="n">
        <f aca="false">ROUND(((N57-O57-P57-Q57)+2*O57+3*P57+4*Q57)/L57,3)</f>
        <v>0.361</v>
      </c>
      <c r="AD57" s="29" t="n">
        <f aca="false">ROUND(AB57+AC57,3)</f>
        <v>0.721</v>
      </c>
      <c r="AE57" s="30" t="n">
        <f aca="false">ROUND((('연도별 상수'!$N$46*(U57-W57))+('연도별 상수'!$O$46*V57)+('연도별 상수'!$P$46*(N57-O57-P57-Q57))+('연도별 상수'!$Q$46*O57)+('연도별 상수'!$R$46*P57)+('연도별 상수'!$S$46*Q57))/(L57+U57+V57-W57+Z57),3)</f>
        <v>0.333</v>
      </c>
      <c r="AF57" s="31" t="n">
        <f aca="false">'연도별 상수'!AG$7</f>
        <v>-5.5</v>
      </c>
      <c r="AG57" s="9" t="n">
        <f aca="false">'연도별 상수'!AH$7</f>
        <v>-5</v>
      </c>
      <c r="AH57" s="9" t="n">
        <f aca="false">'연도별 상수'!$B$46</f>
        <v>0.871842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9" t="n">
        <v>4</v>
      </c>
      <c r="AP57" s="1" t="n">
        <f aca="false">K57</f>
        <v>191</v>
      </c>
      <c r="AQ57" s="7" t="n">
        <v>0</v>
      </c>
    </row>
    <row r="58" customFormat="false" ht="26.25" hidden="false" customHeight="true" outlineLevel="0" collapsed="false">
      <c r="A58" s="10" t="n">
        <v>57</v>
      </c>
      <c r="B58" s="23" t="s">
        <v>108</v>
      </c>
      <c r="C58" s="24" t="str">
        <f aca="false">'연도별 상수'!AE$7</f>
        <v>LF</v>
      </c>
      <c r="D58" s="25" t="s">
        <v>47</v>
      </c>
      <c r="E58" s="24" t="n">
        <f aca="false">'연도별 상수'!$A$46</f>
        <v>2026</v>
      </c>
      <c r="F58" s="26" t="n">
        <f aca="false">ROUND(((H58)+(I58)+(AG58*K58/600)+(20*K58/600))/'연도별 상수'!$U$46,2)</f>
        <v>0.27</v>
      </c>
      <c r="G58" s="27" t="n">
        <f aca="false">ROUND(100*(((((AE58-'리그 타자'!$B$46)/'연도별 상수'!$T$46)+'연도별 상수'!$W$46))+('연도별 상수'!$W$46*(1-AH58)))/'연도별 상수'!$W$46,1)</f>
        <v>102.9</v>
      </c>
      <c r="H58" s="27" t="n">
        <f aca="false">ROUND((((AE58-'리그 타자'!$B$46)/'연도별 상수'!$T$46)*K58/AH58)+(S58*'연도별 상수'!$AB$46-T58*'연도별 상수'!$AC$46)-((S58+T58)*('연도별 상수'!$AD$46*0.2-(1-'연도별 상수'!$AD$46)*0.4))+0.05*(S58+O58+P58),1)</f>
        <v>0.1</v>
      </c>
      <c r="I58" s="27" t="n">
        <f aca="false">ROUND((0.75*AO58)+(AF58*(J58/144)),1)</f>
        <v>-5.4</v>
      </c>
      <c r="J58" s="28" t="n">
        <v>82</v>
      </c>
      <c r="K58" s="28" t="n">
        <v>330</v>
      </c>
      <c r="L58" s="28" t="n">
        <v>304</v>
      </c>
      <c r="M58" s="28" t="n">
        <v>44</v>
      </c>
      <c r="N58" s="28" t="n">
        <v>86</v>
      </c>
      <c r="O58" s="28" t="n">
        <v>11</v>
      </c>
      <c r="P58" s="28" t="n">
        <v>3</v>
      </c>
      <c r="Q58" s="28" t="n">
        <v>8</v>
      </c>
      <c r="R58" s="28" t="n">
        <v>39</v>
      </c>
      <c r="S58" s="7" t="n">
        <v>16</v>
      </c>
      <c r="T58" s="7" t="n">
        <v>3</v>
      </c>
      <c r="U58" s="28" t="n">
        <v>19</v>
      </c>
      <c r="V58" s="28" t="n">
        <v>0</v>
      </c>
      <c r="W58" s="28" t="n">
        <v>0</v>
      </c>
      <c r="X58" s="28" t="n">
        <v>62</v>
      </c>
      <c r="Y58" s="28" t="n">
        <v>2</v>
      </c>
      <c r="Z58" s="28" t="n">
        <v>0</v>
      </c>
      <c r="AA58" s="29" t="n">
        <f aca="false">ROUND(N58/L58,3)</f>
        <v>0.283</v>
      </c>
      <c r="AB58" s="29" t="n">
        <f aca="false">ROUND((N58+U58+V58)/(L58+U58+V58+Z58),3)</f>
        <v>0.325</v>
      </c>
      <c r="AC58" s="29" t="n">
        <f aca="false">ROUND(((N58-O58-P58-Q58)+2*O58+3*P58+4*Q58)/L58,3)</f>
        <v>0.418</v>
      </c>
      <c r="AD58" s="29" t="n">
        <f aca="false">ROUND(AB58+AC58,3)</f>
        <v>0.743</v>
      </c>
      <c r="AE58" s="30" t="n">
        <f aca="false">ROUND((('연도별 상수'!$N$46*(U58-W58))+('연도별 상수'!$O$46*V58)+('연도별 상수'!$P$46*(N58-O58-P58-Q58))+('연도별 상수'!$Q$46*O58)+('연도별 상수'!$R$46*P58)+('연도별 상수'!$S$46*Q58))/(L58+U58+V58-W58+Z58),3)</f>
        <v>0.338</v>
      </c>
      <c r="AF58" s="31" t="n">
        <f aca="false">'연도별 상수'!AG$7</f>
        <v>-5.5</v>
      </c>
      <c r="AG58" s="9" t="n">
        <f aca="false">'연도별 상수'!AH$7</f>
        <v>-5</v>
      </c>
      <c r="AH58" s="9" t="n">
        <f aca="false">'연도별 상수'!$G$46</f>
        <v>0.919389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9" t="n">
        <v>-3</v>
      </c>
      <c r="AP58" s="1" t="n">
        <f aca="false">K58</f>
        <v>330</v>
      </c>
      <c r="AQ58" s="7" t="n">
        <v>0</v>
      </c>
    </row>
    <row r="59" customFormat="false" ht="26.25" hidden="false" customHeight="true" outlineLevel="0" collapsed="false">
      <c r="A59" s="10" t="n">
        <v>58</v>
      </c>
      <c r="B59" s="23" t="s">
        <v>109</v>
      </c>
      <c r="C59" s="24" t="str">
        <f aca="false">'연도별 상수'!AE$2</f>
        <v>C</v>
      </c>
      <c r="D59" s="25" t="s">
        <v>76</v>
      </c>
      <c r="E59" s="24" t="n">
        <f aca="false">'연도별 상수'!$A$46</f>
        <v>2026</v>
      </c>
      <c r="F59" s="26" t="n">
        <f aca="false">ROUND(((H59)+(I59)+(AG59*K59/600)+(20*K59/600))/'연도별 상수'!$U$46,2)</f>
        <v>0.39</v>
      </c>
      <c r="G59" s="27" t="n">
        <f aca="false">ROUND(100*(((((AE59-'리그 타자'!$B$46)/'연도별 상수'!$T$46)+'연도별 상수'!$W$46))+('연도별 상수'!$W$46*(1-AH59)))/'연도별 상수'!$W$46,1)</f>
        <v>51.6</v>
      </c>
      <c r="H59" s="27" t="n">
        <f aca="false">ROUND((((AE59-'리그 타자'!$B$46)/'연도별 상수'!$T$46)*K59/AH59)+(S59*'연도별 상수'!$AB$46-T59*'연도별 상수'!$AC$46)-((S59+T59)*('연도별 상수'!$AD$46*0.2-(1-'연도별 상수'!$AD$46)*0.4))+0.05*(S59+O59+P59),1)</f>
        <v>-6.9</v>
      </c>
      <c r="I59" s="27" t="n">
        <f aca="false">ROUND((0.75*AO59)+(AF59*(J59/144)),1)</f>
        <v>0.6</v>
      </c>
      <c r="J59" s="28" t="n">
        <v>79</v>
      </c>
      <c r="K59" s="28" t="n">
        <v>210</v>
      </c>
      <c r="L59" s="28" t="n">
        <v>186</v>
      </c>
      <c r="M59" s="28" t="n">
        <v>21</v>
      </c>
      <c r="N59" s="28" t="n">
        <v>44</v>
      </c>
      <c r="O59" s="28" t="n">
        <v>11</v>
      </c>
      <c r="P59" s="28" t="n">
        <v>0</v>
      </c>
      <c r="Q59" s="28" t="n">
        <v>2</v>
      </c>
      <c r="R59" s="28" t="n">
        <v>17</v>
      </c>
      <c r="S59" s="7" t="n">
        <v>0</v>
      </c>
      <c r="T59" s="7" t="n">
        <v>0</v>
      </c>
      <c r="U59" s="28" t="n">
        <v>15</v>
      </c>
      <c r="V59" s="28" t="n">
        <v>3</v>
      </c>
      <c r="W59" s="28" t="n">
        <v>0</v>
      </c>
      <c r="X59" s="28" t="n">
        <v>37</v>
      </c>
      <c r="Y59" s="28" t="n">
        <v>2</v>
      </c>
      <c r="Z59" s="28" t="n">
        <v>1</v>
      </c>
      <c r="AA59" s="29" t="n">
        <f aca="false">ROUND(N59/L59,3)</f>
        <v>0.237</v>
      </c>
      <c r="AB59" s="29" t="n">
        <f aca="false">ROUND((N59+U59+V59)/(L59+U59+V59+Z59),3)</f>
        <v>0.302</v>
      </c>
      <c r="AC59" s="29" t="n">
        <f aca="false">ROUND(((N59-O59-P59-Q59)+2*O59+3*P59+4*Q59)/L59,3)</f>
        <v>0.328</v>
      </c>
      <c r="AD59" s="29" t="n">
        <f aca="false">ROUND(AB59+AC59,3)</f>
        <v>0.63</v>
      </c>
      <c r="AE59" s="30" t="n">
        <f aca="false">ROUND((('연도별 상수'!$N$46*(U59-W59))+('연도별 상수'!$O$46*V59)+('연도별 상수'!$P$46*(N59-O59-P59-Q59))+('연도별 상수'!$Q$46*O59)+('연도별 상수'!$R$46*P59)+('연도별 상수'!$S$46*Q59))/(L59+U59+V59-W59+Z59),3)</f>
        <v>0.295</v>
      </c>
      <c r="AF59" s="31" t="n">
        <f aca="false">'연도별 상수'!AG$2</f>
        <v>5.22</v>
      </c>
      <c r="AG59" s="9" t="n">
        <f aca="false">'연도별 상수'!AH$2</f>
        <v>10</v>
      </c>
      <c r="AH59" s="9" t="n">
        <f aca="false">'연도별 상수'!$I$46</f>
        <v>1.163773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9" t="n">
        <v>-3</v>
      </c>
      <c r="AP59" s="1" t="n">
        <f aca="false">K59</f>
        <v>210</v>
      </c>
      <c r="AQ59" s="7" t="n">
        <v>0</v>
      </c>
    </row>
    <row r="60" customFormat="false" ht="26.25" hidden="false" customHeight="true" outlineLevel="0" collapsed="false">
      <c r="A60" s="10" t="n">
        <v>59</v>
      </c>
      <c r="B60" s="23" t="s">
        <v>110</v>
      </c>
      <c r="C60" s="24" t="str">
        <f aca="false">'연도별 상수'!AE$5</f>
        <v>3B</v>
      </c>
      <c r="D60" s="25" t="s">
        <v>76</v>
      </c>
      <c r="E60" s="24" t="n">
        <f aca="false">'연도별 상수'!$A$46</f>
        <v>2026</v>
      </c>
      <c r="F60" s="26" t="n">
        <f aca="false">ROUND(((H60)+(I60)+(AG60*K60/600)+(20*K60/600))/'연도별 상수'!$U$46,2)</f>
        <v>0.31</v>
      </c>
      <c r="G60" s="27" t="n">
        <f aca="false">ROUND(100*(((((AE60-'리그 타자'!$B$46)/'연도별 상수'!$T$46)+'연도별 상수'!$W$46))+('연도별 상수'!$W$46*(1-AH60)))/'연도별 상수'!$W$46,1)</f>
        <v>86.5</v>
      </c>
      <c r="H60" s="27" t="n">
        <f aca="false">ROUND((((AE60-'리그 타자'!$B$46)/'연도별 상수'!$T$46)*K60/AH60)+(S60*'연도별 상수'!$AB$46-T60*'연도별 상수'!$AC$46)-((S60+T60)*('연도별 상수'!$AD$46*0.2-(1-'연도별 상수'!$AD$46)*0.4))+0.05*(S60+O60+P60),1)</f>
        <v>1.3</v>
      </c>
      <c r="I60" s="27" t="n">
        <f aca="false">ROUND((0.75*AO60)+(AF60*(J60/144)),1)</f>
        <v>-4.4</v>
      </c>
      <c r="J60" s="28" t="n">
        <v>50</v>
      </c>
      <c r="K60" s="28" t="n">
        <v>204</v>
      </c>
      <c r="L60" s="28" t="n">
        <v>182</v>
      </c>
      <c r="M60" s="28" t="n">
        <v>24</v>
      </c>
      <c r="N60" s="28" t="n">
        <v>51</v>
      </c>
      <c r="O60" s="28" t="n">
        <v>8</v>
      </c>
      <c r="P60" s="28" t="n">
        <v>0</v>
      </c>
      <c r="Q60" s="28" t="n">
        <v>7</v>
      </c>
      <c r="R60" s="28" t="n">
        <v>24</v>
      </c>
      <c r="S60" s="7" t="n">
        <v>1</v>
      </c>
      <c r="T60" s="7" t="n">
        <v>0</v>
      </c>
      <c r="U60" s="28" t="n">
        <v>16</v>
      </c>
      <c r="V60" s="28" t="n">
        <v>3</v>
      </c>
      <c r="W60" s="28" t="n">
        <v>2</v>
      </c>
      <c r="X60" s="28" t="n">
        <v>35</v>
      </c>
      <c r="Y60" s="28" t="n">
        <v>10</v>
      </c>
      <c r="Z60" s="28" t="n">
        <v>3</v>
      </c>
      <c r="AA60" s="29" t="n">
        <f aca="false">ROUND(N60/L60,3)</f>
        <v>0.28</v>
      </c>
      <c r="AB60" s="29" t="n">
        <f aca="false">ROUND((N60+U60+V60)/(L60+U60+V60+Z60),3)</f>
        <v>0.343</v>
      </c>
      <c r="AC60" s="29" t="n">
        <f aca="false">ROUND(((N60-O60-P60-Q60)+2*O60+3*P60+4*Q60)/L60,3)</f>
        <v>0.44</v>
      </c>
      <c r="AD60" s="29" t="n">
        <f aca="false">ROUND(AB60+AC60,3)</f>
        <v>0.783</v>
      </c>
      <c r="AE60" s="30" t="n">
        <f aca="false">ROUND((('연도별 상수'!$N$46*(U60-W60))+('연도별 상수'!$O$46*V60)+('연도별 상수'!$P$46*(N60-O60-P60-Q60))+('연도별 상수'!$Q$46*O60)+('연도별 상수'!$R$46*P60)+('연도별 상수'!$S$46*Q60))/(L60+U60+V60-W60+Z60),3)</f>
        <v>0.351</v>
      </c>
      <c r="AF60" s="31" t="n">
        <f aca="false">'연도별 상수'!AG$5</f>
        <v>0.22</v>
      </c>
      <c r="AG60" s="9" t="n">
        <f aca="false">'연도별 상수'!AH$5</f>
        <v>-1</v>
      </c>
      <c r="AH60" s="9" t="n">
        <f aca="false">'연도별 상수'!$I$46</f>
        <v>1.163773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9" t="n">
        <v>-6</v>
      </c>
      <c r="AP60" s="1" t="n">
        <f aca="false">K60</f>
        <v>204</v>
      </c>
      <c r="AQ60" s="7" t="n">
        <v>0</v>
      </c>
    </row>
    <row r="61" customFormat="false" ht="26.25" hidden="false" customHeight="true" outlineLevel="0" collapsed="false">
      <c r="A61" s="10" t="n">
        <v>60</v>
      </c>
      <c r="B61" s="23" t="s">
        <v>111</v>
      </c>
      <c r="C61" s="24" t="str">
        <f aca="false">'연도별 상수'!AE$2</f>
        <v>C</v>
      </c>
      <c r="D61" s="25" t="s">
        <v>56</v>
      </c>
      <c r="E61" s="24" t="n">
        <f aca="false">'연도별 상수'!$A$46</f>
        <v>2026</v>
      </c>
      <c r="F61" s="26" t="n">
        <f aca="false">ROUND(((H61)+(I61)+(AG61*K61/600)+(20*K61/600))/'연도별 상수'!$U$46,2)</f>
        <v>0.25</v>
      </c>
      <c r="G61" s="27" t="n">
        <f aca="false">ROUND(100*(((((AE61-'리그 타자'!$B$46)/'연도별 상수'!$T$46)+'연도별 상수'!$W$46))+('연도별 상수'!$W$46*(1-AH61)))/'연도별 상수'!$W$46,1)</f>
        <v>51.1</v>
      </c>
      <c r="H61" s="27" t="n">
        <f aca="false">ROUND((((AE61-'리그 타자'!$B$46)/'연도별 상수'!$T$46)*K61/AH61)+(S61*'연도별 상수'!$AB$46-T61*'연도별 상수'!$AC$46)-((S61+T61)*('연도별 상수'!$AD$46*0.2-(1-'연도별 상수'!$AD$46)*0.4))+0.05*(S61+O61+P61),1)</f>
        <v>-9.7</v>
      </c>
      <c r="I61" s="27" t="n">
        <f aca="false">ROUND((0.75*AO61)+(AF61*(J61/144)),1)</f>
        <v>2.5</v>
      </c>
      <c r="J61" s="28" t="n">
        <v>70</v>
      </c>
      <c r="K61" s="28" t="n">
        <v>197</v>
      </c>
      <c r="L61" s="28" t="n">
        <v>162</v>
      </c>
      <c r="M61" s="28" t="n">
        <v>20</v>
      </c>
      <c r="N61" s="28" t="n">
        <v>35</v>
      </c>
      <c r="O61" s="28" t="n">
        <v>7</v>
      </c>
      <c r="P61" s="28" t="n">
        <v>0</v>
      </c>
      <c r="Q61" s="28" t="n">
        <v>1</v>
      </c>
      <c r="R61" s="28" t="n">
        <v>17</v>
      </c>
      <c r="S61" s="7" t="n">
        <v>0</v>
      </c>
      <c r="T61" s="7" t="n">
        <v>0</v>
      </c>
      <c r="U61" s="28" t="n">
        <v>19</v>
      </c>
      <c r="V61" s="28" t="n">
        <v>2</v>
      </c>
      <c r="W61" s="28" t="n">
        <v>0</v>
      </c>
      <c r="X61" s="28" t="n">
        <v>45</v>
      </c>
      <c r="Y61" s="28" t="n">
        <v>1</v>
      </c>
      <c r="Z61" s="28" t="n">
        <v>2</v>
      </c>
      <c r="AA61" s="29" t="n">
        <f aca="false">ROUND(N61/L61,3)</f>
        <v>0.216</v>
      </c>
      <c r="AB61" s="29" t="n">
        <f aca="false">ROUND((N61+U61+V61)/(L61+U61+V61+Z61),3)</f>
        <v>0.303</v>
      </c>
      <c r="AC61" s="29" t="n">
        <f aca="false">ROUND(((N61-O61-P61-Q61)+2*O61+3*P61+4*Q61)/L61,3)</f>
        <v>0.278</v>
      </c>
      <c r="AD61" s="29" t="n">
        <f aca="false">ROUND(AB61+AC61,3)</f>
        <v>0.581</v>
      </c>
      <c r="AE61" s="30" t="n">
        <f aca="false">ROUND((('연도별 상수'!$N$46*(U61-W61))+('연도별 상수'!$O$46*V61)+('연도별 상수'!$P$46*(N61-O61-P61-Q61))+('연도별 상수'!$Q$46*O61)+('연도별 상수'!$R$46*P61)+('연도별 상수'!$S$46*Q61))/(L61+U61+V61-W61+Z61),3)</f>
        <v>0.279</v>
      </c>
      <c r="AF61" s="31" t="n">
        <f aca="false">'연도별 상수'!AG$2</f>
        <v>5.22</v>
      </c>
      <c r="AG61" s="9" t="n">
        <f aca="false">'연도별 상수'!AH$2</f>
        <v>10</v>
      </c>
      <c r="AH61" s="9" t="n">
        <f aca="false">'연도별 상수'!$E$46</f>
        <v>1.069855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9" t="n">
        <v>0</v>
      </c>
      <c r="AP61" s="1" t="n">
        <f aca="false">K61</f>
        <v>197</v>
      </c>
      <c r="AQ61" s="7" t="n">
        <v>0</v>
      </c>
    </row>
    <row r="62" customFormat="false" ht="26.25" hidden="false" customHeight="true" outlineLevel="0" collapsed="false">
      <c r="A62" s="10" t="n">
        <v>61</v>
      </c>
      <c r="B62" s="23" t="s">
        <v>112</v>
      </c>
      <c r="C62" s="24" t="str">
        <f aca="false">'연도별 상수'!AE$2</f>
        <v>C</v>
      </c>
      <c r="D62" s="25" t="s">
        <v>50</v>
      </c>
      <c r="E62" s="24" t="n">
        <f aca="false">'연도별 상수'!$A$46</f>
        <v>2026</v>
      </c>
      <c r="F62" s="26" t="n">
        <f aca="false">ROUND(((H62)+(I62)+(AG62*K62/600)+(20*K62/600))/'연도별 상수'!$U$46,2)</f>
        <v>0.12</v>
      </c>
      <c r="G62" s="27" t="n">
        <f aca="false">ROUND(100*(((((AE62-'리그 타자'!$B$46)/'연도별 상수'!$T$46)+'연도별 상수'!$W$46))+('연도별 상수'!$W$46*(1-AH62)))/'연도별 상수'!$W$46,1)</f>
        <v>64.3</v>
      </c>
      <c r="H62" s="27" t="n">
        <f aca="false">ROUND((((AE62-'리그 타자'!$B$46)/'연도별 상수'!$T$46)*K62/AH62)+(S62*'연도별 상수'!$AB$46-T62*'연도별 상수'!$AC$46)-((S62+T62)*('연도별 상수'!$AD$46*0.2-(1-'연도별 상수'!$AD$46)*0.4))+0.05*(S62+O62+P62),1)</f>
        <v>-11.4</v>
      </c>
      <c r="I62" s="27" t="n">
        <f aca="false">ROUND((0.75*AO62)+(AF62*(J62/144)),1)</f>
        <v>2.2</v>
      </c>
      <c r="J62" s="28" t="n">
        <v>61</v>
      </c>
      <c r="K62" s="28" t="n">
        <v>211</v>
      </c>
      <c r="L62" s="28" t="n">
        <v>188</v>
      </c>
      <c r="M62" s="28" t="n">
        <v>22</v>
      </c>
      <c r="N62" s="28" t="n">
        <v>42</v>
      </c>
      <c r="O62" s="28" t="n">
        <v>11</v>
      </c>
      <c r="P62" s="28" t="n">
        <v>0</v>
      </c>
      <c r="Q62" s="28" t="n">
        <v>3</v>
      </c>
      <c r="R62" s="28" t="n">
        <v>20</v>
      </c>
      <c r="S62" s="7" t="n">
        <v>0</v>
      </c>
      <c r="T62" s="7" t="n">
        <v>0</v>
      </c>
      <c r="U62" s="28" t="n">
        <v>12</v>
      </c>
      <c r="V62" s="28" t="n">
        <v>3</v>
      </c>
      <c r="W62" s="28" t="n">
        <v>0</v>
      </c>
      <c r="X62" s="28" t="n">
        <v>40</v>
      </c>
      <c r="Y62" s="28" t="n">
        <v>5</v>
      </c>
      <c r="Z62" s="28" t="n">
        <v>3</v>
      </c>
      <c r="AA62" s="29" t="n">
        <f aca="false">ROUND(N62/L62,3)</f>
        <v>0.223</v>
      </c>
      <c r="AB62" s="29" t="n">
        <f aca="false">ROUND((N62+U62+V62)/(L62+U62+V62+Z62),3)</f>
        <v>0.277</v>
      </c>
      <c r="AC62" s="29" t="n">
        <f aca="false">ROUND(((N62-O62-P62-Q62)+2*O62+3*P62+4*Q62)/L62,3)</f>
        <v>0.33</v>
      </c>
      <c r="AD62" s="29" t="n">
        <f aca="false">ROUND(AB62+AC62,3)</f>
        <v>0.607</v>
      </c>
      <c r="AE62" s="30" t="n">
        <f aca="false">ROUND((('연도별 상수'!$N$46*(U62-W62))+('연도별 상수'!$O$46*V62)+('연도별 상수'!$P$46*(N62-O62-P62-Q62))+('연도별 상수'!$Q$46*O62)+('연도별 상수'!$R$46*P62)+('연도별 상수'!$S$46*Q62))/(L62+U62+V62-W62+Z62),3)</f>
        <v>0.28</v>
      </c>
      <c r="AF62" s="31" t="n">
        <f aca="false">'연도별 상수'!AG$2</f>
        <v>5.22</v>
      </c>
      <c r="AG62" s="9" t="n">
        <f aca="false">'연도별 상수'!AH$2</f>
        <v>10</v>
      </c>
      <c r="AH62" s="9" t="n">
        <f aca="false">'연도별 상수'!$D$46</f>
        <v>0.943387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9" t="n">
        <v>0</v>
      </c>
      <c r="AP62" s="1" t="n">
        <f aca="false">K62</f>
        <v>211</v>
      </c>
      <c r="AQ62" s="7" t="n">
        <v>0</v>
      </c>
    </row>
    <row r="63" customFormat="false" ht="26.25" hidden="false" customHeight="true" outlineLevel="0" collapsed="false">
      <c r="A63" s="10" t="n">
        <v>62</v>
      </c>
      <c r="B63" s="23" t="s">
        <v>113</v>
      </c>
      <c r="C63" s="24" t="str">
        <f aca="false">'연도별 상수'!AE$10</f>
        <v>DH</v>
      </c>
      <c r="D63" s="25" t="s">
        <v>43</v>
      </c>
      <c r="E63" s="24" t="n">
        <f aca="false">'연도별 상수'!$A$46</f>
        <v>2026</v>
      </c>
      <c r="F63" s="26" t="n">
        <f aca="false">ROUND(((H63)+(I63)+(AG63*K63/600)+(20*K63/600))/'연도별 상수'!$U$46,2)</f>
        <v>0.1</v>
      </c>
      <c r="G63" s="27" t="n">
        <f aca="false">ROUND(100*(((((AE63-'리그 타자'!$B$46)/'연도별 상수'!$T$46)+'연도별 상수'!$W$46))+('연도별 상수'!$W$46*(1-AH63)))/'연도별 상수'!$W$46,1)</f>
        <v>114.5</v>
      </c>
      <c r="H63" s="27" t="n">
        <f aca="false">ROUND((((AE63-'리그 타자'!$B$46)/'연도별 상수'!$T$46)*K63/AH63)+(S63*'연도별 상수'!$AB$46-T63*'연도별 상수'!$AC$46)-((S63+T63)*('연도별 상수'!$AD$46*0.2-(1-'연도별 상수'!$AD$46)*0.4))+0.05*(S63+O63+P63),1)</f>
        <v>0.9</v>
      </c>
      <c r="I63" s="27" t="n">
        <f aca="false">ROUND((0.75*AO63)+(AF63*(J63/144)),1)</f>
        <v>-3.6</v>
      </c>
      <c r="J63" s="28" t="n">
        <v>59</v>
      </c>
      <c r="K63" s="28" t="n">
        <v>246</v>
      </c>
      <c r="L63" s="28" t="n">
        <v>201</v>
      </c>
      <c r="M63" s="28" t="n">
        <v>24</v>
      </c>
      <c r="N63" s="28" t="n">
        <v>51</v>
      </c>
      <c r="O63" s="28" t="n">
        <v>6</v>
      </c>
      <c r="P63" s="28" t="n">
        <v>0</v>
      </c>
      <c r="Q63" s="28" t="n">
        <v>7</v>
      </c>
      <c r="R63" s="28" t="n">
        <v>39</v>
      </c>
      <c r="S63" s="7" t="n">
        <v>0</v>
      </c>
      <c r="T63" s="7" t="n">
        <v>0</v>
      </c>
      <c r="U63" s="28" t="n">
        <v>39</v>
      </c>
      <c r="V63" s="28" t="n">
        <v>1</v>
      </c>
      <c r="W63" s="28" t="n">
        <v>3</v>
      </c>
      <c r="X63" s="28" t="n">
        <v>46</v>
      </c>
      <c r="Y63" s="28" t="n">
        <v>7</v>
      </c>
      <c r="Z63" s="28" t="n">
        <v>5</v>
      </c>
      <c r="AA63" s="29" t="n">
        <f aca="false">ROUND(N63/L63,3)</f>
        <v>0.254</v>
      </c>
      <c r="AB63" s="29" t="n">
        <f aca="false">ROUND((N63+U63+V63)/(L63+U63+V63+Z63),3)</f>
        <v>0.37</v>
      </c>
      <c r="AC63" s="29" t="n">
        <f aca="false">ROUND(((N63-O63-P63-Q63)+2*O63+3*P63+4*Q63)/L63,3)</f>
        <v>0.388</v>
      </c>
      <c r="AD63" s="29" t="n">
        <f aca="false">ROUND(AB63+AC63,3)</f>
        <v>0.758</v>
      </c>
      <c r="AE63" s="30" t="n">
        <f aca="false">ROUND((('연도별 상수'!$N$46*(U63-W63))+('연도별 상수'!$O$46*V63)+('연도별 상수'!$P$46*(N63-O63-P63-Q63))+('연도별 상수'!$Q$46*O63)+('연도별 상수'!$R$46*P63)+('연도별 상수'!$S$46*Q63))/(L63+U63+V63-W63+Z63),3)</f>
        <v>0.349</v>
      </c>
      <c r="AF63" s="31" t="n">
        <f aca="false">(('연도별 상수'!AG$10*(J63-4-16))+'연도별 상수'!AG$3*4+'연도별 상수'!AG$5*16)/J63</f>
        <v>-8.89593220338983</v>
      </c>
      <c r="AG63" s="9" t="n">
        <f aca="false">(('연도별 상수'!AH$10*(J63-4-16))+'연도별 상수'!AH$3*4+'연도별 상수'!AH$5*16)/J63</f>
        <v>-10.728813559322</v>
      </c>
      <c r="AH63" s="9" t="n">
        <f aca="false">'연도별 상수'!$B$46</f>
        <v>0.871842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9" t="n">
        <v>0</v>
      </c>
      <c r="AP63" s="1" t="n">
        <f aca="false">K63</f>
        <v>246</v>
      </c>
      <c r="AQ63" s="7" t="n">
        <v>0</v>
      </c>
    </row>
    <row r="64" customFormat="false" ht="26.25" hidden="false" customHeight="true" outlineLevel="0" collapsed="false">
      <c r="A64" s="10" t="n">
        <v>63</v>
      </c>
      <c r="B64" s="23" t="s">
        <v>114</v>
      </c>
      <c r="C64" s="24" t="str">
        <f aca="false">'연도별 상수'!AE$4</f>
        <v>2B</v>
      </c>
      <c r="D64" s="25" t="s">
        <v>62</v>
      </c>
      <c r="E64" s="24" t="n">
        <f aca="false">'연도별 상수'!$A$46</f>
        <v>2026</v>
      </c>
      <c r="F64" s="26" t="n">
        <f aca="false">ROUND(((H64)+(I64)+(AG64*K64/600)+(20*K64/600))/'연도별 상수'!$U$46,2)</f>
        <v>0.17</v>
      </c>
      <c r="G64" s="27" t="n">
        <f aca="false">ROUND(100*(((((AE64-'리그 타자'!$B$46)/'연도별 상수'!$T$46)+'연도별 상수'!$W$46))+('연도별 상수'!$W$46*(1-AH64)))/'연도별 상수'!$W$46,1)</f>
        <v>52.8</v>
      </c>
      <c r="H64" s="27" t="n">
        <f aca="false">ROUND((((AE64-'리그 타자'!$B$46)/'연도별 상수'!$T$46)*K64/AH64)+(S64*'연도별 상수'!$AB$46-T64*'연도별 상수'!$AC$46)-((S64+T64)*('연도별 상수'!$AD$46*0.2-(1-'연도별 상수'!$AD$46)*0.4))+0.05*(S64+O64+P64),1)</f>
        <v>-7.7</v>
      </c>
      <c r="I64" s="27" t="n">
        <f aca="false">ROUND((0.75*AO64)+(AF64*(J64/144)),1)</f>
        <v>-0.1</v>
      </c>
      <c r="J64" s="28" t="n">
        <v>72</v>
      </c>
      <c r="K64" s="28" t="n">
        <v>250</v>
      </c>
      <c r="L64" s="28" t="n">
        <v>231</v>
      </c>
      <c r="M64" s="28" t="n">
        <v>26</v>
      </c>
      <c r="N64" s="28" t="n">
        <v>62</v>
      </c>
      <c r="O64" s="28" t="n">
        <v>12</v>
      </c>
      <c r="P64" s="28" t="n">
        <v>2</v>
      </c>
      <c r="Q64" s="28" t="n">
        <v>1</v>
      </c>
      <c r="R64" s="28" t="n">
        <v>29</v>
      </c>
      <c r="S64" s="7" t="n">
        <v>2</v>
      </c>
      <c r="T64" s="7" t="n">
        <v>1</v>
      </c>
      <c r="U64" s="28" t="n">
        <v>11</v>
      </c>
      <c r="V64" s="28" t="n">
        <v>2</v>
      </c>
      <c r="W64" s="28" t="n">
        <v>1</v>
      </c>
      <c r="X64" s="28" t="n">
        <v>38</v>
      </c>
      <c r="Y64" s="28" t="n">
        <v>1</v>
      </c>
      <c r="Z64" s="28" t="n">
        <v>3</v>
      </c>
      <c r="AA64" s="29" t="n">
        <f aca="false">ROUND(N64/L64,3)</f>
        <v>0.268</v>
      </c>
      <c r="AB64" s="29" t="n">
        <f aca="false">ROUND((N64+U64+V64)/(L64+U64+V64+Z64),3)</f>
        <v>0.304</v>
      </c>
      <c r="AC64" s="29" t="n">
        <f aca="false">ROUND(((N64-O64-P64-Q64)+2*O64+3*P64+4*Q64)/L64,3)</f>
        <v>0.351</v>
      </c>
      <c r="AD64" s="29" t="n">
        <f aca="false">ROUND(AB64+AC64,3)</f>
        <v>0.655</v>
      </c>
      <c r="AE64" s="30" t="n">
        <f aca="false">ROUND((('연도별 상수'!$N$46*(U64-W64))+('연도별 상수'!$O$46*V64)+('연도별 상수'!$P$46*(N64-O64-P64-Q64))+('연도별 상수'!$Q$46*O64)+('연도별 상수'!$R$46*P64)+('연도별 상수'!$S$46*Q64))/(L64+U64+V64-W64+Z64),3)</f>
        <v>0.298</v>
      </c>
      <c r="AF64" s="31" t="n">
        <f aca="false">'연도별 상수'!AG$4</f>
        <v>1.22</v>
      </c>
      <c r="AG64" s="9" t="n">
        <f aca="false">'연도별 상수'!AH$4</f>
        <v>3</v>
      </c>
      <c r="AH64" s="9" t="n">
        <f aca="false">'연도별 상수'!$F$46</f>
        <v>1.170772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9" t="n">
        <v>-1</v>
      </c>
      <c r="AP64" s="1" t="n">
        <f aca="false">K64</f>
        <v>250</v>
      </c>
      <c r="AQ64" s="7" t="n">
        <v>0</v>
      </c>
    </row>
    <row r="65" customFormat="false" ht="26.25" hidden="false" customHeight="true" outlineLevel="0" collapsed="false">
      <c r="A65" s="10" t="n">
        <v>64</v>
      </c>
      <c r="B65" s="23" t="s">
        <v>115</v>
      </c>
      <c r="C65" s="24" t="str">
        <f aca="false">'연도별 상수'!AE$5</f>
        <v>3B</v>
      </c>
      <c r="D65" s="25" t="s">
        <v>43</v>
      </c>
      <c r="E65" s="24" t="n">
        <f aca="false">'연도별 상수'!$A$46</f>
        <v>2026</v>
      </c>
      <c r="F65" s="26" t="n">
        <f aca="false">ROUND(((H65)+(I65)+(AG65*K65/600)+(20*K65/600))/'연도별 상수'!$U$46,2)</f>
        <v>0.03</v>
      </c>
      <c r="G65" s="27" t="n">
        <f aca="false">ROUND(100*(((((AE65-'리그 타자'!$B$46)/'연도별 상수'!$T$46)+'연도별 상수'!$W$46))+('연도별 상수'!$W$46*(1-AH65)))/'연도별 상수'!$W$46,1)</f>
        <v>102</v>
      </c>
      <c r="H65" s="27" t="n">
        <f aca="false">ROUND((((AE65-'리그 타자'!$B$46)/'연도별 상수'!$T$46)*K65/AH65)+(S65*'연도별 상수'!$AB$46-T65*'연도별 상수'!$AC$46)-((S65+T65)*('연도별 상수'!$AD$46*0.2-(1-'연도별 상수'!$AD$46)*0.4))+0.05*(S65+O65+P65),1)</f>
        <v>-2.2</v>
      </c>
      <c r="I65" s="27" t="n">
        <f aca="false">ROUND((0.75*AO65)+(AF65*(J65/144)),1)</f>
        <v>-4.4</v>
      </c>
      <c r="J65" s="28" t="n">
        <v>74</v>
      </c>
      <c r="K65" s="28" t="n">
        <v>218</v>
      </c>
      <c r="L65" s="28" t="n">
        <v>199</v>
      </c>
      <c r="M65" s="28" t="n">
        <v>33</v>
      </c>
      <c r="N65" s="28" t="n">
        <v>56</v>
      </c>
      <c r="O65" s="28" t="n">
        <v>14</v>
      </c>
      <c r="P65" s="28" t="n">
        <v>1</v>
      </c>
      <c r="Q65" s="28" t="n">
        <v>1</v>
      </c>
      <c r="R65" s="28" t="n">
        <v>26</v>
      </c>
      <c r="S65" s="7" t="n">
        <v>5</v>
      </c>
      <c r="T65" s="7" t="n">
        <v>1</v>
      </c>
      <c r="U65" s="28" t="n">
        <v>14</v>
      </c>
      <c r="V65" s="28" t="n">
        <v>3</v>
      </c>
      <c r="W65" s="28" t="n">
        <v>1</v>
      </c>
      <c r="X65" s="28" t="n">
        <v>31</v>
      </c>
      <c r="Y65" s="28" t="n">
        <v>7</v>
      </c>
      <c r="Z65" s="28" t="n">
        <v>0</v>
      </c>
      <c r="AA65" s="29" t="n">
        <f aca="false">ROUND(N65/L65,3)</f>
        <v>0.281</v>
      </c>
      <c r="AB65" s="29" t="n">
        <f aca="false">ROUND((N65+U65+V65)/(L65+U65+V65+Z65),3)</f>
        <v>0.338</v>
      </c>
      <c r="AC65" s="29" t="n">
        <f aca="false">ROUND(((N65-O65-P65-Q65)+2*O65+3*P65+4*Q65)/L65,3)</f>
        <v>0.377</v>
      </c>
      <c r="AD65" s="29" t="n">
        <f aca="false">ROUND(AB65+AC65,3)</f>
        <v>0.715</v>
      </c>
      <c r="AE65" s="30" t="n">
        <f aca="false">ROUND((('연도별 상수'!$N$46*(U65-W65))+('연도별 상수'!$O$46*V65)+('연도별 상수'!$P$46*(N65-O65-P65-Q65))+('연도별 상수'!$Q$46*O65)+('연도별 상수'!$R$46*P65)+('연도별 상수'!$S$46*Q65))/(L65+U65+V65-W65+Z65),3)</f>
        <v>0.329</v>
      </c>
      <c r="AF65" s="31" t="n">
        <f aca="false">'연도별 상수'!AG$5</f>
        <v>0.22</v>
      </c>
      <c r="AG65" s="9" t="n">
        <f aca="false">'연도별 상수'!AH$5</f>
        <v>-1</v>
      </c>
      <c r="AH65" s="9" t="n">
        <f aca="false">'연도별 상수'!$B$46</f>
        <v>0.871842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9" t="n">
        <v>-6</v>
      </c>
      <c r="AP65" s="1" t="n">
        <f aca="false">K65</f>
        <v>218</v>
      </c>
      <c r="AQ65" s="7" t="n">
        <v>0</v>
      </c>
    </row>
    <row r="66" customFormat="false" ht="26.25" hidden="false" customHeight="true" outlineLevel="0" collapsed="false">
      <c r="A66" s="10" t="n">
        <v>65</v>
      </c>
      <c r="B66" s="23" t="s">
        <v>116</v>
      </c>
      <c r="C66" s="24" t="str">
        <f aca="false">'연도별 상수'!AE$5</f>
        <v>3B</v>
      </c>
      <c r="D66" s="25" t="s">
        <v>43</v>
      </c>
      <c r="E66" s="24" t="n">
        <f aca="false">'연도별 상수'!$A$46</f>
        <v>2026</v>
      </c>
      <c r="F66" s="26" t="n">
        <f aca="false">ROUND(((H66)+(I66)+(AG66*K66/600)+(20*K66/600))/'연도별 상수'!$U$46,2)</f>
        <v>-0.07</v>
      </c>
      <c r="G66" s="27" t="n">
        <f aca="false">ROUND(100*(((((AE66-'리그 타자'!$B$46)/'연도별 상수'!$T$46)+'연도별 상수'!$W$46))+('연도별 상수'!$W$46*(1-AH66)))/'연도별 상수'!$W$46,1)</f>
        <v>84</v>
      </c>
      <c r="H66" s="27" t="n">
        <f aca="false">ROUND((((AE66-'리그 타자'!$B$46)/'연도별 상수'!$T$46)*K66/AH66)+(S66*'연도별 상수'!$AB$46-T66*'연도별 상수'!$AC$46)-((S66+T66)*('연도별 상수'!$AD$46*0.2-(1-'연도별 상수'!$AD$46)*0.4))+0.05*(S66+O66+P66),1)</f>
        <v>-8.6</v>
      </c>
      <c r="I66" s="27" t="n">
        <f aca="false">ROUND((0.75*AO66)+(AF66*(J66/144)),1)</f>
        <v>0.9</v>
      </c>
      <c r="J66" s="28" t="n">
        <v>83</v>
      </c>
      <c r="K66" s="28" t="n">
        <v>218</v>
      </c>
      <c r="L66" s="28" t="n">
        <v>188</v>
      </c>
      <c r="M66" s="28" t="n">
        <v>20</v>
      </c>
      <c r="N66" s="28" t="n">
        <v>51</v>
      </c>
      <c r="O66" s="28" t="n">
        <v>3</v>
      </c>
      <c r="P66" s="28" t="n">
        <v>0</v>
      </c>
      <c r="Q66" s="28" t="n">
        <v>0</v>
      </c>
      <c r="R66" s="28" t="n">
        <v>15</v>
      </c>
      <c r="S66" s="7" t="n">
        <v>3</v>
      </c>
      <c r="T66" s="7" t="n">
        <v>0</v>
      </c>
      <c r="U66" s="28" t="n">
        <v>17</v>
      </c>
      <c r="V66" s="28" t="n">
        <v>2</v>
      </c>
      <c r="W66" s="28" t="n">
        <v>0</v>
      </c>
      <c r="X66" s="28" t="n">
        <v>27</v>
      </c>
      <c r="Y66" s="28" t="n">
        <v>4</v>
      </c>
      <c r="Z66" s="28" t="n">
        <v>1</v>
      </c>
      <c r="AA66" s="29" t="n">
        <f aca="false">ROUND(N66/L66,3)</f>
        <v>0.271</v>
      </c>
      <c r="AB66" s="29" t="n">
        <f aca="false">ROUND((N66+U66+V66)/(L66+U66+V66+Z66),3)</f>
        <v>0.337</v>
      </c>
      <c r="AC66" s="29" t="n">
        <f aca="false">ROUND(((N66-O66-P66-Q66)+2*O66+3*P66+4*Q66)/L66,3)</f>
        <v>0.287</v>
      </c>
      <c r="AD66" s="29" t="n">
        <f aca="false">ROUND(AB66+AC66,3)</f>
        <v>0.624</v>
      </c>
      <c r="AE66" s="30" t="n">
        <f aca="false">ROUND((('연도별 상수'!$N$46*(U66-W66))+('연도별 상수'!$O$46*V66)+('연도별 상수'!$P$46*(N66-O66-P66-Q66))+('연도별 상수'!$Q$46*O66)+('연도별 상수'!$R$46*P66)+('연도별 상수'!$S$46*Q66))/(L66+U66+V66-W66+Z66),3)</f>
        <v>0.3</v>
      </c>
      <c r="AF66" s="31" t="n">
        <f aca="false">'연도별 상수'!AG$5</f>
        <v>0.22</v>
      </c>
      <c r="AG66" s="9" t="n">
        <f aca="false">'연도별 상수'!AH$5</f>
        <v>-1</v>
      </c>
      <c r="AH66" s="9" t="n">
        <f aca="false">'연도별 상수'!$B$46</f>
        <v>0.871842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9" t="n">
        <v>1</v>
      </c>
      <c r="AP66" s="1" t="n">
        <f aca="false">K66</f>
        <v>218</v>
      </c>
      <c r="AQ66" s="7" t="n">
        <v>0</v>
      </c>
    </row>
    <row r="67" customFormat="false" ht="26.25" hidden="false" customHeight="true" outlineLevel="0" collapsed="false">
      <c r="A67" s="10" t="n">
        <v>66</v>
      </c>
      <c r="B67" s="23" t="s">
        <v>117</v>
      </c>
      <c r="C67" s="24" t="str">
        <f aca="false">'연도별 상수'!AE$4</f>
        <v>2B</v>
      </c>
      <c r="D67" s="25" t="s">
        <v>47</v>
      </c>
      <c r="E67" s="24" t="n">
        <f aca="false">'연도별 상수'!$A$46</f>
        <v>2026</v>
      </c>
      <c r="F67" s="26" t="n">
        <f aca="false">ROUND(((H67)+(I67)+(AG67*K67/600)+(20*K67/600))/'연도별 상수'!$U$46,2)</f>
        <v>-0.15</v>
      </c>
      <c r="G67" s="27" t="n">
        <f aca="false">ROUND(100*(((((AE67-'리그 타자'!$B$46)/'연도별 상수'!$T$46)+'연도별 상수'!$W$46))+('연도별 상수'!$W$46*(1-AH67)))/'연도별 상수'!$W$46,1)</f>
        <v>87.3</v>
      </c>
      <c r="H67" s="27" t="n">
        <f aca="false">ROUND((((AE67-'리그 타자'!$B$46)/'연도별 상수'!$T$46)*K67/AH67)+(S67*'연도별 상수'!$AB$46-T67*'연도별 상수'!$AC$46)-((S67+T67)*('연도별 상수'!$AD$46*0.2-(1-'연도별 상수'!$AD$46)*0.4))+0.05*(S67+O67+P67),1)</f>
        <v>-8.7</v>
      </c>
      <c r="I67" s="27" t="n">
        <f aca="false">ROUND((0.75*AO67)+(AF67*(J67/144)),1)</f>
        <v>-5.3</v>
      </c>
      <c r="J67" s="28" t="n">
        <v>83</v>
      </c>
      <c r="K67" s="28" t="n">
        <v>322</v>
      </c>
      <c r="L67" s="28" t="n">
        <v>276</v>
      </c>
      <c r="M67" s="28" t="n">
        <v>30</v>
      </c>
      <c r="N67" s="28" t="n">
        <v>67</v>
      </c>
      <c r="O67" s="28" t="n">
        <v>14</v>
      </c>
      <c r="P67" s="28" t="n">
        <v>0</v>
      </c>
      <c r="Q67" s="28" t="n">
        <v>1</v>
      </c>
      <c r="R67" s="28" t="n">
        <v>25</v>
      </c>
      <c r="S67" s="7" t="n">
        <v>0</v>
      </c>
      <c r="T67" s="7" t="n">
        <v>0</v>
      </c>
      <c r="U67" s="28" t="n">
        <v>41</v>
      </c>
      <c r="V67" s="28" t="n">
        <v>3</v>
      </c>
      <c r="W67" s="28" t="n">
        <v>1</v>
      </c>
      <c r="X67" s="28" t="n">
        <v>34</v>
      </c>
      <c r="Y67" s="28" t="n">
        <v>7</v>
      </c>
      <c r="Z67" s="28" t="n">
        <v>1</v>
      </c>
      <c r="AA67" s="29" t="n">
        <f aca="false">ROUND(N67/L67,3)</f>
        <v>0.243</v>
      </c>
      <c r="AB67" s="29" t="n">
        <f aca="false">ROUND((N67+U67+V67)/(L67+U67+V67+Z67),3)</f>
        <v>0.346</v>
      </c>
      <c r="AC67" s="29" t="n">
        <f aca="false">ROUND(((N67-O67-P67-Q67)+2*O67+3*P67+4*Q67)/L67,3)</f>
        <v>0.304</v>
      </c>
      <c r="AD67" s="29" t="n">
        <f aca="false">ROUND(AB67+AC67,3)</f>
        <v>0.65</v>
      </c>
      <c r="AE67" s="30" t="n">
        <f aca="false">ROUND((('연도별 상수'!$N$46*(U67-W67))+('연도별 상수'!$O$46*V67)+('연도별 상수'!$P$46*(N67-O67-P67-Q67))+('연도별 상수'!$Q$46*O67)+('연도별 상수'!$R$46*P67)+('연도별 상수'!$S$46*Q67))/(L67+U67+V67-W67+Z67),3)</f>
        <v>0.313</v>
      </c>
      <c r="AF67" s="31" t="n">
        <f aca="false">'연도별 상수'!AG$4</f>
        <v>1.22</v>
      </c>
      <c r="AG67" s="9" t="n">
        <f aca="false">'연도별 상수'!AH$4</f>
        <v>3</v>
      </c>
      <c r="AH67" s="9" t="n">
        <f aca="false">'연도별 상수'!$G$46</f>
        <v>0.919389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9" t="n">
        <v>-8</v>
      </c>
      <c r="AP67" s="1" t="n">
        <f aca="false">K67</f>
        <v>322</v>
      </c>
      <c r="AQ67" s="7" t="n">
        <v>0</v>
      </c>
    </row>
    <row r="68" customFormat="false" ht="26.25" hidden="false" customHeight="true" outlineLevel="0" collapsed="false">
      <c r="A68" s="10" t="n">
        <v>67</v>
      </c>
      <c r="B68" s="23" t="s">
        <v>118</v>
      </c>
      <c r="C68" s="24" t="str">
        <f aca="false">'연도별 상수'!AE$3</f>
        <v>1B</v>
      </c>
      <c r="D68" s="25" t="s">
        <v>56</v>
      </c>
      <c r="E68" s="24" t="n">
        <f aca="false">'연도별 상수'!$A$46</f>
        <v>2026</v>
      </c>
      <c r="F68" s="26" t="n">
        <f aca="false">ROUND(((H68)+(I68)+(AG68*K68/600)+(20*K68/600))/'연도별 상수'!$U$46,2)</f>
        <v>-0.13</v>
      </c>
      <c r="G68" s="27" t="n">
        <f aca="false">ROUND(100*(((((AE68-'리그 타자'!$B$46)/'연도별 상수'!$T$46)+'연도별 상수'!$W$46))+('연도별 상수'!$W$46*(1-AH68)))/'연도별 상수'!$W$46,1)</f>
        <v>95.9</v>
      </c>
      <c r="H68" s="27" t="n">
        <f aca="false">ROUND((((AE68-'리그 타자'!$B$46)/'연도별 상수'!$T$46)*K68/AH68)+(S68*'연도별 상수'!$AB$46-T68*'연도별 상수'!$AC$46)-((S68+T68)*('연도별 상수'!$AD$46*0.2-(1-'연도별 상수'!$AD$46)*0.4))+0.05*(S68+O68+P68),1)</f>
        <v>1.5</v>
      </c>
      <c r="I68" s="27" t="n">
        <f aca="false">ROUND((0.75*AO68)+(AF68*(J68/144)),1)</f>
        <v>-10.3</v>
      </c>
      <c r="J68" s="28" t="n">
        <v>82</v>
      </c>
      <c r="K68" s="28" t="n">
        <v>369</v>
      </c>
      <c r="L68" s="28" t="n">
        <v>335</v>
      </c>
      <c r="M68" s="28" t="n">
        <v>40</v>
      </c>
      <c r="N68" s="28" t="n">
        <v>98</v>
      </c>
      <c r="O68" s="28" t="n">
        <v>22</v>
      </c>
      <c r="P68" s="28" t="n">
        <v>0</v>
      </c>
      <c r="Q68" s="28" t="n">
        <v>6</v>
      </c>
      <c r="R68" s="28" t="n">
        <v>54</v>
      </c>
      <c r="S68" s="7" t="n">
        <v>0</v>
      </c>
      <c r="T68" s="7" t="n">
        <v>2</v>
      </c>
      <c r="U68" s="28" t="n">
        <v>31</v>
      </c>
      <c r="V68" s="28" t="n">
        <v>1</v>
      </c>
      <c r="W68" s="28" t="n">
        <v>0</v>
      </c>
      <c r="X68" s="28" t="n">
        <v>39</v>
      </c>
      <c r="Y68" s="28" t="n">
        <v>11</v>
      </c>
      <c r="Z68" s="28" t="n">
        <v>2</v>
      </c>
      <c r="AA68" s="29" t="n">
        <f aca="false">ROUND(N68/L68,3)</f>
        <v>0.293</v>
      </c>
      <c r="AB68" s="29" t="n">
        <f aca="false">ROUND((N68+U68+V68)/(L68+U68+V68+Z68),3)</f>
        <v>0.352</v>
      </c>
      <c r="AC68" s="29" t="n">
        <f aca="false">ROUND(((N68-O68-P68-Q68)+2*O68+3*P68+4*Q68)/L68,3)</f>
        <v>0.412</v>
      </c>
      <c r="AD68" s="29" t="n">
        <f aca="false">ROUND(AB68+AC68,3)</f>
        <v>0.764</v>
      </c>
      <c r="AE68" s="30" t="n">
        <f aca="false">ROUND((('연도별 상수'!$N$46*(U68-W68))+('연도별 상수'!$O$46*V68)+('연도별 상수'!$P$46*(N68-O68-P68-Q68))+('연도별 상수'!$Q$46*O68)+('연도별 상수'!$R$46*P68)+('연도별 상수'!$S$46*Q68))/(L68+U68+V68-W68+Z68),3)</f>
        <v>0.351</v>
      </c>
      <c r="AF68" s="31" t="n">
        <f aca="false">'연도별 상수'!AG$3</f>
        <v>-10.22</v>
      </c>
      <c r="AG68" s="9" t="n">
        <f aca="false">'연도별 상수'!AH$3</f>
        <v>-8</v>
      </c>
      <c r="AH68" s="9" t="n">
        <f aca="false">'연도별 상수'!$E$46</f>
        <v>1.069855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9" t="n">
        <v>-6</v>
      </c>
      <c r="AP68" s="1" t="n">
        <f aca="false">K68</f>
        <v>369</v>
      </c>
      <c r="AQ68" s="7" t="n">
        <v>0</v>
      </c>
    </row>
    <row r="69" customFormat="false" ht="26.25" hidden="false" customHeight="true" outlineLevel="0" collapsed="false">
      <c r="A69" s="10" t="n">
        <v>68</v>
      </c>
      <c r="B69" s="23" t="s">
        <v>119</v>
      </c>
      <c r="C69" s="24" t="str">
        <f aca="false">'연도별 상수'!AE$7</f>
        <v>LF</v>
      </c>
      <c r="D69" s="25" t="s">
        <v>56</v>
      </c>
      <c r="E69" s="24" t="n">
        <f aca="false">'연도별 상수'!$A$46</f>
        <v>2026</v>
      </c>
      <c r="F69" s="26" t="n">
        <f aca="false">ROUND(((H69)+(I69)+(AG69*K69/600)+(20*K69/600))/'연도별 상수'!$U$46,2)</f>
        <v>-0.09</v>
      </c>
      <c r="G69" s="27" t="n">
        <f aca="false">ROUND(100*(((((AE69-'리그 타자'!$B$46)/'연도별 상수'!$T$46)+'연도별 상수'!$W$46))+('연도별 상수'!$W$46*(1-AH69)))/'연도별 상수'!$W$46,1)</f>
        <v>89.1</v>
      </c>
      <c r="H69" s="27" t="n">
        <f aca="false">ROUND((((AE69-'리그 타자'!$B$46)/'연도별 상수'!$T$46)*K69/AH69)+(S69*'연도별 상수'!$AB$46-T69*'연도별 상수'!$AC$46)-((S69+T69)*('연도별 상수'!$AD$46*0.2-(1-'연도별 상수'!$AD$46)*0.4))+0.05*(S69+O69+P69),1)</f>
        <v>-1.2</v>
      </c>
      <c r="I69" s="27" t="n">
        <f aca="false">ROUND((0.75*AO69)+(AF69*(J69/144)),1)</f>
        <v>-6.1</v>
      </c>
      <c r="J69" s="28" t="n">
        <v>62</v>
      </c>
      <c r="K69" s="28" t="n">
        <v>252</v>
      </c>
      <c r="L69" s="28" t="n">
        <v>226</v>
      </c>
      <c r="M69" s="28" t="n">
        <v>31</v>
      </c>
      <c r="N69" s="28" t="n">
        <v>71</v>
      </c>
      <c r="O69" s="28" t="n">
        <v>5</v>
      </c>
      <c r="P69" s="28" t="n">
        <v>0</v>
      </c>
      <c r="Q69" s="28" t="n">
        <v>1</v>
      </c>
      <c r="R69" s="28" t="n">
        <v>25</v>
      </c>
      <c r="S69" s="7" t="n">
        <v>1</v>
      </c>
      <c r="T69" s="7" t="n">
        <v>1</v>
      </c>
      <c r="U69" s="28" t="n">
        <v>17</v>
      </c>
      <c r="V69" s="28" t="n">
        <v>4</v>
      </c>
      <c r="W69" s="28" t="n">
        <v>0</v>
      </c>
      <c r="X69" s="28" t="n">
        <v>36</v>
      </c>
      <c r="Y69" s="28" t="n">
        <v>5</v>
      </c>
      <c r="Z69" s="28" t="n">
        <v>1</v>
      </c>
      <c r="AA69" s="29" t="n">
        <f aca="false">ROUND(N69/L69,3)</f>
        <v>0.314</v>
      </c>
      <c r="AB69" s="29" t="n">
        <f aca="false">ROUND((N69+U69+V69)/(L69+U69+V69+Z69),3)</f>
        <v>0.371</v>
      </c>
      <c r="AC69" s="29" t="n">
        <f aca="false">ROUND(((N69-O69-P69-Q69)+2*O69+3*P69+4*Q69)/L69,3)</f>
        <v>0.35</v>
      </c>
      <c r="AD69" s="29" t="n">
        <f aca="false">ROUND(AB69+AC69,3)</f>
        <v>0.721</v>
      </c>
      <c r="AE69" s="30" t="n">
        <f aca="false">ROUND((('연도별 상수'!$N$46*(U69-W69))+('연도별 상수'!$O$46*V69)+('연도별 상수'!$P$46*(N69-O69-P69-Q69))+('연도별 상수'!$Q$46*O69)+('연도별 상수'!$R$46*P69)+('연도별 상수'!$S$46*Q69))/(L69+U69+V69-W69+Z69),3)</f>
        <v>0.34</v>
      </c>
      <c r="AF69" s="31" t="n">
        <f aca="false">'연도별 상수'!AG$7</f>
        <v>-5.5</v>
      </c>
      <c r="AG69" s="9" t="n">
        <f aca="false">'연도별 상수'!AH$7</f>
        <v>-5</v>
      </c>
      <c r="AH69" s="9" t="n">
        <f aca="false">'연도별 상수'!$E$46</f>
        <v>1.069855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9" t="n">
        <v>-5</v>
      </c>
      <c r="AP69" s="1" t="n">
        <f aca="false">K69</f>
        <v>252</v>
      </c>
      <c r="AQ69" s="7" t="n">
        <v>0</v>
      </c>
    </row>
    <row r="70" customFormat="false" ht="26.25" hidden="false" customHeight="true" outlineLevel="0" collapsed="false">
      <c r="A70" s="10" t="n">
        <v>69</v>
      </c>
      <c r="B70" s="23" t="s">
        <v>120</v>
      </c>
      <c r="C70" s="24" t="str">
        <f aca="false">'연도별 상수'!AE$10</f>
        <v>DH</v>
      </c>
      <c r="D70" s="25" t="s">
        <v>56</v>
      </c>
      <c r="E70" s="24" t="n">
        <f aca="false">'연도별 상수'!$A$46</f>
        <v>2026</v>
      </c>
      <c r="F70" s="26" t="n">
        <f aca="false">ROUND(((H70)+(I70)+(AG70*K70/600)+(20*K70/600))/'연도별 상수'!$U$46,2)</f>
        <v>-0.09</v>
      </c>
      <c r="G70" s="27" t="n">
        <f aca="false">ROUND(100*(((((AE70-'리그 타자'!$B$46)/'연도별 상수'!$T$46)+'연도별 상수'!$W$46))+('연도별 상수'!$W$46*(1-AH70)))/'연도별 상수'!$W$46,1)</f>
        <v>97.8</v>
      </c>
      <c r="H70" s="27" t="n">
        <f aca="false">ROUND((((AE70-'리그 타자'!$B$46)/'연도별 상수'!$T$46)*K70/AH70)+(S70*'연도별 상수'!$AB$46-T70*'연도별 상수'!$AC$46)-((S70+T70)*('연도별 상수'!$AD$46*0.2-(1-'연도별 상수'!$AD$46)*0.4))+0.05*(S70+O70+P70),1)</f>
        <v>1.9</v>
      </c>
      <c r="I70" s="27" t="n">
        <f aca="false">ROUND((0.75*AO70)+(AF70*(J70/144)),1)</f>
        <v>-4.5</v>
      </c>
      <c r="J70" s="28" t="n">
        <v>52</v>
      </c>
      <c r="K70" s="28" t="n">
        <v>201</v>
      </c>
      <c r="L70" s="28" t="n">
        <v>161</v>
      </c>
      <c r="M70" s="28" t="n">
        <v>28</v>
      </c>
      <c r="N70" s="28" t="n">
        <v>33</v>
      </c>
      <c r="O70" s="28" t="n">
        <v>10</v>
      </c>
      <c r="P70" s="28" t="n">
        <v>0</v>
      </c>
      <c r="Q70" s="28" t="n">
        <v>8</v>
      </c>
      <c r="R70" s="28" t="n">
        <v>35</v>
      </c>
      <c r="S70" s="7" t="n">
        <v>1</v>
      </c>
      <c r="T70" s="7" t="n">
        <v>0</v>
      </c>
      <c r="U70" s="28" t="n">
        <v>37</v>
      </c>
      <c r="V70" s="28" t="n">
        <v>2</v>
      </c>
      <c r="W70" s="28" t="n">
        <v>3</v>
      </c>
      <c r="X70" s="28" t="n">
        <v>49</v>
      </c>
      <c r="Y70" s="28" t="n">
        <v>8</v>
      </c>
      <c r="Z70" s="28" t="n">
        <v>1</v>
      </c>
      <c r="AA70" s="29" t="n">
        <f aca="false">ROUND(N70/L70,3)</f>
        <v>0.205</v>
      </c>
      <c r="AB70" s="29" t="n">
        <f aca="false">ROUND((N70+U70+V70)/(L70+U70+V70+Z70),3)</f>
        <v>0.358</v>
      </c>
      <c r="AC70" s="29" t="n">
        <f aca="false">ROUND(((N70-O70-P70-Q70)+2*O70+3*P70+4*Q70)/L70,3)</f>
        <v>0.416</v>
      </c>
      <c r="AD70" s="29" t="n">
        <f aca="false">ROUND(AB70+AC70,3)</f>
        <v>0.774</v>
      </c>
      <c r="AE70" s="30" t="n">
        <f aca="false">ROUND((('연도별 상수'!$N$46*(U70-W70))+('연도별 상수'!$O$46*V70)+('연도별 상수'!$P$46*(N70-O70-P70-Q70))+('연도별 상수'!$Q$46*O70)+('연도별 상수'!$R$46*P70)+('연도별 상수'!$S$46*Q70))/(L70+U70+V70-W70+Z70),3)</f>
        <v>0.354</v>
      </c>
      <c r="AF70" s="31" t="n">
        <f aca="false">'연도별 상수'!AG$10</f>
        <v>-12.5</v>
      </c>
      <c r="AG70" s="9" t="n">
        <f aca="false">'연도별 상수'!AH$10</f>
        <v>-15</v>
      </c>
      <c r="AH70" s="9" t="n">
        <f aca="false">'연도별 상수'!$E$46</f>
        <v>1.069855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9" t="n">
        <v>0</v>
      </c>
      <c r="AP70" s="1" t="n">
        <f aca="false">K70</f>
        <v>201</v>
      </c>
      <c r="AQ70" s="7" t="n">
        <v>0</v>
      </c>
    </row>
    <row r="71" customFormat="false" ht="26.25" hidden="false" customHeight="true" outlineLevel="0" collapsed="false">
      <c r="A71" s="10" t="n">
        <v>70</v>
      </c>
      <c r="B71" s="23" t="s">
        <v>121</v>
      </c>
      <c r="C71" s="24" t="str">
        <f aca="false">'연도별 상수'!AE$5</f>
        <v>3B</v>
      </c>
      <c r="D71" s="25" t="s">
        <v>54</v>
      </c>
      <c r="E71" s="24" t="n">
        <f aca="false">'연도별 상수'!$A$46</f>
        <v>2026</v>
      </c>
      <c r="F71" s="26" t="n">
        <f aca="false">ROUND(((H71)+(I71)+(AG71*K71/600)+(20*K71/600))/'연도별 상수'!$U$46,2)</f>
        <v>-0.19</v>
      </c>
      <c r="G71" s="27" t="n">
        <f aca="false">ROUND(100*(((((AE71-'리그 타자'!$B$46)/'연도별 상수'!$T$46)+'연도별 상수'!$W$46))+('연도별 상수'!$W$46*(1-AH71)))/'연도별 상수'!$W$46,1)</f>
        <v>87.1</v>
      </c>
      <c r="H71" s="27" t="n">
        <f aca="false">ROUND((((AE71-'리그 타자'!$B$46)/'연도별 상수'!$T$46)*K71/AH71)+(S71*'연도별 상수'!$AB$46-T71*'연도별 상수'!$AC$46)-((S71+T71)*('연도별 상수'!$AD$46*0.2-(1-'연도별 상수'!$AD$46)*0.4))+0.05*(S71+O71+P71),1)</f>
        <v>-7.5</v>
      </c>
      <c r="I71" s="27" t="n">
        <f aca="false">ROUND((0.75*AO71)+(AF71*(J71/144)),1)</f>
        <v>-1.4</v>
      </c>
      <c r="J71" s="28" t="n">
        <v>77</v>
      </c>
      <c r="K71" s="28" t="n">
        <v>217</v>
      </c>
      <c r="L71" s="28" t="n">
        <v>185</v>
      </c>
      <c r="M71" s="28" t="n">
        <v>28</v>
      </c>
      <c r="N71" s="28" t="n">
        <v>47</v>
      </c>
      <c r="O71" s="28" t="n">
        <v>4</v>
      </c>
      <c r="P71" s="28" t="n">
        <v>2</v>
      </c>
      <c r="Q71" s="28" t="n">
        <v>0</v>
      </c>
      <c r="R71" s="28" t="n">
        <v>17</v>
      </c>
      <c r="S71" s="7" t="n">
        <v>5</v>
      </c>
      <c r="T71" s="7" t="n">
        <v>1</v>
      </c>
      <c r="U71" s="28" t="n">
        <v>19</v>
      </c>
      <c r="V71" s="28" t="n">
        <v>4</v>
      </c>
      <c r="W71" s="28" t="n">
        <v>0</v>
      </c>
      <c r="X71" s="28" t="n">
        <v>31</v>
      </c>
      <c r="Y71" s="28" t="n">
        <v>3</v>
      </c>
      <c r="Z71" s="28" t="n">
        <v>0</v>
      </c>
      <c r="AA71" s="29" t="n">
        <f aca="false">ROUND(N71/L71,3)</f>
        <v>0.254</v>
      </c>
      <c r="AB71" s="29" t="n">
        <f aca="false">ROUND((N71+U71+V71)/(L71+U71+V71+Z71),3)</f>
        <v>0.337</v>
      </c>
      <c r="AC71" s="29" t="n">
        <f aca="false">ROUND(((N71-O71-P71-Q71)+2*O71+3*P71+4*Q71)/L71,3)</f>
        <v>0.297</v>
      </c>
      <c r="AD71" s="29" t="n">
        <f aca="false">ROUND(AB71+AC71,3)</f>
        <v>0.634</v>
      </c>
      <c r="AE71" s="30" t="n">
        <f aca="false">ROUND((('연도별 상수'!$N$46*(U71-W71))+('연도별 상수'!$O$46*V71)+('연도별 상수'!$P$46*(N71-O71-P71-Q71))+('연도별 상수'!$Q$46*O71)+('연도별 상수'!$R$46*P71)+('연도별 상수'!$S$46*Q71))/(L71+U71+V71-W71+Z71),3)</f>
        <v>0.305</v>
      </c>
      <c r="AF71" s="31" t="n">
        <f aca="false">'연도별 상수'!AG$5</f>
        <v>0.22</v>
      </c>
      <c r="AG71" s="9" t="n">
        <f aca="false">'연도별 상수'!AH$5</f>
        <v>-1</v>
      </c>
      <c r="AH71" s="9" t="n">
        <f aca="false">'연도별 상수'!$B$46</f>
        <v>0.871842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9" t="n">
        <v>-2</v>
      </c>
      <c r="AP71" s="1" t="n">
        <f aca="false">K71</f>
        <v>217</v>
      </c>
      <c r="AQ71" s="7" t="n">
        <v>0</v>
      </c>
    </row>
    <row r="72" customFormat="false" ht="26.25" hidden="false" customHeight="true" outlineLevel="0" collapsed="false">
      <c r="A72" s="10" t="n">
        <v>71</v>
      </c>
      <c r="B72" s="23" t="s">
        <v>122</v>
      </c>
      <c r="C72" s="24" t="str">
        <f aca="false">'연도별 상수'!AE$3</f>
        <v>1B</v>
      </c>
      <c r="D72" s="25" t="s">
        <v>50</v>
      </c>
      <c r="E72" s="24" t="n">
        <f aca="false">'연도별 상수'!$A$46</f>
        <v>2026</v>
      </c>
      <c r="F72" s="26" t="n">
        <f aca="false">ROUND(((H72)+(I72)+(AG72*K72/600)+(20*K72/600))/'연도별 상수'!$U$46,2)</f>
        <v>-0.51</v>
      </c>
      <c r="G72" s="27" t="n">
        <f aca="false">ROUND(100*(((((AE72-'리그 타자'!$B$46)/'연도별 상수'!$T$46)+'연도별 상수'!$W$46))+('연도별 상수'!$W$46*(1-AH72)))/'연도별 상수'!$W$46,1)</f>
        <v>84.9</v>
      </c>
      <c r="H72" s="27" t="n">
        <f aca="false">ROUND((((AE72-'리그 타자'!$B$46)/'연도별 상수'!$T$46)*K72/AH72)+(S72*'연도별 상수'!$AB$46-T72*'연도별 상수'!$AC$46)-((S72+T72)*('연도별 상수'!$AD$46*0.2-(1-'연도별 상수'!$AD$46)*0.4))+0.05*(S72+O72+P72),1)</f>
        <v>-5.3</v>
      </c>
      <c r="I72" s="27" t="n">
        <f aca="false">ROUND((0.75*AO72)+(AF72*(J72/144)),1)</f>
        <v>-4.5</v>
      </c>
      <c r="J72" s="28" t="n">
        <v>74</v>
      </c>
      <c r="K72" s="28" t="n">
        <v>216</v>
      </c>
      <c r="L72" s="28" t="n">
        <v>196</v>
      </c>
      <c r="M72" s="28" t="n">
        <v>27</v>
      </c>
      <c r="N72" s="28" t="n">
        <v>45</v>
      </c>
      <c r="O72" s="28" t="n">
        <v>7</v>
      </c>
      <c r="P72" s="28" t="n">
        <v>0</v>
      </c>
      <c r="Q72" s="28" t="n">
        <v>9</v>
      </c>
      <c r="R72" s="28" t="n">
        <v>27</v>
      </c>
      <c r="S72" s="7" t="n">
        <v>7</v>
      </c>
      <c r="T72" s="7" t="n">
        <v>2</v>
      </c>
      <c r="U72" s="28" t="n">
        <v>16</v>
      </c>
      <c r="V72" s="28" t="n">
        <v>2</v>
      </c>
      <c r="W72" s="28" t="n">
        <v>1</v>
      </c>
      <c r="X72" s="28" t="n">
        <v>61</v>
      </c>
      <c r="Y72" s="28" t="n">
        <v>8</v>
      </c>
      <c r="Z72" s="28" t="n">
        <v>2</v>
      </c>
      <c r="AA72" s="29" t="n">
        <f aca="false">ROUND(N72/L72,3)</f>
        <v>0.23</v>
      </c>
      <c r="AB72" s="29" t="n">
        <f aca="false">ROUND((N72+U72+V72)/(L72+U72+V72+Z72),3)</f>
        <v>0.292</v>
      </c>
      <c r="AC72" s="29" t="n">
        <f aca="false">ROUND(((N72-O72-P72-Q72)+2*O72+3*P72+4*Q72)/L72,3)</f>
        <v>0.403</v>
      </c>
      <c r="AD72" s="29" t="n">
        <f aca="false">ROUND(AB72+AC72,3)</f>
        <v>0.695</v>
      </c>
      <c r="AE72" s="30" t="n">
        <f aca="false">ROUND((('연도별 상수'!$N$46*(U72-W72))+('연도별 상수'!$O$46*V72)+('연도별 상수'!$P$46*(N72-O72-P72-Q72))+('연도별 상수'!$Q$46*O72)+('연도별 상수'!$R$46*P72)+('연도별 상수'!$S$46*Q72))/(L72+U72+V72-W72+Z72),3)</f>
        <v>0.313</v>
      </c>
      <c r="AF72" s="31" t="n">
        <f aca="false">'연도별 상수'!AG$3</f>
        <v>-10.22</v>
      </c>
      <c r="AG72" s="9" t="n">
        <f aca="false">'연도별 상수'!AH$3</f>
        <v>-8</v>
      </c>
      <c r="AH72" s="9" t="n">
        <f aca="false">'연도별 상수'!$D$46</f>
        <v>0.943387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9" t="n">
        <v>1</v>
      </c>
      <c r="AP72" s="1" t="n">
        <f aca="false">K72</f>
        <v>216</v>
      </c>
      <c r="AQ72" s="7" t="n">
        <v>0</v>
      </c>
    </row>
    <row r="73" customFormat="false" ht="26.25" hidden="false" customHeight="true" outlineLevel="0" collapsed="false">
      <c r="A73" s="10" t="n">
        <v>72</v>
      </c>
      <c r="B73" s="23" t="s">
        <v>123</v>
      </c>
      <c r="C73" s="24" t="str">
        <f aca="false">'연도별 상수'!AE$10</f>
        <v>DH</v>
      </c>
      <c r="D73" s="25" t="s">
        <v>89</v>
      </c>
      <c r="E73" s="24" t="n">
        <f aca="false">'연도별 상수'!$A$46</f>
        <v>2026</v>
      </c>
      <c r="F73" s="26" t="n">
        <f aca="false">ROUND(((H73)+(I73)+(AG73*K73/600)+(20*K73/600))/'연도별 상수'!$U$46,2)</f>
        <v>-0.68</v>
      </c>
      <c r="G73" s="27" t="n">
        <f aca="false">ROUND(100*(((((AE73-'리그 타자'!$B$46)/'연도별 상수'!$T$46)+'연도별 상수'!$W$46))+('연도별 상수'!$W$46*(1-AH73)))/'연도별 상수'!$W$46,1)</f>
        <v>102.9</v>
      </c>
      <c r="H73" s="27" t="n">
        <f aca="false">ROUND((((AE73-'리그 타자'!$B$46)/'연도별 상수'!$T$46)*K73/AH73)+(S73*'연도별 상수'!$AB$46-T73*'연도별 상수'!$AC$46)-((S73+T73)*('연도별 상수'!$AD$46*0.2-(1-'연도별 상수'!$AD$46)*0.4))+0.05*(S73+O73+P73),1)</f>
        <v>-1.1</v>
      </c>
      <c r="I73" s="27" t="n">
        <f aca="false">ROUND((0.75*AO73)+(AF73*(J73/144)),1)</f>
        <v>-8.8</v>
      </c>
      <c r="J73" s="28" t="n">
        <v>75</v>
      </c>
      <c r="K73" s="28" t="n">
        <v>313</v>
      </c>
      <c r="L73" s="28" t="n">
        <v>278</v>
      </c>
      <c r="M73" s="28" t="n">
        <v>30</v>
      </c>
      <c r="N73" s="28" t="n">
        <v>77</v>
      </c>
      <c r="O73" s="28" t="n">
        <v>12</v>
      </c>
      <c r="P73" s="28" t="n">
        <v>0</v>
      </c>
      <c r="Q73" s="28" t="n">
        <v>6</v>
      </c>
      <c r="R73" s="28" t="n">
        <v>33</v>
      </c>
      <c r="S73" s="7" t="n">
        <v>0</v>
      </c>
      <c r="T73" s="7" t="n">
        <v>0</v>
      </c>
      <c r="U73" s="28" t="n">
        <v>31</v>
      </c>
      <c r="V73" s="28" t="n">
        <v>2</v>
      </c>
      <c r="W73" s="28" t="n">
        <v>2</v>
      </c>
      <c r="X73" s="28" t="n">
        <v>45</v>
      </c>
      <c r="Y73" s="28" t="n">
        <v>10</v>
      </c>
      <c r="Z73" s="28" t="n">
        <v>2</v>
      </c>
      <c r="AA73" s="29" t="n">
        <f aca="false">ROUND(N73/L73,3)</f>
        <v>0.277</v>
      </c>
      <c r="AB73" s="29" t="n">
        <f aca="false">ROUND((N73+U73+V73)/(L73+U73+V73+Z73),3)</f>
        <v>0.351</v>
      </c>
      <c r="AC73" s="29" t="n">
        <f aca="false">ROUND(((N73-O73-P73-Q73)+2*O73+3*P73+4*Q73)/L73,3)</f>
        <v>0.385</v>
      </c>
      <c r="AD73" s="29" t="n">
        <f aca="false">ROUND(AB73+AC73,3)</f>
        <v>0.736</v>
      </c>
      <c r="AE73" s="30" t="n">
        <f aca="false">ROUND((('연도별 상수'!$N$46*(U73-W73))+('연도별 상수'!$O$46*V73)+('연도별 상수'!$P$46*(N73-O73-P73-Q73))+('연도별 상수'!$Q$46*O73)+('연도별 상수'!$R$46*P73)+('연도별 상수'!$S$46*Q73))/(L73+U73+V73-W73+Z73),3)</f>
        <v>0.34</v>
      </c>
      <c r="AF73" s="31" t="n">
        <f aca="false">'연도별 상수'!AG$10</f>
        <v>-12.5</v>
      </c>
      <c r="AG73" s="9" t="n">
        <f aca="false">'연도별 상수'!AH$10</f>
        <v>-15</v>
      </c>
      <c r="AH73" s="9" t="n">
        <f aca="false">'연도별 상수'!$C$46</f>
        <v>0.931727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9" t="n">
        <v>-3</v>
      </c>
      <c r="AP73" s="1" t="n">
        <f aca="false">K73</f>
        <v>313</v>
      </c>
      <c r="AQ73" s="7" t="n">
        <v>0</v>
      </c>
    </row>
    <row r="74" customFormat="false" ht="26.25" hidden="false" customHeight="true" outlineLevel="0" collapsed="false">
      <c r="A74" s="10" t="n">
        <v>73</v>
      </c>
      <c r="B74" s="23" t="s">
        <v>124</v>
      </c>
      <c r="C74" s="24" t="str">
        <f aca="false">'연도별 상수'!AE$10</f>
        <v>DH</v>
      </c>
      <c r="D74" s="25" t="s">
        <v>50</v>
      </c>
      <c r="E74" s="24" t="n">
        <f aca="false">'연도별 상수'!$A$46</f>
        <v>2026</v>
      </c>
      <c r="F74" s="26" t="n">
        <f aca="false">ROUND(((H74)+(I74)+(AG74*K74/600)+(20*K74/600))/'연도별 상수'!$U$46,2)</f>
        <v>-0.78</v>
      </c>
      <c r="G74" s="27" t="n">
        <f aca="false">ROUND(100*(((((AE74-'리그 타자'!$B$46)/'연도별 상수'!$T$46)+'연도별 상수'!$W$46))+('연도별 상수'!$W$46*(1-AH74)))/'연도별 상수'!$W$46,1)</f>
        <v>99.2</v>
      </c>
      <c r="H74" s="27" t="n">
        <f aca="false">ROUND((((AE74-'리그 타자'!$B$46)/'연도별 상수'!$T$46)*K74/AH74)+(S74*'연도별 상수'!$AB$46-T74*'연도별 상수'!$AC$46)-((S74+T74)*('연도별 상수'!$AD$46*0.2-(1-'연도별 상수'!$AD$46)*0.4))+0.05*(S74+O74+P74),1)</f>
        <v>-2.2</v>
      </c>
      <c r="I74" s="27" t="n">
        <f aca="false">ROUND((0.75*AO74)+(AF74*(J74/144)),1)</f>
        <v>-8.7</v>
      </c>
      <c r="J74" s="28" t="n">
        <v>74</v>
      </c>
      <c r="K74" s="28" t="n">
        <v>296</v>
      </c>
      <c r="L74" s="28" t="n">
        <v>247</v>
      </c>
      <c r="M74" s="28" t="n">
        <v>31</v>
      </c>
      <c r="N74" s="28" t="n">
        <v>51</v>
      </c>
      <c r="O74" s="28" t="n">
        <v>5</v>
      </c>
      <c r="P74" s="28" t="n">
        <v>0</v>
      </c>
      <c r="Q74" s="28" t="n">
        <v>13</v>
      </c>
      <c r="R74" s="28" t="n">
        <v>41</v>
      </c>
      <c r="S74" s="7" t="n">
        <v>1</v>
      </c>
      <c r="T74" s="7" t="n">
        <v>0</v>
      </c>
      <c r="U74" s="28" t="n">
        <v>45</v>
      </c>
      <c r="V74" s="28" t="n">
        <v>3</v>
      </c>
      <c r="W74" s="28" t="n">
        <v>0</v>
      </c>
      <c r="X74" s="28" t="n">
        <v>84</v>
      </c>
      <c r="Y74" s="28" t="n">
        <v>4</v>
      </c>
      <c r="Z74" s="28" t="n">
        <v>1</v>
      </c>
      <c r="AA74" s="29" t="n">
        <f aca="false">ROUND(N74/L74,3)</f>
        <v>0.206</v>
      </c>
      <c r="AB74" s="29" t="n">
        <f aca="false">ROUND((N74+U74+V74)/(L74+U74+V74+Z74),3)</f>
        <v>0.334</v>
      </c>
      <c r="AC74" s="29" t="n">
        <f aca="false">ROUND(((N74-O74-P74-Q74)+2*O74+3*P74+4*Q74)/L74,3)</f>
        <v>0.385</v>
      </c>
      <c r="AD74" s="29" t="n">
        <f aca="false">ROUND(AB74+AC74,3)</f>
        <v>0.719</v>
      </c>
      <c r="AE74" s="30" t="n">
        <f aca="false">ROUND((('연도별 상수'!$N$46*(U74-W74))+('연도별 상수'!$O$46*V74)+('연도별 상수'!$P$46*(N74-O74-P74-Q74))+('연도별 상수'!$Q$46*O74)+('연도별 상수'!$R$46*P74)+('연도별 상수'!$S$46*Q74))/(L74+U74+V74-W74+Z74),3)</f>
        <v>0.336</v>
      </c>
      <c r="AF74" s="31" t="n">
        <f aca="false">'연도별 상수'!AG$10</f>
        <v>-12.5</v>
      </c>
      <c r="AG74" s="9" t="n">
        <f aca="false">'연도별 상수'!AH$10</f>
        <v>-15</v>
      </c>
      <c r="AH74" s="9" t="n">
        <f aca="false">'연도별 상수'!$D$46</f>
        <v>0.943387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9" t="n">
        <v>-3</v>
      </c>
      <c r="AP74" s="1" t="n">
        <f aca="false">K74</f>
        <v>296</v>
      </c>
      <c r="AQ74" s="7" t="n">
        <v>0</v>
      </c>
    </row>
    <row r="75" customFormat="false" ht="26.25" hidden="false" customHeight="true" outlineLevel="0" collapsed="false">
      <c r="A75" s="10" t="n">
        <v>74</v>
      </c>
      <c r="B75" s="23" t="s">
        <v>125</v>
      </c>
      <c r="C75" s="24" t="str">
        <f aca="false">'연도별 상수'!AE$3</f>
        <v>1B</v>
      </c>
      <c r="D75" s="25" t="s">
        <v>89</v>
      </c>
      <c r="E75" s="24" t="n">
        <f aca="false">'연도별 상수'!$A$46</f>
        <v>2026</v>
      </c>
      <c r="F75" s="26" t="n">
        <f aca="false">ROUND(((H75)+(I75)+(AG75*K75/600)+(20*K75/600))/'연도별 상수'!$U$46,2)</f>
        <v>-1.01</v>
      </c>
      <c r="G75" s="27" t="n">
        <f aca="false">ROUND(100*(((((AE75-'리그 타자'!$B$46)/'연도별 상수'!$T$46)+'연도별 상수'!$W$46))+('연도별 상수'!$W$46*(1-AH75)))/'연도별 상수'!$W$46,1)</f>
        <v>81.1</v>
      </c>
      <c r="H75" s="27" t="n">
        <f aca="false">ROUND((((AE75-'리그 타자'!$B$46)/'연도별 상수'!$T$46)*K75/AH75)+(S75*'연도별 상수'!$AB$46-T75*'연도별 상수'!$AC$46)-((S75+T75)*('연도별 상수'!$AD$46*0.2-(1-'연도별 상수'!$AD$46)*0.4))+0.05*(S75+O75+P75),1)</f>
        <v>-9.4</v>
      </c>
      <c r="I75" s="27" t="n">
        <f aca="false">ROUND((0.75*AO75)+(AF75*(J75/144)),1)</f>
        <v>-7.1</v>
      </c>
      <c r="J75" s="28" t="n">
        <v>79</v>
      </c>
      <c r="K75" s="28" t="n">
        <v>277</v>
      </c>
      <c r="L75" s="28" t="n">
        <v>239</v>
      </c>
      <c r="M75" s="28" t="n">
        <v>21</v>
      </c>
      <c r="N75" s="28" t="n">
        <v>56</v>
      </c>
      <c r="O75" s="28" t="n">
        <v>10</v>
      </c>
      <c r="P75" s="28" t="n">
        <v>1</v>
      </c>
      <c r="Q75" s="28" t="n">
        <v>3</v>
      </c>
      <c r="R75" s="28" t="n">
        <v>30</v>
      </c>
      <c r="S75" s="7" t="n">
        <v>0</v>
      </c>
      <c r="T75" s="7" t="n">
        <v>0</v>
      </c>
      <c r="U75" s="28" t="n">
        <v>32</v>
      </c>
      <c r="V75" s="28" t="n">
        <v>1</v>
      </c>
      <c r="W75" s="28" t="n">
        <v>1</v>
      </c>
      <c r="X75" s="28" t="n">
        <v>38</v>
      </c>
      <c r="Y75" s="28" t="n">
        <v>7</v>
      </c>
      <c r="Z75" s="28" t="n">
        <v>2</v>
      </c>
      <c r="AA75" s="29" t="n">
        <f aca="false">ROUND(N75/L75,3)</f>
        <v>0.234</v>
      </c>
      <c r="AB75" s="29" t="n">
        <f aca="false">ROUND((N75+U75+V75)/(L75+U75+V75+Z75),3)</f>
        <v>0.325</v>
      </c>
      <c r="AC75" s="29" t="n">
        <f aca="false">ROUND(((N75-O75-P75-Q75)+2*O75+3*P75+4*Q75)/L75,3)</f>
        <v>0.322</v>
      </c>
      <c r="AD75" s="29" t="n">
        <f aca="false">ROUND(AB75+AC75,3)</f>
        <v>0.647</v>
      </c>
      <c r="AE75" s="30" t="n">
        <f aca="false">ROUND((('연도별 상수'!$N$46*(U75-W75))+('연도별 상수'!$O$46*V75)+('연도별 상수'!$P$46*(N75-O75-P75-Q75))+('연도별 상수'!$Q$46*O75)+('연도별 상수'!$R$46*P75)+('연도별 상수'!$S$46*Q75))/(L75+U75+V75-W75+Z75),3)</f>
        <v>0.305</v>
      </c>
      <c r="AF75" s="31" t="n">
        <f aca="false">'연도별 상수'!AG$3</f>
        <v>-10.22</v>
      </c>
      <c r="AG75" s="9" t="n">
        <f aca="false">'연도별 상수'!AH$3</f>
        <v>-8</v>
      </c>
      <c r="AH75" s="9" t="n">
        <f aca="false">'연도별 상수'!$C$46</f>
        <v>0.931727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9" t="n">
        <v>-2</v>
      </c>
      <c r="AP75" s="1" t="n">
        <f aca="false">K75</f>
        <v>277</v>
      </c>
      <c r="AQ75" s="7" t="n">
        <v>0</v>
      </c>
    </row>
    <row r="76" customFormat="false" ht="26.25" hidden="false" customHeight="true" outlineLevel="0" collapsed="false">
      <c r="A76" s="10" t="n">
        <v>75</v>
      </c>
      <c r="B76" s="23" t="s">
        <v>126</v>
      </c>
      <c r="C76" s="24" t="str">
        <f aca="false">'연도별 상수'!AE$3</f>
        <v>1B</v>
      </c>
      <c r="D76" s="25" t="s">
        <v>76</v>
      </c>
      <c r="E76" s="24" t="n">
        <f aca="false">'연도별 상수'!$A$46</f>
        <v>2026</v>
      </c>
      <c r="F76" s="26" t="n">
        <f aca="false">ROUND(((H76)+(I76)+(AG76*K76/600)+(20*K76/600))/'연도별 상수'!$U$46,2)</f>
        <v>-0.94</v>
      </c>
      <c r="G76" s="27" t="n">
        <f aca="false">ROUND(100*(((((AE76-'리그 타자'!$B$46)/'연도별 상수'!$T$46)+'연도별 상수'!$W$46))+('연도별 상수'!$W$46*(1-AH76)))/'연도별 상수'!$W$46,1)</f>
        <v>56</v>
      </c>
      <c r="H76" s="27" t="n">
        <f aca="false">ROUND((((AE76-'리그 타자'!$B$46)/'연도별 상수'!$T$46)*K76/AH76)+(S76*'연도별 상수'!$AB$46-T76*'연도별 상수'!$AC$46)-((S76+T76)*('연도별 상수'!$AD$46*0.2-(1-'연도별 상수'!$AD$46)*0.4))+0.05*(S76+O76+P76),1)</f>
        <v>-5.2</v>
      </c>
      <c r="I76" s="27" t="n">
        <f aca="false">ROUND((0.75*AO76)+(AF76*(J76/144)),1)</f>
        <v>-8.7</v>
      </c>
      <c r="J76" s="28" t="n">
        <v>48</v>
      </c>
      <c r="K76" s="28" t="n">
        <v>188</v>
      </c>
      <c r="L76" s="28" t="n">
        <v>167</v>
      </c>
      <c r="M76" s="28" t="n">
        <v>18</v>
      </c>
      <c r="N76" s="28" t="n">
        <v>38</v>
      </c>
      <c r="O76" s="28" t="n">
        <v>7</v>
      </c>
      <c r="P76" s="28" t="n">
        <v>0</v>
      </c>
      <c r="Q76" s="28" t="n">
        <v>5</v>
      </c>
      <c r="R76" s="28" t="n">
        <v>27</v>
      </c>
      <c r="S76" s="7" t="n">
        <v>1</v>
      </c>
      <c r="T76" s="7" t="n">
        <v>0</v>
      </c>
      <c r="U76" s="28" t="n">
        <v>18</v>
      </c>
      <c r="V76" s="28" t="n">
        <v>0</v>
      </c>
      <c r="W76" s="28" t="n">
        <v>0</v>
      </c>
      <c r="X76" s="28" t="n">
        <v>31</v>
      </c>
      <c r="Y76" s="28" t="n">
        <v>6</v>
      </c>
      <c r="Z76" s="28" t="n">
        <v>3</v>
      </c>
      <c r="AA76" s="29" t="n">
        <f aca="false">ROUND(N76/L76,3)</f>
        <v>0.228</v>
      </c>
      <c r="AB76" s="29" t="n">
        <f aca="false">ROUND((N76+U76+V76)/(L76+U76+V76+Z76),3)</f>
        <v>0.298</v>
      </c>
      <c r="AC76" s="29" t="n">
        <f aca="false">ROUND(((N76-O76-P76-Q76)+2*O76+3*P76+4*Q76)/L76,3)</f>
        <v>0.359</v>
      </c>
      <c r="AD76" s="29" t="n">
        <f aca="false">ROUND(AB76+AC76,3)</f>
        <v>0.657</v>
      </c>
      <c r="AE76" s="30" t="n">
        <f aca="false">ROUND((('연도별 상수'!$N$46*(U76-W76))+('연도별 상수'!$O$46*V76)+('연도별 상수'!$P$46*(N76-O76-P76-Q76))+('연도별 상수'!$Q$46*O76)+('연도별 상수'!$R$46*P76)+('연도별 상수'!$S$46*Q76))/(L76+U76+V76-W76+Z76),3)</f>
        <v>0.302</v>
      </c>
      <c r="AF76" s="31" t="n">
        <f aca="false">'연도별 상수'!AG$3</f>
        <v>-10.22</v>
      </c>
      <c r="AG76" s="9" t="n">
        <f aca="false">'연도별 상수'!AH$3</f>
        <v>-8</v>
      </c>
      <c r="AH76" s="9" t="n">
        <f aca="false">'연도별 상수'!$I$46</f>
        <v>1.163773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9" t="n">
        <v>-7</v>
      </c>
      <c r="AP76" s="1" t="n">
        <f aca="false">K76</f>
        <v>188</v>
      </c>
      <c r="AQ76" s="7" t="n">
        <v>0</v>
      </c>
    </row>
    <row r="77" customFormat="false" ht="26.25" hidden="false" customHeight="true" outlineLevel="0" collapsed="false">
      <c r="A77" s="10" t="n">
        <v>76</v>
      </c>
      <c r="B77" s="23" t="s">
        <v>127</v>
      </c>
      <c r="C77" s="24" t="str">
        <f aca="false">'연도별 상수'!AE$10</f>
        <v>DH</v>
      </c>
      <c r="D77" s="25" t="s">
        <v>76</v>
      </c>
      <c r="E77" s="24" t="n">
        <f aca="false">'연도별 상수'!$A$46</f>
        <v>2026</v>
      </c>
      <c r="F77" s="26" t="n">
        <f aca="false">ROUND(((H77)+(I77)+(AG77*K77/600)+(20*K77/600))/'연도별 상수'!$U$46,2)</f>
        <v>-1.42</v>
      </c>
      <c r="G77" s="27" t="n">
        <f aca="false">ROUND(100*(((((AE77-'리그 타자'!$B$46)/'연도별 상수'!$T$46)+'연도별 상수'!$W$46))+('연도별 상수'!$W$46*(1-AH77)))/'연도별 상수'!$W$46,1)</f>
        <v>33</v>
      </c>
      <c r="H77" s="27" t="n">
        <f aca="false">ROUND((((AE77-'리그 타자'!$B$46)/'연도별 상수'!$T$46)*K77/AH77)+(S77*'연도별 상수'!$AB$46-T77*'연도별 상수'!$AC$46)-((S77+T77)*('연도별 상수'!$AD$46*0.2-(1-'연도별 상수'!$AD$46)*0.4))+0.05*(S77+O77+P77),1)</f>
        <v>-11</v>
      </c>
      <c r="I77" s="27" t="n">
        <f aca="false">ROUND((0.75*AO77)+(AF77*(J77/144)),1)</f>
        <v>-6</v>
      </c>
      <c r="J77" s="28" t="n">
        <v>52</v>
      </c>
      <c r="K77" s="28" t="n">
        <v>193</v>
      </c>
      <c r="L77" s="28" t="n">
        <v>178</v>
      </c>
      <c r="M77" s="28" t="n">
        <v>12</v>
      </c>
      <c r="N77" s="28" t="n">
        <v>40</v>
      </c>
      <c r="O77" s="28" t="n">
        <v>6</v>
      </c>
      <c r="P77" s="28" t="n">
        <v>0</v>
      </c>
      <c r="Q77" s="28" t="n">
        <v>2</v>
      </c>
      <c r="R77" s="28" t="n">
        <v>13</v>
      </c>
      <c r="S77" s="7" t="n">
        <v>0</v>
      </c>
      <c r="T77" s="7" t="n">
        <v>1</v>
      </c>
      <c r="U77" s="28" t="n">
        <v>13</v>
      </c>
      <c r="V77" s="28" t="n">
        <v>0</v>
      </c>
      <c r="W77" s="28" t="n">
        <v>0</v>
      </c>
      <c r="X77" s="28" t="n">
        <v>29</v>
      </c>
      <c r="Y77" s="28" t="n">
        <v>4</v>
      </c>
      <c r="Z77" s="28" t="n">
        <v>2</v>
      </c>
      <c r="AA77" s="29" t="n">
        <f aca="false">ROUND(N77/L77,3)</f>
        <v>0.225</v>
      </c>
      <c r="AB77" s="29" t="n">
        <f aca="false">ROUND((N77+U77+V77)/(L77+U77+V77+Z77),3)</f>
        <v>0.275</v>
      </c>
      <c r="AC77" s="29" t="n">
        <f aca="false">ROUND(((N77-O77-P77-Q77)+2*O77+3*P77+4*Q77)/L77,3)</f>
        <v>0.292</v>
      </c>
      <c r="AD77" s="29" t="n">
        <f aca="false">ROUND(AB77+AC77,3)</f>
        <v>0.567</v>
      </c>
      <c r="AE77" s="30" t="n">
        <f aca="false">ROUND((('연도별 상수'!$N$46*(U77-W77))+('연도별 상수'!$O$46*V77)+('연도별 상수'!$P$46*(N77-O77-P77-Q77))+('연도별 상수'!$Q$46*O77)+('연도별 상수'!$R$46*P77)+('연도별 상수'!$S$46*Q77))/(L77+U77+V77-W77+Z77),3)</f>
        <v>0.265</v>
      </c>
      <c r="AF77" s="31" t="n">
        <f aca="false">'연도별 상수'!AG$10</f>
        <v>-12.5</v>
      </c>
      <c r="AG77" s="9" t="n">
        <f aca="false">'연도별 상수'!AH$10</f>
        <v>-15</v>
      </c>
      <c r="AH77" s="9" t="n">
        <f aca="false">'연도별 상수'!$I$46</f>
        <v>1.163773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9" t="n">
        <v>-2</v>
      </c>
      <c r="AP77" s="1" t="n">
        <f aca="false">K77</f>
        <v>193</v>
      </c>
      <c r="AQ77" s="7" t="n">
        <v>0</v>
      </c>
    </row>
    <row r="117" s="7" customFormat="true" ht="26.25" hidden="false" customHeight="true" outlineLevel="0" collapsed="false"/>
    <row r="204" s="7" customFormat="true" ht="26.25" hidden="false" customHeight="true" outlineLevel="0" collapsed="false"/>
    <row r="211" s="7" customFormat="true" ht="26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4.78125" defaultRowHeight="26.25" customHeight="true" zeroHeight="false" outlineLevelRow="0" outlineLevelCol="0"/>
  <cols>
    <col collapsed="false" customWidth="true" hidden="false" outlineLevel="0" max="1" min="1" style="1" width="4.07"/>
    <col collapsed="false" customWidth="true" hidden="false" outlineLevel="0" max="2" min="2" style="1" width="11.28"/>
    <col collapsed="false" customWidth="true" hidden="false" outlineLevel="0" max="3" min="3" style="1" width="3.78"/>
    <col collapsed="false" customWidth="true" hidden="false" outlineLevel="0" max="4" min="4" style="1" width="5.78"/>
    <col collapsed="false" customWidth="true" hidden="false" outlineLevel="0" max="5" min="5" style="32" width="6.17"/>
    <col collapsed="false" customWidth="true" hidden="false" outlineLevel="0" max="6" min="6" style="1" width="6.78"/>
    <col collapsed="false" customWidth="true" hidden="false" outlineLevel="0" max="7" min="7" style="7" width="4.87"/>
    <col collapsed="false" customWidth="true" hidden="false" outlineLevel="0" max="8" min="8" style="1" width="4.87"/>
    <col collapsed="false" customWidth="true" hidden="false" outlineLevel="0" max="9" min="9" style="33" width="6.78"/>
    <col collapsed="false" customWidth="true" hidden="false" outlineLevel="0" max="10" min="10" style="12" width="5.28"/>
    <col collapsed="false" customWidth="true" hidden="false" outlineLevel="0" max="11" min="11" style="34" width="6.78"/>
    <col collapsed="false" customWidth="true" hidden="false" outlineLevel="0" max="12" min="12" style="12" width="6.78"/>
    <col collapsed="false" customWidth="true" hidden="false" outlineLevel="0" max="14" min="13" style="1" width="5.28"/>
    <col collapsed="false" customWidth="true" hidden="false" outlineLevel="0" max="16" min="15" style="7" width="4.98"/>
    <col collapsed="false" customWidth="true" hidden="false" outlineLevel="0" max="19" min="17" style="7" width="5.78"/>
    <col collapsed="false" customWidth="true" hidden="false" outlineLevel="0" max="20" min="20" style="35" width="6.78"/>
    <col collapsed="false" customWidth="true" hidden="false" outlineLevel="0" max="21" min="21" style="12" width="6.78"/>
    <col collapsed="false" customWidth="true" hidden="false" outlineLevel="0" max="23" min="22" style="35" width="6.78"/>
    <col collapsed="false" customWidth="true" hidden="false" outlineLevel="0" max="25" min="24" style="1" width="7.28"/>
    <col collapsed="false" customWidth="false" hidden="false" outlineLevel="0" max="27" min="26" style="7" width="4.78"/>
    <col collapsed="false" customWidth="true" hidden="false" outlineLevel="0" max="32" min="28" style="7" width="4.98"/>
    <col collapsed="false" customWidth="true" hidden="false" outlineLevel="0" max="33" min="33" style="7" width="4.28"/>
    <col collapsed="false" customWidth="true" hidden="false" outlineLevel="0" max="34" min="34" style="7" width="4.98"/>
    <col collapsed="false" customWidth="false" hidden="false" outlineLevel="0" max="36" min="35" style="7" width="4.78"/>
    <col collapsed="false" customWidth="true" hidden="false" outlineLevel="0" max="37" min="37" style="7" width="4.28"/>
    <col collapsed="false" customWidth="false" hidden="false" outlineLevel="0" max="16378" min="38" style="7" width="4.78"/>
    <col collapsed="false" customWidth="true" hidden="false" outlineLevel="0" max="16384" min="16379" style="7" width="8.79"/>
  </cols>
  <sheetData>
    <row r="1" s="36" customFormat="true" ht="34.5" hidden="false" customHeight="true" outlineLevel="0" collapsed="false">
      <c r="A1" s="36" t="s">
        <v>0</v>
      </c>
      <c r="B1" s="36" t="s">
        <v>1</v>
      </c>
      <c r="C1" s="36" t="s">
        <v>2</v>
      </c>
      <c r="D1" s="36" t="s">
        <v>3</v>
      </c>
      <c r="E1" s="37" t="s">
        <v>4</v>
      </c>
      <c r="F1" s="38" t="s">
        <v>128</v>
      </c>
      <c r="G1" s="36" t="s">
        <v>10</v>
      </c>
      <c r="H1" s="36" t="s">
        <v>129</v>
      </c>
      <c r="I1" s="39" t="s">
        <v>30</v>
      </c>
      <c r="J1" s="40" t="s">
        <v>130</v>
      </c>
      <c r="K1" s="41" t="s">
        <v>6</v>
      </c>
      <c r="L1" s="42" t="s">
        <v>131</v>
      </c>
      <c r="M1" s="36" t="s">
        <v>132</v>
      </c>
      <c r="N1" s="36" t="s">
        <v>133</v>
      </c>
      <c r="O1" s="36" t="s">
        <v>134</v>
      </c>
      <c r="P1" s="36" t="s">
        <v>135</v>
      </c>
      <c r="Q1" s="36" t="s">
        <v>136</v>
      </c>
      <c r="R1" s="36" t="s">
        <v>137</v>
      </c>
      <c r="S1" s="36" t="s">
        <v>138</v>
      </c>
      <c r="T1" s="43" t="s">
        <v>36</v>
      </c>
      <c r="U1" s="42" t="s">
        <v>37</v>
      </c>
      <c r="V1" s="43" t="s">
        <v>39</v>
      </c>
      <c r="W1" s="43" t="s">
        <v>38</v>
      </c>
      <c r="X1" s="42" t="s">
        <v>34</v>
      </c>
      <c r="Y1" s="42" t="s">
        <v>35</v>
      </c>
    </row>
    <row r="2" customFormat="false" ht="26.25" hidden="false" customHeight="true" outlineLevel="0" collapsed="false">
      <c r="A2" s="24" t="n">
        <f aca="false">'기본-타자'!A2</f>
        <v>1</v>
      </c>
      <c r="B2" s="24" t="str">
        <f aca="false">'기본-타자'!B2</f>
        <v>오스틴</v>
      </c>
      <c r="C2" s="24" t="str">
        <f aca="false">'기본-타자'!C2</f>
        <v>1B</v>
      </c>
      <c r="D2" s="24" t="str">
        <f aca="false">'기본-타자'!D2</f>
        <v>LG</v>
      </c>
      <c r="E2" s="44" t="n">
        <f aca="false">'기본-타자'!E2</f>
        <v>2026</v>
      </c>
      <c r="F2" s="45" t="n">
        <f aca="false">ROUND((('기본-타자'!H2)+('기본-타자'!AG2*'기본-타자'!K2/600)+(20*'기본-타자'!K2/600))/'연도별 상수'!$U$46,2)</f>
        <v>4.76</v>
      </c>
      <c r="G2" s="9" t="n">
        <f aca="false">'기본-타자'!K2</f>
        <v>378</v>
      </c>
      <c r="H2" s="24" t="n">
        <f aca="false">'기본-타자'!O2+'기본-타자'!P2+'기본-타자'!Q2</f>
        <v>48</v>
      </c>
      <c r="I2" s="46" t="n">
        <f aca="false">ROUND('기본-타자'!AE2,3)</f>
        <v>0.469</v>
      </c>
      <c r="J2" s="47" t="n">
        <f aca="false">ROUND(((I2-'리그 타자'!$B$46)/'연도별 상수'!$T$46+'연도별 상수'!$W$46)*G2,1)</f>
        <v>86.4</v>
      </c>
      <c r="K2" s="27" t="n">
        <f aca="false">'기본-타자'!G2</f>
        <v>189.2</v>
      </c>
      <c r="L2" s="47" t="n">
        <f aca="false">ROUND(100*('기본-타자'!AB2/'리그 타자'!$R$46+'기본-타자'!AC2/'리그 타자'!$S$46-1)/'기본-타자'!AH2,1)</f>
        <v>210.9</v>
      </c>
      <c r="M2" s="24" t="n">
        <f aca="false">ROUND('기본-타자'!X2/G2*100,1)</f>
        <v>15.3</v>
      </c>
      <c r="N2" s="24" t="n">
        <f aca="false">ROUND('기본-타자'!U2/G2*100,1)</f>
        <v>11.1</v>
      </c>
      <c r="O2" s="9" t="n">
        <f aca="false">ROUND('기본-타자'!U2/'기본-타자'!X2,1)</f>
        <v>0.7</v>
      </c>
      <c r="P2" s="9" t="n">
        <f aca="false">ROUND('기본-타자'!Q2/G2*100,1)</f>
        <v>7.1</v>
      </c>
      <c r="Q2" s="9" t="n">
        <f aca="false">ROUND(('기본-타자'!N2-'기본-타자'!Q2)/('기본-타자'!L2-'기본-타자'!X2-'기본-타자'!Q2+'기본-타자'!Z2),3)</f>
        <v>0.343</v>
      </c>
      <c r="R2" s="29" t="n">
        <f aca="false">ROUND('기본-타자'!AB2-'기본-타자'!AA2,3)</f>
        <v>0.082</v>
      </c>
      <c r="S2" s="29" t="n">
        <f aca="false">ROUND('기본-타자'!AC2-'기본-타자'!AA2,3)</f>
        <v>0.322</v>
      </c>
      <c r="T2" s="48" t="n">
        <f aca="false">'기본-타자'!AK2</f>
        <v>0</v>
      </c>
      <c r="U2" s="47" t="n">
        <f aca="false">'기본-타자'!AL2</f>
        <v>0</v>
      </c>
      <c r="V2" s="48" t="n">
        <f aca="false">'기본-타자'!AN2</f>
        <v>0</v>
      </c>
      <c r="W2" s="48" t="n">
        <f aca="false">'기본-타자'!AM2</f>
        <v>0</v>
      </c>
      <c r="X2" s="24" t="n">
        <f aca="false">'기본-타자'!AI2</f>
        <v>0</v>
      </c>
      <c r="Y2" s="24" t="n">
        <f aca="false">'기본-타자'!AJ2</f>
        <v>0</v>
      </c>
    </row>
    <row r="3" customFormat="false" ht="26.25" hidden="false" customHeight="true" outlineLevel="0" collapsed="false">
      <c r="A3" s="24" t="n">
        <f aca="false">'기본-타자'!A3</f>
        <v>2</v>
      </c>
      <c r="B3" s="24" t="str">
        <f aca="false">'기본-타자'!B3</f>
        <v>김주원</v>
      </c>
      <c r="C3" s="24" t="str">
        <f aca="false">'기본-타자'!C3</f>
        <v>SS</v>
      </c>
      <c r="D3" s="24" t="str">
        <f aca="false">'기본-타자'!D3</f>
        <v>NC</v>
      </c>
      <c r="E3" s="44" t="n">
        <f aca="false">'기본-타자'!E3</f>
        <v>2026</v>
      </c>
      <c r="F3" s="45" t="n">
        <f aca="false">ROUND((('기본-타자'!H3)+('기본-타자'!AG3*'기본-타자'!K3/600)+(20*'기본-타자'!K3/600))/'연도별 상수'!$U$46,2)</f>
        <v>3.01</v>
      </c>
      <c r="G3" s="9" t="n">
        <f aca="false">'기본-타자'!K3</f>
        <v>366</v>
      </c>
      <c r="H3" s="24" t="n">
        <f aca="false">'기본-타자'!O3+'기본-타자'!P3+'기본-타자'!Q3</f>
        <v>28</v>
      </c>
      <c r="I3" s="46" t="n">
        <f aca="false">ROUND('기본-타자'!AE3,3)</f>
        <v>0.389</v>
      </c>
      <c r="J3" s="47" t="n">
        <f aca="false">ROUND(((I3-'리그 타자'!$B$46)/'연도별 상수'!$T$46+'연도별 상수'!$W$46)*G3,1)</f>
        <v>60</v>
      </c>
      <c r="K3" s="27" t="n">
        <f aca="false">'기본-타자'!G3</f>
        <v>129.7</v>
      </c>
      <c r="L3" s="47" t="n">
        <f aca="false">ROUND(100*('기본-타자'!AB3/'리그 타자'!$R$46+'기본-타자'!AC3/'리그 타자'!$S$46-1)/'기본-타자'!AH3,1)</f>
        <v>131.5</v>
      </c>
      <c r="M3" s="24" t="n">
        <f aca="false">ROUND('기본-타자'!X3/G3*100,1)</f>
        <v>13.4</v>
      </c>
      <c r="N3" s="24" t="n">
        <f aca="false">ROUND('기본-타자'!U3/G3*100,1)</f>
        <v>7.9</v>
      </c>
      <c r="O3" s="9" t="n">
        <f aca="false">ROUND('기본-타자'!U3/'기본-타자'!X3,1)</f>
        <v>0.6</v>
      </c>
      <c r="P3" s="9" t="n">
        <f aca="false">ROUND('기본-타자'!Q3/G3*100,1)</f>
        <v>3.6</v>
      </c>
      <c r="Q3" s="9" t="n">
        <f aca="false">ROUND(('기본-타자'!N3-'기본-타자'!Q3)/('기본-타자'!L3-'기본-타자'!X3-'기본-타자'!Q3+'기본-타자'!Z3),3)</f>
        <v>0.326</v>
      </c>
      <c r="R3" s="29" t="n">
        <f aca="false">ROUND('기본-타자'!AB3-'기본-타자'!AA3,3)</f>
        <v>0.078</v>
      </c>
      <c r="S3" s="29" t="n">
        <f aca="false">ROUND('기본-타자'!AC3-'기본-타자'!AA3,3)</f>
        <v>0.169</v>
      </c>
      <c r="T3" s="48" t="n">
        <f aca="false">'기본-타자'!AK3</f>
        <v>0</v>
      </c>
      <c r="U3" s="47" t="n">
        <f aca="false">'기본-타자'!AL3</f>
        <v>0</v>
      </c>
      <c r="V3" s="48" t="n">
        <f aca="false">'기본-타자'!AN3</f>
        <v>0</v>
      </c>
      <c r="W3" s="48" t="n">
        <f aca="false">'기본-타자'!AM3</f>
        <v>0</v>
      </c>
      <c r="X3" s="24" t="n">
        <f aca="false">'기본-타자'!AI3</f>
        <v>0</v>
      </c>
      <c r="Y3" s="24" t="n">
        <f aca="false">'기본-타자'!AJ3</f>
        <v>0</v>
      </c>
    </row>
    <row r="4" customFormat="false" ht="26.25" hidden="false" customHeight="true" outlineLevel="0" collapsed="false">
      <c r="A4" s="24" t="n">
        <f aca="false">'기본-타자'!A4</f>
        <v>3</v>
      </c>
      <c r="B4" s="24" t="str">
        <f aca="false">'기본-타자'!B4</f>
        <v>김도영</v>
      </c>
      <c r="C4" s="24" t="str">
        <f aca="false">'기본-타자'!C4</f>
        <v>3B</v>
      </c>
      <c r="D4" s="24" t="str">
        <f aca="false">'기본-타자'!D4</f>
        <v>KIA</v>
      </c>
      <c r="E4" s="44" t="n">
        <f aca="false">'기본-타자'!E4</f>
        <v>2026</v>
      </c>
      <c r="F4" s="45" t="n">
        <f aca="false">ROUND((('기본-타자'!H4)+('기본-타자'!AG4*'기본-타자'!K4/600)+(20*'기본-타자'!K4/600))/'연도별 상수'!$U$46,2)</f>
        <v>3.97</v>
      </c>
      <c r="G4" s="9" t="n">
        <f aca="false">'기본-타자'!K4</f>
        <v>371</v>
      </c>
      <c r="H4" s="24" t="n">
        <f aca="false">'기본-타자'!O4+'기본-타자'!P4+'기본-타자'!Q4</f>
        <v>45</v>
      </c>
      <c r="I4" s="46" t="n">
        <f aca="false">ROUND('기본-타자'!AE4,3)</f>
        <v>0.436</v>
      </c>
      <c r="J4" s="47" t="n">
        <f aca="false">ROUND(((I4-'리그 타자'!$B$46)/'연도별 상수'!$T$46+'연도별 상수'!$W$46)*G4,1)</f>
        <v>74.9</v>
      </c>
      <c r="K4" s="27" t="n">
        <f aca="false">'기본-타자'!G4</f>
        <v>163.9</v>
      </c>
      <c r="L4" s="47" t="n">
        <f aca="false">ROUND(100*('기본-타자'!AB4/'리그 타자'!$R$46+'기본-타자'!AC4/'리그 타자'!$S$46-1)/'기본-타자'!AH4,1)</f>
        <v>179.5</v>
      </c>
      <c r="M4" s="24" t="n">
        <f aca="false">ROUND('기본-타자'!X4/G4*100,1)</f>
        <v>16.4</v>
      </c>
      <c r="N4" s="24" t="n">
        <f aca="false">ROUND('기본-타자'!U4/G4*100,1)</f>
        <v>12.7</v>
      </c>
      <c r="O4" s="9" t="n">
        <f aca="false">ROUND('기본-타자'!U4/'기본-타자'!X4,1)</f>
        <v>0.8</v>
      </c>
      <c r="P4" s="9" t="n">
        <f aca="false">ROUND('기본-타자'!Q4/G4*100,1)</f>
        <v>7.3</v>
      </c>
      <c r="Q4" s="9" t="n">
        <f aca="false">ROUND(('기본-타자'!N4-'기본-타자'!Q4)/('기본-타자'!L4-'기본-타자'!X4-'기본-타자'!Q4+'기본-타자'!Z4),3)</f>
        <v>0.29</v>
      </c>
      <c r="R4" s="29" t="n">
        <f aca="false">ROUND('기본-타자'!AB4-'기본-타자'!AA4,3)</f>
        <v>0.096</v>
      </c>
      <c r="S4" s="29" t="n">
        <f aca="false">ROUND('기본-타자'!AC4-'기본-타자'!AA4,3)</f>
        <v>0.318</v>
      </c>
      <c r="T4" s="48" t="n">
        <f aca="false">'기본-타자'!AK4</f>
        <v>0</v>
      </c>
      <c r="U4" s="47" t="n">
        <f aca="false">'기본-타자'!AL4</f>
        <v>0</v>
      </c>
      <c r="V4" s="48" t="n">
        <f aca="false">'기본-타자'!AN4</f>
        <v>0</v>
      </c>
      <c r="W4" s="48" t="n">
        <f aca="false">'기본-타자'!AM4</f>
        <v>0</v>
      </c>
      <c r="X4" s="24" t="n">
        <f aca="false">'기본-타자'!AI4</f>
        <v>0</v>
      </c>
      <c r="Y4" s="24" t="n">
        <f aca="false">'기본-타자'!AJ4</f>
        <v>0</v>
      </c>
    </row>
    <row r="5" customFormat="false" ht="26.25" hidden="false" customHeight="true" outlineLevel="0" collapsed="false">
      <c r="A5" s="24" t="n">
        <f aca="false">'기본-타자'!A5</f>
        <v>4</v>
      </c>
      <c r="B5" s="24" t="str">
        <f aca="false">'기본-타자'!B5</f>
        <v>박민우</v>
      </c>
      <c r="C5" s="24" t="str">
        <f aca="false">'기본-타자'!C5</f>
        <v>2B</v>
      </c>
      <c r="D5" s="24" t="str">
        <f aca="false">'기본-타자'!D5</f>
        <v>NC</v>
      </c>
      <c r="E5" s="44" t="n">
        <f aca="false">'기본-타자'!E5</f>
        <v>2026</v>
      </c>
      <c r="F5" s="45" t="n">
        <f aca="false">ROUND((('기본-타자'!H5)+('기본-타자'!AG5*'기본-타자'!K5/600)+(20*'기본-타자'!K5/600))/'연도별 상수'!$U$46,2)</f>
        <v>3.05</v>
      </c>
      <c r="G5" s="9" t="n">
        <f aca="false">'기본-타자'!K5</f>
        <v>329</v>
      </c>
      <c r="H5" s="24" t="n">
        <f aca="false">'기본-타자'!O5+'기본-타자'!P5+'기본-타자'!Q5</f>
        <v>23</v>
      </c>
      <c r="I5" s="46" t="n">
        <f aca="false">ROUND('기본-타자'!AE5,3)</f>
        <v>0.413</v>
      </c>
      <c r="J5" s="47" t="n">
        <f aca="false">ROUND(((I5-'리그 타자'!$B$46)/'연도별 상수'!$T$46+'연도별 상수'!$W$46)*G5,1)</f>
        <v>60.3</v>
      </c>
      <c r="K5" s="27" t="n">
        <f aca="false">'기본-타자'!G5</f>
        <v>144.7</v>
      </c>
      <c r="L5" s="47" t="n">
        <f aca="false">ROUND(100*('기본-타자'!AB5/'리그 타자'!$R$46+'기본-타자'!AC5/'리그 타자'!$S$46-1)/'기본-타자'!AH5,1)</f>
        <v>143.5</v>
      </c>
      <c r="M5" s="24" t="n">
        <f aca="false">ROUND('기본-타자'!X5/G5*100,1)</f>
        <v>11.2</v>
      </c>
      <c r="N5" s="24" t="n">
        <f aca="false">ROUND('기본-타자'!U5/G5*100,1)</f>
        <v>14</v>
      </c>
      <c r="O5" s="9" t="n">
        <f aca="false">ROUND('기본-타자'!U5/'기본-타자'!X5,1)</f>
        <v>1.2</v>
      </c>
      <c r="P5" s="9" t="n">
        <f aca="false">ROUND('기본-타자'!Q5/G5*100,1)</f>
        <v>1.5</v>
      </c>
      <c r="Q5" s="9" t="n">
        <f aca="false">ROUND(('기본-타자'!N5-'기본-타자'!Q5)/('기본-타자'!L5-'기본-타자'!X5-'기본-타자'!Q5+'기본-타자'!Z5),3)</f>
        <v>0.372</v>
      </c>
      <c r="R5" s="29" t="n">
        <f aca="false">ROUND('기본-타자'!AB5-'기본-타자'!AA5,3)</f>
        <v>0.102</v>
      </c>
      <c r="S5" s="29" t="n">
        <f aca="false">ROUND('기본-타자'!AC5-'기본-타자'!AA5,3)</f>
        <v>0.121</v>
      </c>
      <c r="T5" s="48" t="n">
        <f aca="false">'기본-타자'!AK5</f>
        <v>0</v>
      </c>
      <c r="U5" s="47" t="n">
        <f aca="false">'기본-타자'!AL5</f>
        <v>0</v>
      </c>
      <c r="V5" s="48" t="n">
        <f aca="false">'기본-타자'!AN5</f>
        <v>0</v>
      </c>
      <c r="W5" s="48" t="n">
        <f aca="false">'기본-타자'!AM5</f>
        <v>0</v>
      </c>
      <c r="X5" s="24" t="n">
        <f aca="false">'기본-타자'!AI5</f>
        <v>0</v>
      </c>
      <c r="Y5" s="24" t="n">
        <f aca="false">'기본-타자'!AJ5</f>
        <v>0</v>
      </c>
    </row>
    <row r="6" customFormat="false" ht="26.25" hidden="false" customHeight="true" outlineLevel="0" collapsed="false">
      <c r="A6" s="24" t="n">
        <f aca="false">'기본-타자'!A6</f>
        <v>5</v>
      </c>
      <c r="B6" s="24" t="str">
        <f aca="false">'기본-타자'!B6</f>
        <v>박성한</v>
      </c>
      <c r="C6" s="24" t="str">
        <f aca="false">'기본-타자'!C6</f>
        <v>SS</v>
      </c>
      <c r="D6" s="24" t="str">
        <f aca="false">'기본-타자'!D6</f>
        <v>SSG</v>
      </c>
      <c r="E6" s="44" t="n">
        <f aca="false">'기본-타자'!E6</f>
        <v>2026</v>
      </c>
      <c r="F6" s="45" t="n">
        <f aca="false">ROUND((('기본-타자'!H6)+('기본-타자'!AG6*'기본-타자'!K6/600)+(20*'기본-타자'!K6/600))/'연도별 상수'!$U$46,2)</f>
        <v>3.35</v>
      </c>
      <c r="G6" s="9" t="n">
        <f aca="false">'기본-타자'!K6</f>
        <v>374</v>
      </c>
      <c r="H6" s="24" t="n">
        <f aca="false">'기본-타자'!O6+'기본-타자'!P6+'기본-타자'!Q6</f>
        <v>24</v>
      </c>
      <c r="I6" s="46" t="n">
        <f aca="false">ROUND('기본-타자'!AE6,3)</f>
        <v>0.403</v>
      </c>
      <c r="J6" s="47" t="n">
        <f aca="false">ROUND(((I6-'리그 타자'!$B$46)/'연도별 상수'!$T$46+'연도별 상수'!$W$46)*G6,1)</f>
        <v>65.6</v>
      </c>
      <c r="K6" s="27" t="n">
        <f aca="false">'기본-타자'!G6</f>
        <v>140.9</v>
      </c>
      <c r="L6" s="47" t="n">
        <f aca="false">ROUND(100*('기본-타자'!AB6/'리그 타자'!$R$46+'기본-타자'!AC6/'리그 타자'!$S$46-1)/'기본-타자'!AH6,1)</f>
        <v>138.7</v>
      </c>
      <c r="M6" s="24" t="n">
        <f aca="false">ROUND('기본-타자'!X6/G6*100,1)</f>
        <v>12</v>
      </c>
      <c r="N6" s="24" t="n">
        <f aca="false">ROUND('기본-타자'!U6/G6*100,1)</f>
        <v>15</v>
      </c>
      <c r="O6" s="9" t="n">
        <f aca="false">ROUND('기본-타자'!U6/'기본-타자'!X6,1)</f>
        <v>1.2</v>
      </c>
      <c r="P6" s="9" t="n">
        <f aca="false">ROUND('기본-타자'!Q6/G6*100,1)</f>
        <v>0.8</v>
      </c>
      <c r="Q6" s="9" t="n">
        <f aca="false">ROUND(('기본-타자'!N6-'기본-타자'!Q6)/('기본-타자'!L6-'기본-타자'!X6-'기본-타자'!Q6+'기본-타자'!Z6),3)</f>
        <v>0.379</v>
      </c>
      <c r="R6" s="29" t="n">
        <f aca="false">ROUND('기본-타자'!AB6-'기본-타자'!AA6,3)</f>
        <v>0.1</v>
      </c>
      <c r="S6" s="29" t="n">
        <f aca="false">ROUND('기본-타자'!AC6-'기본-타자'!AA6,3)</f>
        <v>0.099</v>
      </c>
      <c r="T6" s="48" t="n">
        <f aca="false">'기본-타자'!AK6</f>
        <v>0</v>
      </c>
      <c r="U6" s="47" t="n">
        <f aca="false">'기본-타자'!AL6</f>
        <v>0</v>
      </c>
      <c r="V6" s="48" t="n">
        <f aca="false">'기본-타자'!AN6</f>
        <v>0</v>
      </c>
      <c r="W6" s="48" t="n">
        <f aca="false">'기본-타자'!AM6</f>
        <v>0</v>
      </c>
      <c r="X6" s="24" t="n">
        <f aca="false">'기본-타자'!AI6</f>
        <v>0</v>
      </c>
      <c r="Y6" s="24" t="n">
        <f aca="false">'기본-타자'!AJ6</f>
        <v>0</v>
      </c>
    </row>
    <row r="7" customFormat="false" ht="26.25" hidden="false" customHeight="true" outlineLevel="0" collapsed="false">
      <c r="A7" s="24" t="n">
        <f aca="false">'기본-타자'!A7</f>
        <v>6</v>
      </c>
      <c r="B7" s="24" t="str">
        <f aca="false">'기본-타자'!B7</f>
        <v>한준수</v>
      </c>
      <c r="C7" s="24" t="str">
        <f aca="false">'기본-타자'!C7</f>
        <v>C</v>
      </c>
      <c r="D7" s="24" t="str">
        <f aca="false">'기본-타자'!D7</f>
        <v>KIA</v>
      </c>
      <c r="E7" s="44" t="n">
        <f aca="false">'기본-타자'!E7</f>
        <v>2026</v>
      </c>
      <c r="F7" s="45" t="n">
        <f aca="false">ROUND((('기본-타자'!H7)+('기본-타자'!AG7*'기본-타자'!K7/600)+(20*'기본-타자'!K7/600))/'연도별 상수'!$U$46,2)</f>
        <v>2.76</v>
      </c>
      <c r="G7" s="9" t="n">
        <f aca="false">'기본-타자'!K7</f>
        <v>256</v>
      </c>
      <c r="H7" s="24" t="n">
        <f aca="false">'기본-타자'!O7+'기본-타자'!P7+'기본-타자'!Q7</f>
        <v>23</v>
      </c>
      <c r="I7" s="46" t="n">
        <f aca="false">ROUND('기본-타자'!AE7,3)</f>
        <v>0.42</v>
      </c>
      <c r="J7" s="47" t="n">
        <f aca="false">ROUND(((I7-'리그 타자'!$B$46)/'연도별 상수'!$T$46+'연도별 상수'!$W$46)*G7,1)</f>
        <v>48.4</v>
      </c>
      <c r="K7" s="27" t="n">
        <f aca="false">'기본-타자'!G7</f>
        <v>153.9</v>
      </c>
      <c r="L7" s="47" t="n">
        <f aca="false">ROUND(100*('기본-타자'!AB7/'리그 타자'!$R$46+'기본-타자'!AC7/'리그 타자'!$S$46-1)/'기본-타자'!AH7,1)</f>
        <v>157.9</v>
      </c>
      <c r="M7" s="24" t="n">
        <f aca="false">ROUND('기본-타자'!X7/G7*100,1)</f>
        <v>14.5</v>
      </c>
      <c r="N7" s="24" t="n">
        <f aca="false">ROUND('기본-타자'!U7/G7*100,1)</f>
        <v>14.1</v>
      </c>
      <c r="O7" s="9" t="n">
        <f aca="false">ROUND('기본-타자'!U7/'기본-타자'!X7,1)</f>
        <v>1</v>
      </c>
      <c r="P7" s="9" t="n">
        <f aca="false">ROUND('기본-타자'!Q7/G7*100,1)</f>
        <v>2.3</v>
      </c>
      <c r="Q7" s="9" t="n">
        <f aca="false">ROUND(('기본-타자'!N7-'기본-타자'!Q7)/('기본-타자'!L7-'기본-타자'!X7-'기본-타자'!Q7+'기본-타자'!Z7),3)</f>
        <v>0.365</v>
      </c>
      <c r="R7" s="29" t="n">
        <f aca="false">ROUND('기본-타자'!AB7-'기본-타자'!AA7,3)</f>
        <v>0.111</v>
      </c>
      <c r="S7" s="29" t="n">
        <f aca="false">ROUND('기본-타자'!AC7-'기본-타자'!AA7,3)</f>
        <v>0.168</v>
      </c>
      <c r="T7" s="48" t="n">
        <f aca="false">'기본-타자'!AK7</f>
        <v>0</v>
      </c>
      <c r="U7" s="47" t="n">
        <f aca="false">'기본-타자'!AL7</f>
        <v>0</v>
      </c>
      <c r="V7" s="48" t="n">
        <f aca="false">'기본-타자'!AN7</f>
        <v>0</v>
      </c>
      <c r="W7" s="48" t="n">
        <f aca="false">'기본-타자'!AM7</f>
        <v>0</v>
      </c>
      <c r="X7" s="24" t="n">
        <f aca="false">'기본-타자'!AI7</f>
        <v>0</v>
      </c>
      <c r="Y7" s="24" t="n">
        <f aca="false">'기본-타자'!AJ7</f>
        <v>0</v>
      </c>
    </row>
    <row r="8" customFormat="false" ht="26.25" hidden="false" customHeight="true" outlineLevel="0" collapsed="false">
      <c r="A8" s="24" t="n">
        <f aca="false">'기본-타자'!A8</f>
        <v>7</v>
      </c>
      <c r="B8" s="24" t="str">
        <f aca="false">'기본-타자'!B8</f>
        <v>최정</v>
      </c>
      <c r="C8" s="24" t="str">
        <f aca="false">'기본-타자'!C8</f>
        <v>3B</v>
      </c>
      <c r="D8" s="24" t="str">
        <f aca="false">'기본-타자'!D8</f>
        <v>SSG</v>
      </c>
      <c r="E8" s="44" t="n">
        <f aca="false">'기본-타자'!E8</f>
        <v>2026</v>
      </c>
      <c r="F8" s="45" t="n">
        <f aca="false">ROUND((('기본-타자'!H8)+('기본-타자'!AG8*'기본-타자'!K8/600)+(20*'기본-타자'!K8/600))/'연도별 상수'!$U$46,2)</f>
        <v>3.08</v>
      </c>
      <c r="G8" s="9" t="n">
        <f aca="false">'기본-타자'!K8</f>
        <v>300</v>
      </c>
      <c r="H8" s="24" t="n">
        <f aca="false">'기본-타자'!O8+'기본-타자'!P8+'기본-타자'!Q8</f>
        <v>37</v>
      </c>
      <c r="I8" s="46" t="n">
        <f aca="false">ROUND('기본-타자'!AE8,3)</f>
        <v>0.435</v>
      </c>
      <c r="J8" s="47" t="n">
        <f aca="false">ROUND(((I8-'리그 타자'!$B$46)/'연도별 상수'!$T$46+'연도별 상수'!$W$46)*G8,1)</f>
        <v>60.4</v>
      </c>
      <c r="K8" s="27" t="n">
        <f aca="false">'기본-타자'!G8</f>
        <v>160.9</v>
      </c>
      <c r="L8" s="47" t="n">
        <f aca="false">ROUND(100*('기본-타자'!AB8/'리그 타자'!$R$46+'기본-타자'!AC8/'리그 타자'!$S$46-1)/'기본-타자'!AH8,1)</f>
        <v>175.2</v>
      </c>
      <c r="M8" s="24" t="n">
        <f aca="false">ROUND('기본-타자'!X8/G8*100,1)</f>
        <v>22</v>
      </c>
      <c r="N8" s="24" t="n">
        <f aca="false">ROUND('기본-타자'!U8/G8*100,1)</f>
        <v>12.3</v>
      </c>
      <c r="O8" s="9" t="n">
        <f aca="false">ROUND('기본-타자'!U8/'기본-타자'!X8,1)</f>
        <v>0.6</v>
      </c>
      <c r="P8" s="9" t="n">
        <f aca="false">ROUND('기본-타자'!Q8/G8*100,1)</f>
        <v>6.3</v>
      </c>
      <c r="Q8" s="9" t="n">
        <f aca="false">ROUND(('기본-타자'!N8-'기본-타자'!Q8)/('기본-타자'!L8-'기본-타자'!X8-'기본-타자'!Q8+'기본-타자'!Z8),3)</f>
        <v>0.337</v>
      </c>
      <c r="R8" s="29" t="n">
        <f aca="false">ROUND('기본-타자'!AB8-'기본-타자'!AA8,3)</f>
        <v>0.093</v>
      </c>
      <c r="S8" s="29" t="n">
        <f aca="false">ROUND('기본-타자'!AC8-'기본-타자'!AA8,3)</f>
        <v>0.303</v>
      </c>
      <c r="T8" s="48" t="n">
        <f aca="false">'기본-타자'!AK8</f>
        <v>0</v>
      </c>
      <c r="U8" s="47" t="n">
        <f aca="false">'기본-타자'!AL8</f>
        <v>0</v>
      </c>
      <c r="V8" s="48" t="n">
        <f aca="false">'기본-타자'!AN8</f>
        <v>0</v>
      </c>
      <c r="W8" s="48" t="n">
        <f aca="false">'기본-타자'!AM8</f>
        <v>0</v>
      </c>
      <c r="X8" s="24" t="n">
        <f aca="false">'기본-타자'!AI8</f>
        <v>0</v>
      </c>
      <c r="Y8" s="24" t="n">
        <f aca="false">'기본-타자'!AJ8</f>
        <v>0</v>
      </c>
    </row>
    <row r="9" customFormat="false" ht="26.25" hidden="false" customHeight="true" outlineLevel="0" collapsed="false">
      <c r="A9" s="24" t="n">
        <f aca="false">'기본-타자'!A9</f>
        <v>8</v>
      </c>
      <c r="B9" s="24" t="str">
        <f aca="false">'기본-타자'!B9</f>
        <v>박찬호</v>
      </c>
      <c r="C9" s="24" t="str">
        <f aca="false">'기본-타자'!C9</f>
        <v>SS</v>
      </c>
      <c r="D9" s="24" t="str">
        <f aca="false">'기본-타자'!D9</f>
        <v>DOO</v>
      </c>
      <c r="E9" s="44" t="n">
        <f aca="false">'기본-타자'!E9</f>
        <v>2026</v>
      </c>
      <c r="F9" s="45" t="n">
        <f aca="false">ROUND((('기본-타자'!H9)+('기본-타자'!AG9*'기본-타자'!K9/600)+(20*'기본-타자'!K9/600))/'연도별 상수'!$U$46,2)</f>
        <v>1.73</v>
      </c>
      <c r="G9" s="9" t="n">
        <f aca="false">'기본-타자'!K9</f>
        <v>368</v>
      </c>
      <c r="H9" s="24" t="n">
        <f aca="false">'기본-타자'!O9+'기본-타자'!P9+'기본-타자'!Q9</f>
        <v>24</v>
      </c>
      <c r="I9" s="46" t="n">
        <f aca="false">ROUND('기본-타자'!AE9,3)</f>
        <v>0.343</v>
      </c>
      <c r="J9" s="47" t="n">
        <f aca="false">ROUND(((I9-'리그 타자'!$B$46)/'연도별 상수'!$T$46+'연도별 상수'!$W$46)*G9,1)</f>
        <v>46.7</v>
      </c>
      <c r="K9" s="27" t="n">
        <f aca="false">'기본-타자'!G9</f>
        <v>110.7</v>
      </c>
      <c r="L9" s="47" t="n">
        <f aca="false">ROUND(100*('기본-타자'!AB9/'리그 타자'!$R$46+'기본-타자'!AC9/'리그 타자'!$S$46-1)/'기본-타자'!AH9,1)</f>
        <v>112</v>
      </c>
      <c r="M9" s="24" t="n">
        <f aca="false">ROUND('기본-타자'!X9/G9*100,1)</f>
        <v>13.6</v>
      </c>
      <c r="N9" s="24" t="n">
        <f aca="false">ROUND('기본-타자'!U9/G9*100,1)</f>
        <v>9.8</v>
      </c>
      <c r="O9" s="9" t="n">
        <f aca="false">ROUND('기본-타자'!U9/'기본-타자'!X9,1)</f>
        <v>0.7</v>
      </c>
      <c r="P9" s="9" t="n">
        <f aca="false">ROUND('기본-타자'!Q9/G9*100,1)</f>
        <v>1.1</v>
      </c>
      <c r="Q9" s="9" t="n">
        <f aca="false">ROUND(('기본-타자'!N9-'기본-타자'!Q9)/('기본-타자'!L9-'기본-타자'!X9-'기본-타자'!Q9+'기본-타자'!Z9),3)</f>
        <v>0.32</v>
      </c>
      <c r="R9" s="29" t="n">
        <f aca="false">ROUND('기본-타자'!AB9-'기본-타자'!AA9,3)</f>
        <v>0.074</v>
      </c>
      <c r="S9" s="29" t="n">
        <f aca="false">ROUND('기본-타자'!AC9-'기본-타자'!AA9,3)</f>
        <v>0.107</v>
      </c>
      <c r="T9" s="48" t="n">
        <f aca="false">'기본-타자'!AK9</f>
        <v>0</v>
      </c>
      <c r="U9" s="47" t="n">
        <f aca="false">'기본-타자'!AL9</f>
        <v>0</v>
      </c>
      <c r="V9" s="48" t="n">
        <f aca="false">'기본-타자'!AN9</f>
        <v>0</v>
      </c>
      <c r="W9" s="48" t="n">
        <f aca="false">'기본-타자'!AM9</f>
        <v>0</v>
      </c>
      <c r="X9" s="24" t="n">
        <f aca="false">'기본-타자'!AI9</f>
        <v>0</v>
      </c>
      <c r="Y9" s="24" t="n">
        <f aca="false">'기본-타자'!AJ9</f>
        <v>0</v>
      </c>
    </row>
    <row r="10" customFormat="false" ht="26.25" hidden="false" customHeight="true" outlineLevel="0" collapsed="false">
      <c r="A10" s="24" t="n">
        <f aca="false">'기본-타자'!A10</f>
        <v>9</v>
      </c>
      <c r="B10" s="24" t="str">
        <f aca="false">'기본-타자'!B10</f>
        <v>최원준</v>
      </c>
      <c r="C10" s="24" t="str">
        <f aca="false">'기본-타자'!C10</f>
        <v>RF</v>
      </c>
      <c r="D10" s="24" t="str">
        <f aca="false">'기본-타자'!D10</f>
        <v>KT</v>
      </c>
      <c r="E10" s="44" t="n">
        <f aca="false">'기본-타자'!E10</f>
        <v>2026</v>
      </c>
      <c r="F10" s="45" t="n">
        <f aca="false">ROUND((('기본-타자'!H10)+('기본-타자'!AG10*'기본-타자'!K10/600)+(20*'기본-타자'!K10/600))/'연도별 상수'!$U$46,2)</f>
        <v>3.17</v>
      </c>
      <c r="G10" s="9" t="n">
        <f aca="false">'기본-타자'!K10</f>
        <v>373</v>
      </c>
      <c r="H10" s="24" t="n">
        <f aca="false">'기본-타자'!O10+'기본-타자'!P10+'기본-타자'!Q10</f>
        <v>30</v>
      </c>
      <c r="I10" s="46" t="n">
        <f aca="false">ROUND('기본-타자'!AE10,3)</f>
        <v>0.432</v>
      </c>
      <c r="J10" s="47" t="n">
        <f aca="false">ROUND(((I10-'리그 타자'!$B$46)/'연도별 상수'!$T$46+'연도별 상수'!$W$46)*G10,1)</f>
        <v>74.1</v>
      </c>
      <c r="K10" s="27" t="n">
        <f aca="false">'기본-타자'!G10</f>
        <v>146.4</v>
      </c>
      <c r="L10" s="47" t="n">
        <f aca="false">ROUND(100*('기본-타자'!AB10/'리그 타자'!$R$46+'기본-타자'!AC10/'리그 타자'!$S$46-1)/'기본-타자'!AH10,1)</f>
        <v>142.2</v>
      </c>
      <c r="M10" s="24" t="n">
        <f aca="false">ROUND('기본-타자'!X10/G10*100,1)</f>
        <v>14.5</v>
      </c>
      <c r="N10" s="24" t="n">
        <f aca="false">ROUND('기본-타자'!U10/G10*100,1)</f>
        <v>11</v>
      </c>
      <c r="O10" s="9" t="n">
        <f aca="false">ROUND('기본-타자'!U10/'기본-타자'!X10,1)</f>
        <v>0.8</v>
      </c>
      <c r="P10" s="9" t="n">
        <f aca="false">ROUND('기본-타자'!Q10/G10*100,1)</f>
        <v>1.9</v>
      </c>
      <c r="Q10" s="9" t="n">
        <f aca="false">ROUND(('기본-타자'!N10-'기본-타자'!Q10)/('기본-타자'!L10-'기본-타자'!X10-'기본-타자'!Q10+'기본-타자'!Z10),3)</f>
        <v>0.416</v>
      </c>
      <c r="R10" s="29" t="n">
        <f aca="false">ROUND('기본-타자'!AB10-'기본-타자'!AA10,3)</f>
        <v>0.078</v>
      </c>
      <c r="S10" s="29" t="n">
        <f aca="false">ROUND('기본-타자'!AC10-'기본-타자'!AA10,3)</f>
        <v>0.146</v>
      </c>
      <c r="T10" s="48" t="n">
        <f aca="false">'기본-타자'!AK10</f>
        <v>0</v>
      </c>
      <c r="U10" s="47" t="n">
        <f aca="false">'기본-타자'!AL10</f>
        <v>0</v>
      </c>
      <c r="V10" s="48" t="n">
        <f aca="false">'기본-타자'!AN10</f>
        <v>0</v>
      </c>
      <c r="W10" s="48" t="n">
        <f aca="false">'기본-타자'!AM10</f>
        <v>0</v>
      </c>
      <c r="X10" s="24" t="n">
        <f aca="false">'기본-타자'!AI10</f>
        <v>0</v>
      </c>
      <c r="Y10" s="24" t="n">
        <f aca="false">'기본-타자'!AJ10</f>
        <v>0</v>
      </c>
    </row>
    <row r="11" customFormat="false" ht="26.25" hidden="false" customHeight="true" outlineLevel="0" collapsed="false">
      <c r="A11" s="24" t="n">
        <f aca="false">'기본-타자'!A11</f>
        <v>10</v>
      </c>
      <c r="B11" s="24" t="str">
        <f aca="false">'기본-타자'!B11</f>
        <v>박해민</v>
      </c>
      <c r="C11" s="24" t="str">
        <f aca="false">'기본-타자'!C11</f>
        <v>CF</v>
      </c>
      <c r="D11" s="24" t="str">
        <f aca="false">'기본-타자'!D11</f>
        <v>LG</v>
      </c>
      <c r="E11" s="44" t="n">
        <f aca="false">'기본-타자'!E11</f>
        <v>2026</v>
      </c>
      <c r="F11" s="45" t="n">
        <f aca="false">ROUND((('기본-타자'!H11)+('기본-타자'!AG11*'기본-타자'!K11/600)+(20*'기본-타자'!K11/600))/'연도별 상수'!$U$46,2)</f>
        <v>1.26</v>
      </c>
      <c r="G11" s="9" t="n">
        <f aca="false">'기본-타자'!K11</f>
        <v>336</v>
      </c>
      <c r="H11" s="24" t="n">
        <f aca="false">'기본-타자'!O11+'기본-타자'!P11+'기본-타자'!Q11</f>
        <v>15</v>
      </c>
      <c r="I11" s="46" t="n">
        <f aca="false">ROUND('기본-타자'!AE11,3)</f>
        <v>0.34</v>
      </c>
      <c r="J11" s="47" t="n">
        <f aca="false">ROUND(((I11-'리그 타자'!$B$46)/'연도별 상수'!$T$46+'연도별 상수'!$W$46)*G11,1)</f>
        <v>41.8</v>
      </c>
      <c r="K11" s="27" t="n">
        <f aca="false">'기본-타자'!G11</f>
        <v>108.9</v>
      </c>
      <c r="L11" s="47" t="n">
        <f aca="false">ROUND(100*('기본-타자'!AB11/'리그 타자'!$R$46+'기본-타자'!AC11/'리그 타자'!$S$46-1)/'기본-타자'!AH11,1)</f>
        <v>107.8</v>
      </c>
      <c r="M11" s="24" t="n">
        <f aca="false">ROUND('기본-타자'!X11/G11*100,1)</f>
        <v>13.1</v>
      </c>
      <c r="N11" s="24" t="n">
        <f aca="false">ROUND('기본-타자'!U11/G11*100,1)</f>
        <v>8</v>
      </c>
      <c r="O11" s="9" t="n">
        <f aca="false">ROUND('기본-타자'!U11/'기본-타자'!X11,1)</f>
        <v>0.6</v>
      </c>
      <c r="P11" s="9" t="n">
        <f aca="false">ROUND('기본-타자'!Q11/G11*100,1)</f>
        <v>0.9</v>
      </c>
      <c r="Q11" s="9" t="n">
        <f aca="false">ROUND(('기본-타자'!N11-'기본-타자'!Q11)/('기본-타자'!L11-'기본-타자'!X11-'기본-타자'!Q11+'기본-타자'!Z11),3)</f>
        <v>0.328</v>
      </c>
      <c r="R11" s="29" t="n">
        <f aca="false">ROUND('기본-타자'!AB11-'기본-타자'!AA11,3)</f>
        <v>0.071</v>
      </c>
      <c r="S11" s="29" t="n">
        <f aca="false">ROUND('기본-타자'!AC11-'기본-타자'!AA11,3)</f>
        <v>0.074</v>
      </c>
      <c r="T11" s="48" t="n">
        <f aca="false">'기본-타자'!AK11</f>
        <v>0</v>
      </c>
      <c r="U11" s="47" t="n">
        <f aca="false">'기본-타자'!AL11</f>
        <v>0</v>
      </c>
      <c r="V11" s="48" t="n">
        <f aca="false">'기본-타자'!AN11</f>
        <v>0</v>
      </c>
      <c r="W11" s="48" t="n">
        <f aca="false">'기본-타자'!AM11</f>
        <v>0</v>
      </c>
      <c r="X11" s="24" t="n">
        <f aca="false">'기본-타자'!AI11</f>
        <v>0</v>
      </c>
      <c r="Y11" s="24" t="n">
        <f aca="false">'기본-타자'!AJ11</f>
        <v>0</v>
      </c>
    </row>
    <row r="12" customFormat="false" ht="26.25" hidden="false" customHeight="true" outlineLevel="0" collapsed="false">
      <c r="A12" s="24" t="n">
        <f aca="false">'기본-타자'!A12</f>
        <v>11</v>
      </c>
      <c r="B12" s="24" t="str">
        <f aca="false">'기본-타자'!B12</f>
        <v>김지찬</v>
      </c>
      <c r="C12" s="24" t="str">
        <f aca="false">'기본-타자'!C12</f>
        <v>CF</v>
      </c>
      <c r="D12" s="24" t="str">
        <f aca="false">'기본-타자'!D12</f>
        <v>SAM</v>
      </c>
      <c r="E12" s="44" t="n">
        <f aca="false">'기본-타자'!E12</f>
        <v>2026</v>
      </c>
      <c r="F12" s="45" t="n">
        <f aca="false">ROUND((('기본-타자'!H12)+('기본-타자'!AG12*'기본-타자'!K12/600)+(20*'기본-타자'!K12/600))/'연도별 상수'!$U$46,2)</f>
        <v>1.69</v>
      </c>
      <c r="G12" s="9" t="n">
        <f aca="false">'기본-타자'!K12</f>
        <v>321</v>
      </c>
      <c r="H12" s="24" t="n">
        <f aca="false">'기본-타자'!O12+'기본-타자'!P12+'기본-타자'!Q12</f>
        <v>8</v>
      </c>
      <c r="I12" s="46" t="n">
        <f aca="false">ROUND('기본-타자'!AE12,3)</f>
        <v>0.362</v>
      </c>
      <c r="J12" s="47" t="n">
        <f aca="false">ROUND(((I12-'리그 타자'!$B$46)/'연도별 상수'!$T$46+'연도별 상수'!$W$46)*G12,1)</f>
        <v>45.7</v>
      </c>
      <c r="K12" s="27" t="n">
        <f aca="false">'기본-타자'!G12</f>
        <v>104.2</v>
      </c>
      <c r="L12" s="47" t="n">
        <f aca="false">ROUND(100*('기본-타자'!AB12/'리그 타자'!$R$46+'기본-타자'!AC12/'리그 타자'!$S$46-1)/'기본-타자'!AH12,1)</f>
        <v>98.3</v>
      </c>
      <c r="M12" s="24" t="n">
        <f aca="false">ROUND('기본-타자'!X12/G12*100,1)</f>
        <v>6.9</v>
      </c>
      <c r="N12" s="24" t="n">
        <f aca="false">ROUND('기본-타자'!U12/G12*100,1)</f>
        <v>13.1</v>
      </c>
      <c r="O12" s="9" t="n">
        <f aca="false">ROUND('기본-타자'!U12/'기본-타자'!X12,1)</f>
        <v>1.9</v>
      </c>
      <c r="P12" s="9" t="n">
        <f aca="false">ROUND('기본-타자'!Q12/G12*100,1)</f>
        <v>0</v>
      </c>
      <c r="Q12" s="9" t="n">
        <f aca="false">ROUND(('기본-타자'!N12-'기본-타자'!Q12)/('기본-타자'!L12-'기본-타자'!X12-'기본-타자'!Q12+'기본-타자'!Z12),3)</f>
        <v>0.337</v>
      </c>
      <c r="R12" s="29" t="n">
        <f aca="false">ROUND('기본-타자'!AB12-'기본-타자'!AA12,3)</f>
        <v>0.097</v>
      </c>
      <c r="S12" s="29" t="n">
        <f aca="false">ROUND('기본-타자'!AC12-'기본-타자'!AA12,3)</f>
        <v>0.038</v>
      </c>
      <c r="T12" s="48" t="n">
        <f aca="false">'기본-타자'!AK12</f>
        <v>0</v>
      </c>
      <c r="U12" s="47" t="n">
        <f aca="false">'기본-타자'!AL12</f>
        <v>0</v>
      </c>
      <c r="V12" s="48" t="n">
        <f aca="false">'기본-타자'!AN12</f>
        <v>0</v>
      </c>
      <c r="W12" s="48" t="n">
        <f aca="false">'기본-타자'!AM12</f>
        <v>0</v>
      </c>
      <c r="X12" s="24" t="n">
        <f aca="false">'기본-타자'!AI12</f>
        <v>0</v>
      </c>
      <c r="Y12" s="24" t="n">
        <f aca="false">'기본-타자'!AJ12</f>
        <v>0</v>
      </c>
    </row>
    <row r="13" customFormat="false" ht="26.25" hidden="false" customHeight="true" outlineLevel="0" collapsed="false">
      <c r="A13" s="24" t="n">
        <f aca="false">'기본-타자'!A13</f>
        <v>12</v>
      </c>
      <c r="B13" s="24" t="str">
        <f aca="false">'기본-타자'!B13</f>
        <v>힐리어드</v>
      </c>
      <c r="C13" s="24" t="str">
        <f aca="false">'기본-타자'!C13</f>
        <v>CF</v>
      </c>
      <c r="D13" s="24" t="str">
        <f aca="false">'기본-타자'!D13</f>
        <v>KT</v>
      </c>
      <c r="E13" s="44" t="n">
        <f aca="false">'기본-타자'!E13</f>
        <v>2026</v>
      </c>
      <c r="F13" s="45" t="n">
        <f aca="false">ROUND((('기본-타자'!H13)+('기본-타자'!AG13*'기본-타자'!K13/600)+(20*'기본-타자'!K13/600))/'연도별 상수'!$U$46,2)</f>
        <v>2.39</v>
      </c>
      <c r="G13" s="9" t="n">
        <f aca="false">'기본-타자'!K13</f>
        <v>366</v>
      </c>
      <c r="H13" s="24" t="n">
        <f aca="false">'기본-타자'!O13+'기본-타자'!P13+'기본-타자'!Q13</f>
        <v>37</v>
      </c>
      <c r="I13" s="46" t="n">
        <f aca="false">ROUND('기본-타자'!AE13,3)</f>
        <v>0.395</v>
      </c>
      <c r="J13" s="47" t="n">
        <f aca="false">ROUND(((I13-'리그 타자'!$B$46)/'연도별 상수'!$T$46+'연도별 상수'!$W$46)*G13,1)</f>
        <v>61.8</v>
      </c>
      <c r="K13" s="27" t="n">
        <f aca="false">'기본-타자'!G13</f>
        <v>123.3</v>
      </c>
      <c r="L13" s="47" t="n">
        <f aca="false">ROUND(100*('기본-타자'!AB13/'리그 타자'!$R$46+'기본-타자'!AC13/'리그 타자'!$S$46-1)/'기본-타자'!AH13,1)</f>
        <v>126.4</v>
      </c>
      <c r="M13" s="24" t="n">
        <f aca="false">ROUND('기본-타자'!X13/G13*100,1)</f>
        <v>27</v>
      </c>
      <c r="N13" s="24" t="n">
        <f aca="false">ROUND('기본-타자'!U13/G13*100,1)</f>
        <v>9.8</v>
      </c>
      <c r="O13" s="9" t="n">
        <f aca="false">ROUND('기본-타자'!U13/'기본-타자'!X13,1)</f>
        <v>0.4</v>
      </c>
      <c r="P13" s="9" t="n">
        <f aca="false">ROUND('기본-타자'!Q13/G13*100,1)</f>
        <v>5.5</v>
      </c>
      <c r="Q13" s="9" t="n">
        <f aca="false">ROUND(('기본-타자'!N13-'기본-타자'!Q13)/('기본-타자'!L13-'기본-타자'!X13-'기본-타자'!Q13+'기본-타자'!Z13),3)</f>
        <v>0.355</v>
      </c>
      <c r="R13" s="29" t="n">
        <f aca="false">ROUND('기본-타자'!AB13-'기본-타자'!AA13,3)</f>
        <v>0.067</v>
      </c>
      <c r="S13" s="29" t="n">
        <f aca="false">ROUND('기본-타자'!AC13-'기본-타자'!AA13,3)</f>
        <v>0.246</v>
      </c>
      <c r="T13" s="48" t="n">
        <f aca="false">'기본-타자'!AK13</f>
        <v>0</v>
      </c>
      <c r="U13" s="47" t="n">
        <f aca="false">'기본-타자'!AL13</f>
        <v>0</v>
      </c>
      <c r="V13" s="48" t="n">
        <f aca="false">'기본-타자'!AN13</f>
        <v>0</v>
      </c>
      <c r="W13" s="48" t="n">
        <f aca="false">'기본-타자'!AM13</f>
        <v>0</v>
      </c>
      <c r="X13" s="24" t="n">
        <f aca="false">'기본-타자'!AI13</f>
        <v>0</v>
      </c>
      <c r="Y13" s="24" t="n">
        <f aca="false">'기본-타자'!AJ13</f>
        <v>0</v>
      </c>
    </row>
    <row r="14" customFormat="false" ht="26.25" hidden="false" customHeight="true" outlineLevel="0" collapsed="false">
      <c r="A14" s="24" t="n">
        <f aca="false">'기본-타자'!A14</f>
        <v>13</v>
      </c>
      <c r="B14" s="24" t="str">
        <f aca="false">'기본-타자'!B14</f>
        <v>페라자</v>
      </c>
      <c r="C14" s="24" t="str">
        <f aca="false">'기본-타자'!C14</f>
        <v>RF</v>
      </c>
      <c r="D14" s="24" t="str">
        <f aca="false">'기본-타자'!D14</f>
        <v>HAN</v>
      </c>
      <c r="E14" s="44" t="n">
        <f aca="false">'기본-타자'!E14</f>
        <v>2026</v>
      </c>
      <c r="F14" s="45" t="n">
        <f aca="false">ROUND((('기본-타자'!H14)+('기본-타자'!AG14*'기본-타자'!K14/600)+(20*'기본-타자'!K14/600))/'연도별 상수'!$U$46,2)</f>
        <v>2.94</v>
      </c>
      <c r="G14" s="9" t="n">
        <f aca="false">'기본-타자'!K14</f>
        <v>368</v>
      </c>
      <c r="H14" s="24" t="n">
        <f aca="false">'기본-타자'!O14+'기본-타자'!P14+'기본-타자'!Q14</f>
        <v>40</v>
      </c>
      <c r="I14" s="46" t="n">
        <f aca="false">ROUND('기본-타자'!AE14,3)</f>
        <v>0.43</v>
      </c>
      <c r="J14" s="47" t="n">
        <f aca="false">ROUND(((I14-'리그 타자'!$B$46)/'연도별 상수'!$T$46+'연도별 상수'!$W$46)*G14,1)</f>
        <v>72.6</v>
      </c>
      <c r="K14" s="27" t="n">
        <f aca="false">'기본-타자'!G14</f>
        <v>135</v>
      </c>
      <c r="L14" s="47" t="n">
        <f aca="false">ROUND(100*('기본-타자'!AB14/'리그 타자'!$R$46+'기본-타자'!AC14/'리그 타자'!$S$46-1)/'기본-타자'!AH14,1)</f>
        <v>134.1</v>
      </c>
      <c r="M14" s="24" t="n">
        <f aca="false">ROUND('기본-타자'!X14/G14*100,1)</f>
        <v>19.3</v>
      </c>
      <c r="N14" s="24" t="n">
        <f aca="false">ROUND('기본-타자'!U14/G14*100,1)</f>
        <v>14.4</v>
      </c>
      <c r="O14" s="9" t="n">
        <f aca="false">ROUND('기본-타자'!U14/'기본-타자'!X14,1)</f>
        <v>0.7</v>
      </c>
      <c r="P14" s="9" t="n">
        <f aca="false">ROUND('기본-타자'!Q14/G14*100,1)</f>
        <v>4.6</v>
      </c>
      <c r="Q14" s="9" t="n">
        <f aca="false">ROUND(('기본-타자'!N14-'기본-타자'!Q14)/('기본-타자'!L14-'기본-타자'!X14-'기본-타자'!Q14+'기본-타자'!Z14),3)</f>
        <v>0.356</v>
      </c>
      <c r="R14" s="29" t="n">
        <f aca="false">ROUND('기본-타자'!AB14-'기본-타자'!AA14,3)</f>
        <v>0.101</v>
      </c>
      <c r="S14" s="29" t="n">
        <f aca="false">ROUND('기본-타자'!AC14-'기본-타자'!AA14,3)</f>
        <v>0.245</v>
      </c>
      <c r="T14" s="48" t="n">
        <f aca="false">'기본-타자'!AK14</f>
        <v>0</v>
      </c>
      <c r="U14" s="47" t="n">
        <f aca="false">'기본-타자'!AL14</f>
        <v>0</v>
      </c>
      <c r="V14" s="48" t="n">
        <f aca="false">'기본-타자'!AN14</f>
        <v>0</v>
      </c>
      <c r="W14" s="48" t="n">
        <f aca="false">'기본-타자'!AM14</f>
        <v>0</v>
      </c>
      <c r="X14" s="24" t="n">
        <f aca="false">'기본-타자'!AI14</f>
        <v>0</v>
      </c>
      <c r="Y14" s="24" t="n">
        <f aca="false">'기본-타자'!AJ14</f>
        <v>0</v>
      </c>
    </row>
    <row r="15" customFormat="false" ht="26.25" hidden="false" customHeight="true" outlineLevel="0" collapsed="false">
      <c r="A15" s="24" t="n">
        <f aca="false">'기본-타자'!A15</f>
        <v>14</v>
      </c>
      <c r="B15" s="24" t="str">
        <f aca="false">'기본-타자'!B15</f>
        <v>노시환</v>
      </c>
      <c r="C15" s="24" t="str">
        <f aca="false">'기본-타자'!C15</f>
        <v>3B</v>
      </c>
      <c r="D15" s="24" t="str">
        <f aca="false">'기본-타자'!D15</f>
        <v>HAN</v>
      </c>
      <c r="E15" s="44" t="n">
        <f aca="false">'기본-타자'!E15</f>
        <v>2026</v>
      </c>
      <c r="F15" s="45" t="n">
        <f aca="false">ROUND((('기본-타자'!H15)+('기본-타자'!AG15*'기본-타자'!K15/600)+(20*'기본-타자'!K15/600))/'연도별 상수'!$U$46,2)</f>
        <v>1.59</v>
      </c>
      <c r="G15" s="9" t="n">
        <f aca="false">'기본-타자'!K15</f>
        <v>340</v>
      </c>
      <c r="H15" s="24" t="n">
        <f aca="false">'기본-타자'!O15+'기본-타자'!P15+'기본-타자'!Q15</f>
        <v>31</v>
      </c>
      <c r="I15" s="46" t="n">
        <f aca="false">ROUND('기본-타자'!AE15,3)</f>
        <v>0.373</v>
      </c>
      <c r="J15" s="47" t="n">
        <f aca="false">ROUND(((I15-'리그 타자'!$B$46)/'연도별 상수'!$T$46+'연도별 상수'!$W$46)*G15,1)</f>
        <v>51.4</v>
      </c>
      <c r="K15" s="27" t="n">
        <f aca="false">'기본-타자'!G15</f>
        <v>99.5</v>
      </c>
      <c r="L15" s="47" t="n">
        <f aca="false">ROUND(100*('기본-타자'!AB15/'리그 타자'!$R$46+'기본-타자'!AC15/'리그 타자'!$S$46-1)/'기본-타자'!AH15,1)</f>
        <v>101.4</v>
      </c>
      <c r="M15" s="24" t="n">
        <f aca="false">ROUND('기본-타자'!X15/G15*100,1)</f>
        <v>27.4</v>
      </c>
      <c r="N15" s="24" t="n">
        <f aca="false">ROUND('기본-타자'!U15/G15*100,1)</f>
        <v>9.4</v>
      </c>
      <c r="O15" s="9" t="n">
        <f aca="false">ROUND('기본-타자'!U15/'기본-타자'!X15,1)</f>
        <v>0.3</v>
      </c>
      <c r="P15" s="9" t="n">
        <f aca="false">ROUND('기본-타자'!Q15/G15*100,1)</f>
        <v>5</v>
      </c>
      <c r="Q15" s="9" t="n">
        <f aca="false">ROUND(('기본-타자'!N15-'기본-타자'!Q15)/('기본-타자'!L15-'기본-타자'!X15-'기본-타자'!Q15+'기본-타자'!Z15),3)</f>
        <v>0.321</v>
      </c>
      <c r="R15" s="29" t="n">
        <f aca="false">ROUND('기본-타자'!AB15-'기본-타자'!AA15,3)</f>
        <v>0.082</v>
      </c>
      <c r="S15" s="29" t="n">
        <f aca="false">ROUND('기본-타자'!AC15-'기본-타자'!AA15,3)</f>
        <v>0.222</v>
      </c>
      <c r="T15" s="48" t="n">
        <f aca="false">'기본-타자'!AK15</f>
        <v>0</v>
      </c>
      <c r="U15" s="47" t="n">
        <f aca="false">'기본-타자'!AL15</f>
        <v>0</v>
      </c>
      <c r="V15" s="48" t="n">
        <f aca="false">'기본-타자'!AN15</f>
        <v>0</v>
      </c>
      <c r="W15" s="48" t="n">
        <f aca="false">'기본-타자'!AM15</f>
        <v>0</v>
      </c>
      <c r="X15" s="24" t="n">
        <f aca="false">'기본-타자'!AI15</f>
        <v>0</v>
      </c>
      <c r="Y15" s="24" t="n">
        <f aca="false">'기본-타자'!AJ15</f>
        <v>0</v>
      </c>
    </row>
    <row r="16" customFormat="false" ht="26.25" hidden="false" customHeight="true" outlineLevel="0" collapsed="false">
      <c r="A16" s="24" t="n">
        <f aca="false">'기본-타자'!A16</f>
        <v>15</v>
      </c>
      <c r="B16" s="24" t="str">
        <f aca="false">'기본-타자'!B16</f>
        <v>허인서</v>
      </c>
      <c r="C16" s="24" t="str">
        <f aca="false">'기본-타자'!C16</f>
        <v>C</v>
      </c>
      <c r="D16" s="24" t="str">
        <f aca="false">'기본-타자'!D16</f>
        <v>HAN</v>
      </c>
      <c r="E16" s="44" t="n">
        <f aca="false">'기본-타자'!E16</f>
        <v>2026</v>
      </c>
      <c r="F16" s="45" t="n">
        <f aca="false">ROUND((('기본-타자'!H16)+('기본-타자'!AG16*'기본-타자'!K16/600)+(20*'기본-타자'!K16/600))/'연도별 상수'!$U$46,2)</f>
        <v>1.75</v>
      </c>
      <c r="G16" s="9" t="n">
        <f aca="false">'기본-타자'!K16</f>
        <v>244</v>
      </c>
      <c r="H16" s="24" t="n">
        <f aca="false">'기본-타자'!O16+'기본-타자'!P16+'기본-타자'!Q16</f>
        <v>19</v>
      </c>
      <c r="I16" s="46" t="n">
        <f aca="false">ROUND('기본-타자'!AE16,3)</f>
        <v>0.387</v>
      </c>
      <c r="J16" s="47" t="n">
        <f aca="false">ROUND(((I16-'리그 타자'!$B$46)/'연도별 상수'!$T$46+'연도별 상수'!$W$46)*G16,1)</f>
        <v>39.6</v>
      </c>
      <c r="K16" s="27" t="n">
        <f aca="false">'기본-타자'!G16</f>
        <v>108.2</v>
      </c>
      <c r="L16" s="47" t="n">
        <f aca="false">ROUND(100*('기본-타자'!AB16/'리그 타자'!$R$46+'기본-타자'!AC16/'리그 타자'!$S$46-1)/'기본-타자'!AH16,1)</f>
        <v>109.3</v>
      </c>
      <c r="M16" s="24" t="n">
        <f aca="false">ROUND('기본-타자'!X16/G16*100,1)</f>
        <v>29.9</v>
      </c>
      <c r="N16" s="24" t="n">
        <f aca="false">ROUND('기본-타자'!U16/G16*100,1)</f>
        <v>8.6</v>
      </c>
      <c r="O16" s="9" t="n">
        <f aca="false">ROUND('기본-타자'!U16/'기본-타자'!X16,1)</f>
        <v>0.3</v>
      </c>
      <c r="P16" s="9" t="n">
        <f aca="false">ROUND('기본-타자'!Q16/G16*100,1)</f>
        <v>4.9</v>
      </c>
      <c r="Q16" s="9" t="n">
        <f aca="false">ROUND(('기본-타자'!N16-'기본-타자'!Q16)/('기본-타자'!L16-'기본-타자'!X16-'기본-타자'!Q16+'기본-타자'!Z16),3)</f>
        <v>0.388</v>
      </c>
      <c r="R16" s="29" t="n">
        <f aca="false">ROUND('기본-타자'!AB16-'기본-타자'!AA16,3)</f>
        <v>0.077</v>
      </c>
      <c r="S16" s="29" t="n">
        <f aca="false">ROUND('기본-타자'!AC16-'기본-타자'!AA16,3)</f>
        <v>0.203</v>
      </c>
      <c r="T16" s="48" t="n">
        <f aca="false">'기본-타자'!AK16</f>
        <v>0</v>
      </c>
      <c r="U16" s="47" t="n">
        <f aca="false">'기본-타자'!AL16</f>
        <v>0</v>
      </c>
      <c r="V16" s="48" t="n">
        <f aca="false">'기본-타자'!AN16</f>
        <v>0</v>
      </c>
      <c r="W16" s="48" t="n">
        <f aca="false">'기본-타자'!AM16</f>
        <v>0</v>
      </c>
      <c r="X16" s="24" t="n">
        <f aca="false">'기본-타자'!AI16</f>
        <v>0</v>
      </c>
      <c r="Y16" s="24" t="n">
        <f aca="false">'기본-타자'!AJ16</f>
        <v>0</v>
      </c>
    </row>
    <row r="17" customFormat="false" ht="26.25" hidden="false" customHeight="true" outlineLevel="0" collapsed="false">
      <c r="A17" s="24" t="n">
        <f aca="false">'기본-타자'!A17</f>
        <v>16</v>
      </c>
      <c r="B17" s="24" t="str">
        <f aca="false">'기본-타자'!B17</f>
        <v>김호령</v>
      </c>
      <c r="C17" s="24" t="str">
        <f aca="false">'기본-타자'!C17</f>
        <v>CF</v>
      </c>
      <c r="D17" s="24" t="str">
        <f aca="false">'기본-타자'!D17</f>
        <v>KIA</v>
      </c>
      <c r="E17" s="44" t="n">
        <f aca="false">'기본-타자'!E17</f>
        <v>2026</v>
      </c>
      <c r="F17" s="45" t="n">
        <f aca="false">ROUND((('기본-타자'!H17)+('기본-타자'!AG17*'기본-타자'!K17/600)+(20*'기본-타자'!K17/600))/'연도별 상수'!$U$46,2)</f>
        <v>1.38</v>
      </c>
      <c r="G17" s="9" t="n">
        <f aca="false">'기본-타자'!K17</f>
        <v>363</v>
      </c>
      <c r="H17" s="24" t="n">
        <f aca="false">'기본-타자'!O17+'기본-타자'!P17+'기본-타자'!Q17</f>
        <v>34</v>
      </c>
      <c r="I17" s="46" t="n">
        <f aca="false">ROUND('기본-타자'!AE17,3)</f>
        <v>0.346</v>
      </c>
      <c r="J17" s="47" t="n">
        <f aca="false">ROUND(((I17-'리그 타자'!$B$46)/'연도별 상수'!$T$46+'연도별 상수'!$W$46)*G17,1)</f>
        <v>47</v>
      </c>
      <c r="K17" s="27" t="n">
        <f aca="false">'기본-타자'!G17</f>
        <v>107.8</v>
      </c>
      <c r="L17" s="47" t="n">
        <f aca="false">ROUND(100*('기본-타자'!AB17/'리그 타자'!$R$46+'기본-타자'!AC17/'리그 타자'!$S$46-1)/'기본-타자'!AH17,1)</f>
        <v>113.3</v>
      </c>
      <c r="M17" s="24" t="n">
        <f aca="false">ROUND('기본-타자'!X17/G17*100,1)</f>
        <v>26.2</v>
      </c>
      <c r="N17" s="24" t="n">
        <f aca="false">ROUND('기본-타자'!U17/G17*100,1)</f>
        <v>5.5</v>
      </c>
      <c r="O17" s="9" t="n">
        <f aca="false">ROUND('기본-타자'!U17/'기본-타자'!X17,1)</f>
        <v>0.2</v>
      </c>
      <c r="P17" s="9" t="n">
        <f aca="false">ROUND('기본-타자'!Q17/G17*100,1)</f>
        <v>3</v>
      </c>
      <c r="Q17" s="9" t="n">
        <f aca="false">ROUND(('기본-타자'!N17-'기본-타자'!Q17)/('기본-타자'!L17-'기본-타자'!X17-'기본-타자'!Q17+'기본-타자'!Z17),3)</f>
        <v>0.355</v>
      </c>
      <c r="R17" s="29" t="n">
        <f aca="false">ROUND('기본-타자'!AB17-'기본-타자'!AA17,3)</f>
        <v>0.042</v>
      </c>
      <c r="S17" s="29" t="n">
        <f aca="false">ROUND('기본-타자'!AC17-'기본-타자'!AA17,3)</f>
        <v>0.173</v>
      </c>
      <c r="T17" s="48" t="n">
        <f aca="false">'기본-타자'!AK17</f>
        <v>0</v>
      </c>
      <c r="U17" s="47" t="n">
        <f aca="false">'기본-타자'!AL17</f>
        <v>0</v>
      </c>
      <c r="V17" s="48" t="n">
        <f aca="false">'기본-타자'!AN17</f>
        <v>0</v>
      </c>
      <c r="W17" s="48" t="n">
        <f aca="false">'기본-타자'!AM17</f>
        <v>0</v>
      </c>
      <c r="X17" s="24" t="n">
        <f aca="false">'기본-타자'!AI17</f>
        <v>0</v>
      </c>
      <c r="Y17" s="24" t="n">
        <f aca="false">'기본-타자'!AJ17</f>
        <v>0</v>
      </c>
    </row>
    <row r="18" customFormat="false" ht="26.25" hidden="false" customHeight="true" outlineLevel="0" collapsed="false">
      <c r="A18" s="24" t="n">
        <f aca="false">'기본-타자'!A18</f>
        <v>17</v>
      </c>
      <c r="B18" s="24" t="str">
        <f aca="false">'기본-타자'!B18</f>
        <v>류지혁</v>
      </c>
      <c r="C18" s="24" t="str">
        <f aca="false">'기본-타자'!C18</f>
        <v>2B</v>
      </c>
      <c r="D18" s="24" t="str">
        <f aca="false">'기본-타자'!D18</f>
        <v>SAM</v>
      </c>
      <c r="E18" s="44" t="n">
        <f aca="false">'기본-타자'!E18</f>
        <v>2026</v>
      </c>
      <c r="F18" s="45" t="n">
        <f aca="false">ROUND((('기본-타자'!H18)+('기본-타자'!AG18*'기본-타자'!K18/600)+(20*'기본-타자'!K18/600))/'연도별 상수'!$U$46,2)</f>
        <v>2.1</v>
      </c>
      <c r="G18" s="9" t="n">
        <f aca="false">'기본-타자'!K18</f>
        <v>322</v>
      </c>
      <c r="H18" s="24" t="n">
        <f aca="false">'기본-타자'!O18+'기본-타자'!P18+'기본-타자'!Q18</f>
        <v>21</v>
      </c>
      <c r="I18" s="46" t="n">
        <f aca="false">ROUND('기본-타자'!AE18,3)</f>
        <v>0.372</v>
      </c>
      <c r="J18" s="47" t="n">
        <f aca="false">ROUND(((I18-'리그 타자'!$B$46)/'연도별 상수'!$T$46+'연도별 상수'!$W$46)*G18,1)</f>
        <v>48.4</v>
      </c>
      <c r="K18" s="27" t="n">
        <f aca="false">'기본-타자'!G18</f>
        <v>110.4</v>
      </c>
      <c r="L18" s="47" t="n">
        <f aca="false">ROUND(100*('기본-타자'!AB18/'리그 타자'!$R$46+'기본-타자'!AC18/'리그 타자'!$S$46-1)/'기본-타자'!AH18,1)</f>
        <v>108.9</v>
      </c>
      <c r="M18" s="24" t="n">
        <f aca="false">ROUND('기본-타자'!X18/G18*100,1)</f>
        <v>14.3</v>
      </c>
      <c r="N18" s="24" t="n">
        <f aca="false">ROUND('기본-타자'!U18/G18*100,1)</f>
        <v>11.8</v>
      </c>
      <c r="O18" s="9" t="n">
        <f aca="false">ROUND('기본-타자'!U18/'기본-타자'!X18,1)</f>
        <v>0.8</v>
      </c>
      <c r="P18" s="9" t="n">
        <f aca="false">ROUND('기본-타자'!Q18/G18*100,1)</f>
        <v>1.6</v>
      </c>
      <c r="Q18" s="9" t="n">
        <f aca="false">ROUND(('기본-타자'!N18-'기본-타자'!Q18)/('기본-타자'!L18-'기본-타자'!X18-'기본-타자'!Q18+'기본-타자'!Z18),3)</f>
        <v>0.332</v>
      </c>
      <c r="R18" s="29" t="n">
        <f aca="false">ROUND('기본-타자'!AB18-'기본-타자'!AA18,3)</f>
        <v>0.095</v>
      </c>
      <c r="S18" s="29" t="n">
        <f aca="false">ROUND('기본-타자'!AC18-'기본-타자'!AA18,3)</f>
        <v>0.129</v>
      </c>
      <c r="T18" s="48" t="n">
        <f aca="false">'기본-타자'!AK18</f>
        <v>0</v>
      </c>
      <c r="U18" s="47" t="n">
        <f aca="false">'기본-타자'!AL18</f>
        <v>0</v>
      </c>
      <c r="V18" s="48" t="n">
        <f aca="false">'기본-타자'!AN18</f>
        <v>0</v>
      </c>
      <c r="W18" s="48" t="n">
        <f aca="false">'기본-타자'!AM18</f>
        <v>0</v>
      </c>
      <c r="X18" s="24" t="n">
        <f aca="false">'기본-타자'!AI18</f>
        <v>0</v>
      </c>
      <c r="Y18" s="24" t="n">
        <f aca="false">'기본-타자'!AJ18</f>
        <v>0</v>
      </c>
    </row>
    <row r="19" customFormat="false" ht="26.25" hidden="false" customHeight="true" outlineLevel="0" collapsed="false">
      <c r="A19" s="24" t="n">
        <f aca="false">'기본-타자'!A19</f>
        <v>18</v>
      </c>
      <c r="B19" s="24" t="str">
        <f aca="false">'기본-타자'!B19</f>
        <v>박준순</v>
      </c>
      <c r="C19" s="24" t="str">
        <f aca="false">'기본-타자'!C19</f>
        <v>2B</v>
      </c>
      <c r="D19" s="24" t="str">
        <f aca="false">'기본-타자'!D19</f>
        <v>DOO</v>
      </c>
      <c r="E19" s="44" t="n">
        <f aca="false">'기본-타자'!E19</f>
        <v>2026</v>
      </c>
      <c r="F19" s="45" t="n">
        <f aca="false">ROUND((('기본-타자'!H19)+('기본-타자'!AG19*'기본-타자'!K19/600)+(20*'기본-타자'!K19/600))/'연도별 상수'!$U$46,2)</f>
        <v>2.43</v>
      </c>
      <c r="G19" s="9" t="n">
        <f aca="false">'기본-타자'!K19</f>
        <v>234</v>
      </c>
      <c r="H19" s="24" t="n">
        <f aca="false">'기본-타자'!O19+'기본-타자'!P19+'기본-타자'!Q19</f>
        <v>25</v>
      </c>
      <c r="I19" s="46" t="n">
        <f aca="false">ROUND('기본-타자'!AE19,3)</f>
        <v>0.424</v>
      </c>
      <c r="J19" s="47" t="n">
        <f aca="false">ROUND(((I19-'리그 타자'!$B$46)/'연도별 상수'!$T$46+'연도별 상수'!$W$46)*G19,1)</f>
        <v>45</v>
      </c>
      <c r="K19" s="27" t="n">
        <f aca="false">'기본-타자'!G19</f>
        <v>161.2</v>
      </c>
      <c r="L19" s="47" t="n">
        <f aca="false">ROUND(100*('기본-타자'!AB19/'리그 타자'!$R$46+'기본-타자'!AC19/'리그 타자'!$S$46-1)/'기본-타자'!AH19,1)</f>
        <v>173.4</v>
      </c>
      <c r="M19" s="24" t="n">
        <f aca="false">ROUND('기본-타자'!X19/G19*100,1)</f>
        <v>19.7</v>
      </c>
      <c r="N19" s="24" t="n">
        <f aca="false">ROUND('기본-타자'!U19/G19*100,1)</f>
        <v>5.1</v>
      </c>
      <c r="O19" s="9" t="n">
        <f aca="false">ROUND('기본-타자'!U19/'기본-타자'!X19,1)</f>
        <v>0.3</v>
      </c>
      <c r="P19" s="9" t="n">
        <f aca="false">ROUND('기본-타자'!Q19/G19*100,1)</f>
        <v>4.7</v>
      </c>
      <c r="Q19" s="9" t="n">
        <f aca="false">ROUND(('기본-타자'!N19-'기본-타자'!Q19)/('기본-타자'!L19-'기본-타자'!X19-'기본-타자'!Q19+'기본-타자'!Z19),3)</f>
        <v>0.385</v>
      </c>
      <c r="R19" s="29" t="n">
        <f aca="false">ROUND('기본-타자'!AB19-'기본-타자'!AA19,3)</f>
        <v>0.044</v>
      </c>
      <c r="S19" s="29" t="n">
        <f aca="false">ROUND('기본-타자'!AC19-'기본-타자'!AA19,3)</f>
        <v>0.24</v>
      </c>
      <c r="T19" s="48" t="n">
        <f aca="false">'기본-타자'!AK19</f>
        <v>0</v>
      </c>
      <c r="U19" s="47" t="n">
        <f aca="false">'기본-타자'!AL19</f>
        <v>0</v>
      </c>
      <c r="V19" s="48" t="n">
        <f aca="false">'기본-타자'!AN19</f>
        <v>0</v>
      </c>
      <c r="W19" s="48" t="n">
        <f aca="false">'기본-타자'!AM19</f>
        <v>0</v>
      </c>
      <c r="X19" s="24" t="n">
        <f aca="false">'기본-타자'!AI19</f>
        <v>0</v>
      </c>
      <c r="Y19" s="24" t="n">
        <f aca="false">'기본-타자'!AJ19</f>
        <v>0</v>
      </c>
    </row>
    <row r="20" customFormat="false" ht="26.25" hidden="false" customHeight="true" outlineLevel="0" collapsed="false">
      <c r="A20" s="24" t="n">
        <f aca="false">'기본-타자'!A20</f>
        <v>19</v>
      </c>
      <c r="B20" s="24" t="str">
        <f aca="false">'기본-타자'!B20</f>
        <v>최지훈</v>
      </c>
      <c r="C20" s="24" t="str">
        <f aca="false">'기본-타자'!C20</f>
        <v>CF</v>
      </c>
      <c r="D20" s="24" t="str">
        <f aca="false">'기본-타자'!D20</f>
        <v>SSG</v>
      </c>
      <c r="E20" s="44" t="n">
        <f aca="false">'기본-타자'!E20</f>
        <v>2026</v>
      </c>
      <c r="F20" s="45" t="n">
        <f aca="false">ROUND((('기본-타자'!H20)+('기본-타자'!AG20*'기본-타자'!K20/600)+(20*'기본-타자'!K20/600))/'연도별 상수'!$U$46,2)</f>
        <v>0.84</v>
      </c>
      <c r="G20" s="9" t="n">
        <f aca="false">'기본-타자'!K20</f>
        <v>346</v>
      </c>
      <c r="H20" s="24" t="n">
        <f aca="false">'기본-타자'!O20+'기본-타자'!P20+'기본-타자'!Q20</f>
        <v>31</v>
      </c>
      <c r="I20" s="46" t="n">
        <f aca="false">ROUND('기본-타자'!AE20,3)</f>
        <v>0.321</v>
      </c>
      <c r="J20" s="47" t="n">
        <f aca="false">ROUND(((I20-'리그 타자'!$B$46)/'연도별 상수'!$T$46+'연도별 상수'!$W$46)*G20,1)</f>
        <v>37.8</v>
      </c>
      <c r="K20" s="27" t="n">
        <f aca="false">'기본-타자'!G20</f>
        <v>89.9</v>
      </c>
      <c r="L20" s="47" t="n">
        <f aca="false">ROUND(100*('기본-타자'!AB20/'리그 타자'!$R$46+'기본-타자'!AC20/'리그 타자'!$S$46-1)/'기본-타자'!AH20,1)</f>
        <v>93.8</v>
      </c>
      <c r="M20" s="24" t="n">
        <f aca="false">ROUND('기본-타자'!X20/G20*100,1)</f>
        <v>13.9</v>
      </c>
      <c r="N20" s="24" t="n">
        <f aca="false">ROUND('기본-타자'!U20/G20*100,1)</f>
        <v>6.4</v>
      </c>
      <c r="O20" s="9" t="n">
        <f aca="false">ROUND('기본-타자'!U20/'기본-타자'!X20,1)</f>
        <v>0.5</v>
      </c>
      <c r="P20" s="9" t="n">
        <f aca="false">ROUND('기본-타자'!Q20/G20*100,1)</f>
        <v>2.9</v>
      </c>
      <c r="Q20" s="9" t="n">
        <f aca="false">ROUND(('기본-타자'!N20-'기본-타자'!Q20)/('기본-타자'!L20-'기본-타자'!X20-'기본-타자'!Q20+'기본-타자'!Z20),3)</f>
        <v>0.253</v>
      </c>
      <c r="R20" s="29" t="n">
        <f aca="false">ROUND('기본-타자'!AB20-'기본-타자'!AA20,3)</f>
        <v>0.053</v>
      </c>
      <c r="S20" s="29" t="n">
        <f aca="false">ROUND('기본-타자'!AC20-'기본-타자'!AA20,3)</f>
        <v>0.181</v>
      </c>
      <c r="T20" s="48" t="n">
        <f aca="false">'기본-타자'!AK20</f>
        <v>0</v>
      </c>
      <c r="U20" s="47" t="n">
        <f aca="false">'기본-타자'!AL20</f>
        <v>0</v>
      </c>
      <c r="V20" s="48" t="n">
        <f aca="false">'기본-타자'!AN20</f>
        <v>0</v>
      </c>
      <c r="W20" s="48" t="n">
        <f aca="false">'기본-타자'!AM20</f>
        <v>0</v>
      </c>
      <c r="X20" s="24" t="n">
        <f aca="false">'기본-타자'!AI20</f>
        <v>0</v>
      </c>
      <c r="Y20" s="24" t="n">
        <f aca="false">'기본-타자'!AJ20</f>
        <v>0</v>
      </c>
    </row>
    <row r="21" customFormat="false" ht="26.25" hidden="false" customHeight="true" outlineLevel="0" collapsed="false">
      <c r="A21" s="24" t="n">
        <f aca="false">'기본-타자'!A21</f>
        <v>20</v>
      </c>
      <c r="B21" s="24" t="str">
        <f aca="false">'기본-타자'!B21</f>
        <v>송찬의</v>
      </c>
      <c r="C21" s="24" t="str">
        <f aca="false">'기본-타자'!C21</f>
        <v>LF</v>
      </c>
      <c r="D21" s="24" t="str">
        <f aca="false">'기본-타자'!D21</f>
        <v>LG</v>
      </c>
      <c r="E21" s="44" t="n">
        <f aca="false">'기본-타자'!E21</f>
        <v>2026</v>
      </c>
      <c r="F21" s="45" t="n">
        <f aca="false">ROUND((('기본-타자'!H21)+('기본-타자'!AG21*'기본-타자'!K21/600)+(20*'기본-타자'!K21/600))/'연도별 상수'!$U$46,2)</f>
        <v>2</v>
      </c>
      <c r="G21" s="9" t="n">
        <f aca="false">'기본-타자'!K21</f>
        <v>219</v>
      </c>
      <c r="H21" s="24" t="n">
        <f aca="false">'기본-타자'!O21+'기본-타자'!P21+'기본-타자'!Q21</f>
        <v>28</v>
      </c>
      <c r="I21" s="46" t="n">
        <f aca="false">ROUND('기본-타자'!AE21,3)</f>
        <v>0.42</v>
      </c>
      <c r="J21" s="47" t="n">
        <f aca="false">ROUND(((I21-'리그 타자'!$B$46)/'연도별 상수'!$T$46+'연도별 상수'!$W$46)*G21,1)</f>
        <v>41.4</v>
      </c>
      <c r="K21" s="27" t="n">
        <f aca="false">'기본-타자'!G21</f>
        <v>158.7</v>
      </c>
      <c r="L21" s="47" t="n">
        <f aca="false">ROUND(100*('기본-타자'!AB21/'리그 타자'!$R$46+'기본-타자'!AC21/'리그 타자'!$S$46-1)/'기본-타자'!AH21,1)</f>
        <v>167.9</v>
      </c>
      <c r="M21" s="24" t="n">
        <f aca="false">ROUND('기본-타자'!X21/G21*100,1)</f>
        <v>24.2</v>
      </c>
      <c r="N21" s="24" t="n">
        <f aca="false">ROUND('기본-타자'!U21/G21*100,1)</f>
        <v>9.6</v>
      </c>
      <c r="O21" s="9" t="n">
        <f aca="false">ROUND('기본-타자'!U21/'기본-타자'!X21,1)</f>
        <v>0.4</v>
      </c>
      <c r="P21" s="9" t="n">
        <f aca="false">ROUND('기본-타자'!Q21/G21*100,1)</f>
        <v>3.7</v>
      </c>
      <c r="Q21" s="9" t="n">
        <f aca="false">ROUND(('기본-타자'!N21-'기본-타자'!Q21)/('기본-타자'!L21-'기본-타자'!X21-'기본-타자'!Q21+'기본-타자'!Z21),3)</f>
        <v>0.378</v>
      </c>
      <c r="R21" s="29" t="n">
        <f aca="false">ROUND('기본-타자'!AB21-'기본-타자'!AA21,3)</f>
        <v>0.099</v>
      </c>
      <c r="S21" s="29" t="n">
        <f aca="false">ROUND('기본-타자'!AC21-'기본-타자'!AA21,3)</f>
        <v>0.239</v>
      </c>
      <c r="T21" s="48" t="n">
        <f aca="false">'기본-타자'!AK21</f>
        <v>0</v>
      </c>
      <c r="U21" s="47" t="n">
        <f aca="false">'기본-타자'!AL21</f>
        <v>0</v>
      </c>
      <c r="V21" s="48" t="n">
        <f aca="false">'기본-타자'!AN21</f>
        <v>0</v>
      </c>
      <c r="W21" s="48" t="n">
        <f aca="false">'기본-타자'!AM21</f>
        <v>0</v>
      </c>
      <c r="X21" s="24" t="n">
        <f aca="false">'기본-타자'!AI21</f>
        <v>0</v>
      </c>
      <c r="Y21" s="24" t="n">
        <f aca="false">'기본-타자'!AJ21</f>
        <v>0</v>
      </c>
    </row>
    <row r="22" customFormat="false" ht="26.25" hidden="false" customHeight="true" outlineLevel="0" collapsed="false">
      <c r="A22" s="24" t="n">
        <f aca="false">'기본-타자'!A22</f>
        <v>21</v>
      </c>
      <c r="B22" s="24" t="str">
        <f aca="false">'기본-타자'!B22</f>
        <v>박동원</v>
      </c>
      <c r="C22" s="24" t="str">
        <f aca="false">'기본-타자'!C22</f>
        <v>C</v>
      </c>
      <c r="D22" s="24" t="str">
        <f aca="false">'기본-타자'!D22</f>
        <v>LG</v>
      </c>
      <c r="E22" s="44" t="n">
        <f aca="false">'기본-타자'!E22</f>
        <v>2026</v>
      </c>
      <c r="F22" s="45" t="n">
        <f aca="false">ROUND((('기본-타자'!H22)+('기본-타자'!AG22*'기본-타자'!K22/600)+(20*'기본-타자'!K22/600))/'연도별 상수'!$U$46,2)</f>
        <v>1.37</v>
      </c>
      <c r="G22" s="9" t="n">
        <f aca="false">'기본-타자'!K22</f>
        <v>267</v>
      </c>
      <c r="H22" s="24" t="n">
        <f aca="false">'기본-타자'!O22+'기본-타자'!P22+'기본-타자'!Q22</f>
        <v>20</v>
      </c>
      <c r="I22" s="46" t="n">
        <f aca="false">ROUND('기본-타자'!AE22,3)</f>
        <v>0.353</v>
      </c>
      <c r="J22" s="47" t="n">
        <f aca="false">ROUND(((I22-'리그 타자'!$B$46)/'연도별 상수'!$T$46+'연도별 상수'!$W$46)*G22,1)</f>
        <v>36</v>
      </c>
      <c r="K22" s="27" t="n">
        <f aca="false">'기본-타자'!G22</f>
        <v>117</v>
      </c>
      <c r="L22" s="47" t="n">
        <f aca="false">ROUND(100*('기본-타자'!AB22/'리그 타자'!$R$46+'기본-타자'!AC22/'리그 타자'!$S$46-1)/'기본-타자'!AH22,1)</f>
        <v>119.9</v>
      </c>
      <c r="M22" s="24" t="n">
        <f aca="false">ROUND('기본-타자'!X22/G22*100,1)</f>
        <v>24.7</v>
      </c>
      <c r="N22" s="24" t="n">
        <f aca="false">ROUND('기본-타자'!U22/G22*100,1)</f>
        <v>13.9</v>
      </c>
      <c r="O22" s="9" t="n">
        <f aca="false">ROUND('기본-타자'!U22/'기본-타자'!X22,1)</f>
        <v>0.6</v>
      </c>
      <c r="P22" s="9" t="n">
        <f aca="false">ROUND('기본-타자'!Q22/G22*100,1)</f>
        <v>3.4</v>
      </c>
      <c r="Q22" s="9" t="n">
        <f aca="false">ROUND(('기본-타자'!N22-'기본-타자'!Q22)/('기본-타자'!L22-'기본-타자'!X22-'기본-타자'!Q22+'기본-타자'!Z22),3)</f>
        <v>0.297</v>
      </c>
      <c r="R22" s="29" t="n">
        <f aca="false">ROUND('기본-타자'!AB22-'기본-타자'!AA22,3)</f>
        <v>0.116</v>
      </c>
      <c r="S22" s="29" t="n">
        <f aca="false">ROUND('기본-타자'!AC22-'기본-타자'!AA22,3)</f>
        <v>0.175</v>
      </c>
      <c r="T22" s="48" t="n">
        <f aca="false">'기본-타자'!AK22</f>
        <v>0</v>
      </c>
      <c r="U22" s="47" t="n">
        <f aca="false">'기본-타자'!AL22</f>
        <v>0</v>
      </c>
      <c r="V22" s="48" t="n">
        <f aca="false">'기본-타자'!AN22</f>
        <v>0</v>
      </c>
      <c r="W22" s="48" t="n">
        <f aca="false">'기본-타자'!AM22</f>
        <v>0</v>
      </c>
      <c r="X22" s="24" t="n">
        <f aca="false">'기본-타자'!AI22</f>
        <v>0</v>
      </c>
      <c r="Y22" s="24" t="n">
        <f aca="false">'기본-타자'!AJ22</f>
        <v>0</v>
      </c>
    </row>
    <row r="23" customFormat="false" ht="26.25" hidden="false" customHeight="true" outlineLevel="0" collapsed="false">
      <c r="A23" s="24" t="n">
        <f aca="false">'기본-타자'!A23</f>
        <v>22</v>
      </c>
      <c r="B23" s="24" t="str">
        <f aca="false">'기본-타자'!B23</f>
        <v>양의지</v>
      </c>
      <c r="C23" s="24" t="str">
        <f aca="false">'기본-타자'!C23</f>
        <v>C</v>
      </c>
      <c r="D23" s="24" t="str">
        <f aca="false">'기본-타자'!D23</f>
        <v>DOO</v>
      </c>
      <c r="E23" s="44" t="n">
        <f aca="false">'기본-타자'!E23</f>
        <v>2026</v>
      </c>
      <c r="F23" s="45" t="n">
        <f aca="false">ROUND((('기본-타자'!H23)+('기본-타자'!AG23*'기본-타자'!K23/600)+(20*'기본-타자'!K23/600))/'연도별 상수'!$U$46,2)</f>
        <v>1.54</v>
      </c>
      <c r="G23" s="9" t="n">
        <f aca="false">'기본-타자'!K23</f>
        <v>333</v>
      </c>
      <c r="H23" s="24" t="n">
        <f aca="false">'기본-타자'!O23+'기본-타자'!P23+'기본-타자'!Q23</f>
        <v>22</v>
      </c>
      <c r="I23" s="46" t="n">
        <f aca="false">ROUND('기본-타자'!AE23,3)</f>
        <v>0.344</v>
      </c>
      <c r="J23" s="47" t="n">
        <f aca="false">ROUND(((I23-'리그 타자'!$B$46)/'연도별 상수'!$T$46+'연도별 상수'!$W$46)*G23,1)</f>
        <v>42.5</v>
      </c>
      <c r="K23" s="27" t="n">
        <f aca="false">'기본-타자'!G23</f>
        <v>111.4</v>
      </c>
      <c r="L23" s="47" t="n">
        <f aca="false">ROUND(100*('기본-타자'!AB23/'리그 타자'!$R$46+'기본-타자'!AC23/'리그 타자'!$S$46-1)/'기본-타자'!AH23,1)</f>
        <v>113.6</v>
      </c>
      <c r="M23" s="24" t="n">
        <f aca="false">ROUND('기본-타자'!X23/G23*100,1)</f>
        <v>11.1</v>
      </c>
      <c r="N23" s="24" t="n">
        <f aca="false">ROUND('기본-타자'!U23/G23*100,1)</f>
        <v>8.1</v>
      </c>
      <c r="O23" s="9" t="n">
        <f aca="false">ROUND('기본-타자'!U23/'기본-타자'!X23,1)</f>
        <v>0.7</v>
      </c>
      <c r="P23" s="9" t="n">
        <f aca="false">ROUND('기본-타자'!Q23/G23*100,1)</f>
        <v>3.3</v>
      </c>
      <c r="Q23" s="9" t="n">
        <f aca="false">ROUND(('기본-타자'!N23-'기본-타자'!Q23)/('기본-타자'!L23-'기본-타자'!X23-'기본-타자'!Q23+'기본-타자'!Z23),3)</f>
        <v>0.248</v>
      </c>
      <c r="R23" s="29" t="n">
        <f aca="false">ROUND('기본-타자'!AB23-'기본-타자'!AA23,3)</f>
        <v>0.089</v>
      </c>
      <c r="S23" s="29" t="n">
        <f aca="false">ROUND('기본-타자'!AC23-'기본-타자'!AA23,3)</f>
        <v>0.156</v>
      </c>
      <c r="T23" s="48" t="n">
        <f aca="false">'기본-타자'!AK23</f>
        <v>0</v>
      </c>
      <c r="U23" s="47" t="n">
        <f aca="false">'기본-타자'!AL23</f>
        <v>0</v>
      </c>
      <c r="V23" s="48" t="n">
        <f aca="false">'기본-타자'!AN23</f>
        <v>0</v>
      </c>
      <c r="W23" s="48" t="n">
        <f aca="false">'기본-타자'!AM23</f>
        <v>0</v>
      </c>
      <c r="X23" s="24" t="n">
        <f aca="false">'기본-타자'!AI23</f>
        <v>0</v>
      </c>
      <c r="Y23" s="24" t="n">
        <f aca="false">'기본-타자'!AJ23</f>
        <v>0</v>
      </c>
    </row>
    <row r="24" customFormat="false" ht="26.25" hidden="false" customHeight="true" outlineLevel="0" collapsed="false">
      <c r="A24" s="24" t="n">
        <f aca="false">'기본-타자'!A24</f>
        <v>23</v>
      </c>
      <c r="B24" s="24" t="str">
        <f aca="false">'기본-타자'!B24</f>
        <v>정수빈</v>
      </c>
      <c r="C24" s="24" t="str">
        <f aca="false">'기본-타자'!C24</f>
        <v>CF</v>
      </c>
      <c r="D24" s="24" t="str">
        <f aca="false">'기본-타자'!D24</f>
        <v>DOO</v>
      </c>
      <c r="E24" s="44" t="n">
        <f aca="false">'기본-타자'!E24</f>
        <v>2026</v>
      </c>
      <c r="F24" s="45" t="n">
        <f aca="false">ROUND((('기본-타자'!H24)+('기본-타자'!AG24*'기본-타자'!K24/600)+(20*'기본-타자'!K24/600))/'연도별 상수'!$U$46,2)</f>
        <v>1.12</v>
      </c>
      <c r="G24" s="9" t="n">
        <f aca="false">'기본-타자'!K24</f>
        <v>342</v>
      </c>
      <c r="H24" s="24" t="n">
        <f aca="false">'기본-타자'!O24+'기본-타자'!P24+'기본-타자'!Q24</f>
        <v>18</v>
      </c>
      <c r="I24" s="46" t="n">
        <f aca="false">ROUND('기본-타자'!AE24,3)</f>
        <v>0.338</v>
      </c>
      <c r="J24" s="47" t="n">
        <f aca="false">ROUND(((I24-'리그 타자'!$B$46)/'연도별 상수'!$T$46+'연도별 상수'!$W$46)*G24,1)</f>
        <v>42</v>
      </c>
      <c r="K24" s="27" t="n">
        <f aca="false">'기본-타자'!G24</f>
        <v>107.6</v>
      </c>
      <c r="L24" s="47" t="n">
        <f aca="false">ROUND(100*('기본-타자'!AB24/'리그 타자'!$R$46+'기본-타자'!AC24/'리그 타자'!$S$46-1)/'기본-타자'!AH24,1)</f>
        <v>107.4</v>
      </c>
      <c r="M24" s="24" t="n">
        <f aca="false">ROUND('기본-타자'!X24/G24*100,1)</f>
        <v>14.3</v>
      </c>
      <c r="N24" s="24" t="n">
        <f aca="false">ROUND('기본-타자'!U24/G24*100,1)</f>
        <v>9.9</v>
      </c>
      <c r="O24" s="9" t="n">
        <f aca="false">ROUND('기본-타자'!U24/'기본-타자'!X24,1)</f>
        <v>0.7</v>
      </c>
      <c r="P24" s="9" t="n">
        <f aca="false">ROUND('기본-타자'!Q24/G24*100,1)</f>
        <v>1.8</v>
      </c>
      <c r="Q24" s="9" t="n">
        <f aca="false">ROUND(('기본-타자'!N24-'기본-타자'!Q24)/('기본-타자'!L24-'기본-타자'!X24-'기본-타자'!Q24+'기본-타자'!Z24),3)</f>
        <v>0.3</v>
      </c>
      <c r="R24" s="29" t="n">
        <f aca="false">ROUND('기본-타자'!AB24-'기본-타자'!AA24,3)</f>
        <v>0.082</v>
      </c>
      <c r="S24" s="29" t="n">
        <f aca="false">ROUND('기본-타자'!AC24-'기본-타자'!AA24,3)</f>
        <v>0.114</v>
      </c>
      <c r="T24" s="48" t="n">
        <f aca="false">'기본-타자'!AK24</f>
        <v>0</v>
      </c>
      <c r="U24" s="47" t="n">
        <f aca="false">'기본-타자'!AL24</f>
        <v>0</v>
      </c>
      <c r="V24" s="48" t="n">
        <f aca="false">'기본-타자'!AN24</f>
        <v>0</v>
      </c>
      <c r="W24" s="48" t="n">
        <f aca="false">'기본-타자'!AM24</f>
        <v>0</v>
      </c>
      <c r="X24" s="24" t="n">
        <f aca="false">'기본-타자'!AI24</f>
        <v>0</v>
      </c>
      <c r="Y24" s="24" t="n">
        <f aca="false">'기본-타자'!AJ24</f>
        <v>0</v>
      </c>
    </row>
    <row r="25" customFormat="false" ht="26.25" hidden="false" customHeight="true" outlineLevel="0" collapsed="false">
      <c r="A25" s="24" t="n">
        <f aca="false">'기본-타자'!A25</f>
        <v>24</v>
      </c>
      <c r="B25" s="24" t="str">
        <f aca="false">'기본-타자'!B25</f>
        <v>강백호</v>
      </c>
      <c r="C25" s="24" t="str">
        <f aca="false">'기본-타자'!C25</f>
        <v>DH</v>
      </c>
      <c r="D25" s="24" t="str">
        <f aca="false">'기본-타자'!D25</f>
        <v>HAN</v>
      </c>
      <c r="E25" s="44" t="n">
        <f aca="false">'기본-타자'!E25</f>
        <v>2026</v>
      </c>
      <c r="F25" s="45" t="n">
        <f aca="false">ROUND((('기본-타자'!H25)+('기본-타자'!AG25*'기본-타자'!K25/600)+(20*'기본-타자'!K25/600))/'연도별 상수'!$U$46,2)</f>
        <v>2.06</v>
      </c>
      <c r="G25" s="9" t="n">
        <f aca="false">'기본-타자'!K25</f>
        <v>341</v>
      </c>
      <c r="H25" s="24" t="n">
        <f aca="false">'기본-타자'!O25+'기본-타자'!P25+'기본-타자'!Q25</f>
        <v>40</v>
      </c>
      <c r="I25" s="46" t="n">
        <f aca="false">ROUND('기본-타자'!AE25,3)</f>
        <v>0.429</v>
      </c>
      <c r="J25" s="47" t="n">
        <f aca="false">ROUND(((I25-'리그 타자'!$B$46)/'연도별 상수'!$T$46+'연도별 상수'!$W$46)*G25,1)</f>
        <v>67</v>
      </c>
      <c r="K25" s="27" t="n">
        <f aca="false">'기본-타자'!G25</f>
        <v>134.4</v>
      </c>
      <c r="L25" s="47" t="n">
        <f aca="false">ROUND(100*('기본-타자'!AB25/'리그 타자'!$R$46+'기본-타자'!AC25/'리그 타자'!$S$46-1)/'기본-타자'!AH25,1)</f>
        <v>135.1</v>
      </c>
      <c r="M25" s="24" t="n">
        <f aca="false">ROUND('기본-타자'!X25/G25*100,1)</f>
        <v>19.9</v>
      </c>
      <c r="N25" s="24" t="n">
        <f aca="false">ROUND('기본-타자'!U25/G25*100,1)</f>
        <v>10.6</v>
      </c>
      <c r="O25" s="9" t="n">
        <f aca="false">ROUND('기본-타자'!U25/'기본-타자'!X25,1)</f>
        <v>0.5</v>
      </c>
      <c r="P25" s="9" t="n">
        <f aca="false">ROUND('기본-타자'!Q25/G25*100,1)</f>
        <v>6.7</v>
      </c>
      <c r="Q25" s="9" t="n">
        <f aca="false">ROUND(('기본-타자'!N25-'기본-타자'!Q25)/('기본-타자'!L25-'기본-타자'!X25-'기본-타자'!Q25+'기본-타자'!Z25),3)</f>
        <v>0.333</v>
      </c>
      <c r="R25" s="29" t="n">
        <f aca="false">ROUND('기본-타자'!AB25-'기본-타자'!AA25,3)</f>
        <v>0.071</v>
      </c>
      <c r="S25" s="29" t="n">
        <f aca="false">ROUND('기본-타자'!AC25-'기본-타자'!AA25,3)</f>
        <v>0.287</v>
      </c>
      <c r="T25" s="48" t="n">
        <f aca="false">'기본-타자'!AK25</f>
        <v>0</v>
      </c>
      <c r="U25" s="47" t="n">
        <f aca="false">'기본-타자'!AL25</f>
        <v>0</v>
      </c>
      <c r="V25" s="48" t="n">
        <f aca="false">'기본-타자'!AN25</f>
        <v>0</v>
      </c>
      <c r="W25" s="48" t="n">
        <f aca="false">'기본-타자'!AM25</f>
        <v>0</v>
      </c>
      <c r="X25" s="24" t="n">
        <f aca="false">'기본-타자'!AI25</f>
        <v>0</v>
      </c>
      <c r="Y25" s="24" t="n">
        <f aca="false">'기본-타자'!AJ25</f>
        <v>0</v>
      </c>
    </row>
    <row r="26" customFormat="false" ht="26.25" hidden="false" customHeight="true" outlineLevel="0" collapsed="false">
      <c r="A26" s="24" t="n">
        <f aca="false">'기본-타자'!A26</f>
        <v>25</v>
      </c>
      <c r="B26" s="24" t="str">
        <f aca="false">'기본-타자'!B26</f>
        <v>나성범</v>
      </c>
      <c r="C26" s="24" t="str">
        <f aca="false">'기본-타자'!C26</f>
        <v>RF</v>
      </c>
      <c r="D26" s="24" t="str">
        <f aca="false">'기본-타자'!D26</f>
        <v>KIA</v>
      </c>
      <c r="E26" s="44" t="n">
        <f aca="false">'기본-타자'!E26</f>
        <v>2026</v>
      </c>
      <c r="F26" s="45" t="n">
        <f aca="false">ROUND((('기본-타자'!H26)+('기본-타자'!AG26*'기본-타자'!K26/600)+(20*'기본-타자'!K26/600))/'연도별 상수'!$U$46,2)</f>
        <v>2.51</v>
      </c>
      <c r="G26" s="9" t="n">
        <f aca="false">'기본-타자'!K26</f>
        <v>331</v>
      </c>
      <c r="H26" s="24" t="n">
        <f aca="false">'기본-타자'!O26+'기본-타자'!P26+'기본-타자'!Q26</f>
        <v>34</v>
      </c>
      <c r="I26" s="46" t="n">
        <f aca="false">ROUND('기본-타자'!AE26,3)</f>
        <v>0.408</v>
      </c>
      <c r="J26" s="47" t="n">
        <f aca="false">ROUND(((I26-'리그 타자'!$B$46)/'연도별 상수'!$T$46+'연도별 상수'!$W$46)*G26,1)</f>
        <v>59.4</v>
      </c>
      <c r="K26" s="27" t="n">
        <f aca="false">'기본-타자'!G26</f>
        <v>146.5</v>
      </c>
      <c r="L26" s="47" t="n">
        <f aca="false">ROUND(100*('기본-타자'!AB26/'리그 타자'!$R$46+'기본-타자'!AC26/'리그 타자'!$S$46-1)/'기본-타자'!AH26,1)</f>
        <v>152.6</v>
      </c>
      <c r="M26" s="24" t="n">
        <f aca="false">ROUND('기본-타자'!X26/G26*100,1)</f>
        <v>26.3</v>
      </c>
      <c r="N26" s="24" t="n">
        <f aca="false">ROUND('기본-타자'!U26/G26*100,1)</f>
        <v>10.9</v>
      </c>
      <c r="O26" s="9" t="n">
        <f aca="false">ROUND('기본-타자'!U26/'기본-타자'!X26,1)</f>
        <v>0.4</v>
      </c>
      <c r="P26" s="9" t="n">
        <f aca="false">ROUND('기본-타자'!Q26/G26*100,1)</f>
        <v>5.1</v>
      </c>
      <c r="Q26" s="9" t="n">
        <f aca="false">ROUND(('기본-타자'!N26-'기본-타자'!Q26)/('기본-타자'!L26-'기본-타자'!X26-'기본-타자'!Q26+'기본-타자'!Z26),3)</f>
        <v>0.366</v>
      </c>
      <c r="R26" s="29" t="n">
        <f aca="false">ROUND('기본-타자'!AB26-'기본-타자'!AA26,3)</f>
        <v>0.086</v>
      </c>
      <c r="S26" s="29" t="n">
        <f aca="false">ROUND('기본-타자'!AC26-'기본-타자'!AA26,3)</f>
        <v>0.236</v>
      </c>
      <c r="T26" s="48" t="n">
        <f aca="false">'기본-타자'!AK26</f>
        <v>0</v>
      </c>
      <c r="U26" s="47" t="n">
        <f aca="false">'기본-타자'!AL26</f>
        <v>0</v>
      </c>
      <c r="V26" s="48" t="n">
        <f aca="false">'기본-타자'!AN26</f>
        <v>0</v>
      </c>
      <c r="W26" s="48" t="n">
        <f aca="false">'기본-타자'!AM26</f>
        <v>0</v>
      </c>
      <c r="X26" s="24" t="n">
        <f aca="false">'기본-타자'!AI26</f>
        <v>0</v>
      </c>
      <c r="Y26" s="24" t="n">
        <f aca="false">'기본-타자'!AJ26</f>
        <v>0</v>
      </c>
    </row>
    <row r="27" customFormat="false" ht="26.25" hidden="false" customHeight="true" outlineLevel="0" collapsed="false">
      <c r="A27" s="24" t="n">
        <f aca="false">'기본-타자'!A27</f>
        <v>26</v>
      </c>
      <c r="B27" s="24" t="str">
        <f aca="false">'기본-타자'!B27</f>
        <v>레이예스</v>
      </c>
      <c r="C27" s="24" t="str">
        <f aca="false">'기본-타자'!C27</f>
        <v>LF</v>
      </c>
      <c r="D27" s="24" t="str">
        <f aca="false">'기본-타자'!D27</f>
        <v>LOT</v>
      </c>
      <c r="E27" s="44" t="n">
        <f aca="false">'기본-타자'!E27</f>
        <v>2026</v>
      </c>
      <c r="F27" s="45" t="n">
        <f aca="false">ROUND((('기본-타자'!H27)+('기본-타자'!AG27*'기본-타자'!K27/600)+(20*'기본-타자'!K27/600))/'연도별 상수'!$U$46,2)</f>
        <v>2.41</v>
      </c>
      <c r="G27" s="9" t="n">
        <f aca="false">'기본-타자'!K27</f>
        <v>374</v>
      </c>
      <c r="H27" s="24" t="n">
        <f aca="false">'기본-타자'!O27+'기본-타자'!P27+'기본-타자'!Q27</f>
        <v>31</v>
      </c>
      <c r="I27" s="46" t="n">
        <f aca="false">ROUND('기본-타자'!AE27,3)</f>
        <v>0.408</v>
      </c>
      <c r="J27" s="47" t="n">
        <f aca="false">ROUND(((I27-'리그 타자'!$B$46)/'연도별 상수'!$T$46+'연도별 상수'!$W$46)*G27,1)</f>
        <v>67.1</v>
      </c>
      <c r="K27" s="27" t="n">
        <f aca="false">'기본-타자'!G27</f>
        <v>122</v>
      </c>
      <c r="L27" s="47" t="n">
        <f aca="false">ROUND(100*('기본-타자'!AB27/'리그 타자'!$R$46+'기본-타자'!AC27/'리그 타자'!$S$46-1)/'기본-타자'!AH27,1)</f>
        <v>122.1</v>
      </c>
      <c r="M27" s="24" t="n">
        <f aca="false">ROUND('기본-타자'!X27/G27*100,1)</f>
        <v>10.7</v>
      </c>
      <c r="N27" s="24" t="n">
        <f aca="false">ROUND('기본-타자'!U27/G27*100,1)</f>
        <v>8.8</v>
      </c>
      <c r="O27" s="9" t="n">
        <f aca="false">ROUND('기본-타자'!U27/'기본-타자'!X27,1)</f>
        <v>0.8</v>
      </c>
      <c r="P27" s="9" t="n">
        <f aca="false">ROUND('기본-타자'!Q27/G27*100,1)</f>
        <v>2.9</v>
      </c>
      <c r="Q27" s="9" t="n">
        <f aca="false">ROUND(('기본-타자'!N27-'기본-타자'!Q27)/('기본-타자'!L27-'기본-타자'!X27-'기본-타자'!Q27+'기본-타자'!Z27),3)</f>
        <v>0.368</v>
      </c>
      <c r="R27" s="29" t="n">
        <f aca="false">ROUND('기본-타자'!AB27-'기본-타자'!AA27,3)</f>
        <v>0.058</v>
      </c>
      <c r="S27" s="29" t="n">
        <f aca="false">ROUND('기본-타자'!AC27-'기본-타자'!AA27,3)</f>
        <v>0.161</v>
      </c>
      <c r="T27" s="48" t="n">
        <f aca="false">'기본-타자'!AK27</f>
        <v>0</v>
      </c>
      <c r="U27" s="47" t="n">
        <f aca="false">'기본-타자'!AL27</f>
        <v>0</v>
      </c>
      <c r="V27" s="48" t="n">
        <f aca="false">'기본-타자'!AN27</f>
        <v>0</v>
      </c>
      <c r="W27" s="48" t="n">
        <f aca="false">'기본-타자'!AM27</f>
        <v>0</v>
      </c>
      <c r="X27" s="24" t="n">
        <f aca="false">'기본-타자'!AI27</f>
        <v>0</v>
      </c>
      <c r="Y27" s="24" t="n">
        <f aca="false">'기본-타자'!AJ27</f>
        <v>0</v>
      </c>
    </row>
    <row r="28" customFormat="false" ht="26.25" hidden="false" customHeight="true" outlineLevel="0" collapsed="false">
      <c r="A28" s="24" t="n">
        <f aca="false">'기본-타자'!A28</f>
        <v>27</v>
      </c>
      <c r="B28" s="24" t="str">
        <f aca="false">'기본-타자'!B28</f>
        <v>구자욱</v>
      </c>
      <c r="C28" s="24" t="str">
        <f aca="false">'기본-타자'!C28</f>
        <v>LF</v>
      </c>
      <c r="D28" s="24" t="str">
        <f aca="false">'기본-타자'!D28</f>
        <v>SAM</v>
      </c>
      <c r="E28" s="44" t="n">
        <f aca="false">'기본-타자'!E28</f>
        <v>2026</v>
      </c>
      <c r="F28" s="45" t="n">
        <f aca="false">ROUND((('기본-타자'!H28)+('기본-타자'!AG28*'기본-타자'!K28/600)+(20*'기본-타자'!K28/600))/'연도별 상수'!$U$46,2)</f>
        <v>2.29</v>
      </c>
      <c r="G28" s="9" t="n">
        <f aca="false">'기본-타자'!K28</f>
        <v>287</v>
      </c>
      <c r="H28" s="24" t="n">
        <f aca="false">'기본-타자'!O28+'기본-타자'!P28+'기본-타자'!Q28</f>
        <v>25</v>
      </c>
      <c r="I28" s="46" t="n">
        <f aca="false">ROUND('기본-타자'!AE28,3)</f>
        <v>0.421</v>
      </c>
      <c r="J28" s="47" t="n">
        <f aca="false">ROUND(((I28-'리그 타자'!$B$46)/'연도별 상수'!$T$46+'연도별 상수'!$W$46)*G28,1)</f>
        <v>54.5</v>
      </c>
      <c r="K28" s="27" t="n">
        <f aca="false">'기본-타자'!G28</f>
        <v>141</v>
      </c>
      <c r="L28" s="47" t="n">
        <f aca="false">ROUND(100*('기본-타자'!AB28/'리그 타자'!$R$46+'기본-타자'!AC28/'리그 타자'!$S$46-1)/'기본-타자'!AH28,1)</f>
        <v>141.1</v>
      </c>
      <c r="M28" s="24" t="n">
        <f aca="false">ROUND('기본-타자'!X28/G28*100,1)</f>
        <v>14.3</v>
      </c>
      <c r="N28" s="24" t="n">
        <f aca="false">ROUND('기본-타자'!U28/G28*100,1)</f>
        <v>12.2</v>
      </c>
      <c r="O28" s="9" t="n">
        <f aca="false">ROUND('기본-타자'!U28/'기본-타자'!X28,1)</f>
        <v>0.9</v>
      </c>
      <c r="P28" s="9" t="n">
        <f aca="false">ROUND('기본-타자'!Q28/G28*100,1)</f>
        <v>2.8</v>
      </c>
      <c r="Q28" s="9" t="n">
        <f aca="false">ROUND(('기본-타자'!N28-'기본-타자'!Q28)/('기본-타자'!L28-'기본-타자'!X28-'기본-타자'!Q28+'기본-타자'!Z28),3)</f>
        <v>0.375</v>
      </c>
      <c r="R28" s="29" t="n">
        <f aca="false">ROUND('기본-타자'!AB28-'기본-타자'!AA28,3)</f>
        <v>0.083</v>
      </c>
      <c r="S28" s="29" t="n">
        <f aca="false">ROUND('기본-타자'!AC28-'기본-타자'!AA28,3)</f>
        <v>0.179</v>
      </c>
      <c r="T28" s="48" t="n">
        <f aca="false">'기본-타자'!AK28</f>
        <v>0</v>
      </c>
      <c r="U28" s="47" t="n">
        <f aca="false">'기본-타자'!AL28</f>
        <v>0</v>
      </c>
      <c r="V28" s="48" t="n">
        <f aca="false">'기본-타자'!AN28</f>
        <v>0</v>
      </c>
      <c r="W28" s="48" t="n">
        <f aca="false">'기본-타자'!AM28</f>
        <v>0</v>
      </c>
      <c r="X28" s="24" t="n">
        <f aca="false">'기본-타자'!AI28</f>
        <v>0</v>
      </c>
      <c r="Y28" s="24" t="n">
        <f aca="false">'기본-타자'!AJ28</f>
        <v>0</v>
      </c>
    </row>
    <row r="29" customFormat="false" ht="26.25" hidden="false" customHeight="true" outlineLevel="0" collapsed="false">
      <c r="A29" s="24" t="n">
        <f aca="false">'기본-타자'!A29</f>
        <v>28</v>
      </c>
      <c r="B29" s="24" t="str">
        <f aca="false">'기본-타자'!B29</f>
        <v>박승규</v>
      </c>
      <c r="C29" s="24" t="str">
        <f aca="false">'기본-타자'!C29</f>
        <v>RF</v>
      </c>
      <c r="D29" s="24" t="str">
        <f aca="false">'기본-타자'!D29</f>
        <v>SAM</v>
      </c>
      <c r="E29" s="44" t="n">
        <f aca="false">'기본-타자'!E29</f>
        <v>2026</v>
      </c>
      <c r="F29" s="45" t="n">
        <f aca="false">ROUND((('기본-타자'!H29)+('기본-타자'!AG29*'기본-타자'!K29/600)+(20*'기본-타자'!K29/600))/'연도별 상수'!$U$46,2)</f>
        <v>1.86</v>
      </c>
      <c r="G29" s="9" t="n">
        <f aca="false">'기본-타자'!K29</f>
        <v>262</v>
      </c>
      <c r="H29" s="24" t="n">
        <f aca="false">'기본-타자'!O29+'기본-타자'!P29+'기본-타자'!Q29</f>
        <v>24</v>
      </c>
      <c r="I29" s="46" t="n">
        <f aca="false">ROUND('기본-타자'!AE29,3)</f>
        <v>0.406</v>
      </c>
      <c r="J29" s="47" t="n">
        <f aca="false">ROUND(((I29-'리그 타자'!$B$46)/'연도별 상수'!$T$46+'연도별 상수'!$W$46)*G29,1)</f>
        <v>46.6</v>
      </c>
      <c r="K29" s="27" t="n">
        <f aca="false">'기본-타자'!G29</f>
        <v>131.6</v>
      </c>
      <c r="L29" s="47" t="n">
        <f aca="false">ROUND(100*('기본-타자'!AB29/'리그 타자'!$R$46+'기본-타자'!AC29/'리그 타자'!$S$46-1)/'기본-타자'!AH29,1)</f>
        <v>131.7</v>
      </c>
      <c r="M29" s="24" t="n">
        <f aca="false">ROUND('기본-타자'!X29/G29*100,1)</f>
        <v>14.1</v>
      </c>
      <c r="N29" s="24" t="n">
        <f aca="false">ROUND('기본-타자'!U29/G29*100,1)</f>
        <v>15.3</v>
      </c>
      <c r="O29" s="9" t="n">
        <f aca="false">ROUND('기본-타자'!U29/'기본-타자'!X29,1)</f>
        <v>1.1</v>
      </c>
      <c r="P29" s="9" t="n">
        <f aca="false">ROUND('기본-타자'!Q29/G29*100,1)</f>
        <v>3.4</v>
      </c>
      <c r="Q29" s="9" t="n">
        <f aca="false">ROUND(('기본-타자'!N29-'기본-타자'!Q29)/('기본-타자'!L29-'기본-타자'!X29-'기본-타자'!Q29+'기본-타자'!Z29),3)</f>
        <v>0.306</v>
      </c>
      <c r="R29" s="29" t="n">
        <f aca="false">ROUND('기본-타자'!AB29-'기본-타자'!AA29,3)</f>
        <v>0.115</v>
      </c>
      <c r="S29" s="29" t="n">
        <f aca="false">ROUND('기본-타자'!AC29-'기본-타자'!AA29,3)</f>
        <v>0.216</v>
      </c>
      <c r="T29" s="48" t="n">
        <f aca="false">'기본-타자'!AK29</f>
        <v>0</v>
      </c>
      <c r="U29" s="47" t="n">
        <f aca="false">'기본-타자'!AL29</f>
        <v>0</v>
      </c>
      <c r="V29" s="48" t="n">
        <f aca="false">'기본-타자'!AN29</f>
        <v>0</v>
      </c>
      <c r="W29" s="48" t="n">
        <f aca="false">'기본-타자'!AM29</f>
        <v>0</v>
      </c>
      <c r="X29" s="24" t="n">
        <f aca="false">'기본-타자'!AI29</f>
        <v>0</v>
      </c>
      <c r="Y29" s="24" t="n">
        <f aca="false">'기본-타자'!AJ29</f>
        <v>0</v>
      </c>
    </row>
    <row r="30" customFormat="false" ht="26.25" hidden="false" customHeight="true" outlineLevel="0" collapsed="false">
      <c r="A30" s="24" t="n">
        <f aca="false">'기본-타자'!A30</f>
        <v>29</v>
      </c>
      <c r="B30" s="24" t="str">
        <f aca="false">'기본-타자'!B30</f>
        <v>디아즈</v>
      </c>
      <c r="C30" s="24" t="str">
        <f aca="false">'기본-타자'!C30</f>
        <v>1B</v>
      </c>
      <c r="D30" s="24" t="str">
        <f aca="false">'기본-타자'!D30</f>
        <v>SAM</v>
      </c>
      <c r="E30" s="44" t="n">
        <f aca="false">'기본-타자'!E30</f>
        <v>2026</v>
      </c>
      <c r="F30" s="45" t="n">
        <f aca="false">ROUND((('기본-타자'!H30)+('기본-타자'!AG30*'기본-타자'!K30/600)+(20*'기본-타자'!K30/600))/'연도별 상수'!$U$46,2)</f>
        <v>2.1</v>
      </c>
      <c r="G30" s="9" t="n">
        <f aca="false">'기본-타자'!K30</f>
        <v>382</v>
      </c>
      <c r="H30" s="24" t="n">
        <f aca="false">'기본-타자'!O30+'기본-타자'!P30+'기본-타자'!Q30</f>
        <v>36</v>
      </c>
      <c r="I30" s="46" t="n">
        <f aca="false">ROUND('기본-타자'!AE30,3)</f>
        <v>0.393</v>
      </c>
      <c r="J30" s="47" t="n">
        <f aca="false">ROUND(((I30-'리그 타자'!$B$46)/'연도별 상수'!$T$46+'연도별 상수'!$W$46)*G30,1)</f>
        <v>63.9</v>
      </c>
      <c r="K30" s="27" t="n">
        <f aca="false">'기본-타자'!G30</f>
        <v>123.5</v>
      </c>
      <c r="L30" s="47" t="n">
        <f aca="false">ROUND(100*('기본-타자'!AB30/'리그 타자'!$R$46+'기본-타자'!AC30/'리그 타자'!$S$46-1)/'기본-타자'!AH30,1)</f>
        <v>125.5</v>
      </c>
      <c r="M30" s="24" t="n">
        <f aca="false">ROUND('기본-타자'!X30/G30*100,1)</f>
        <v>15.7</v>
      </c>
      <c r="N30" s="24" t="n">
        <f aca="false">ROUND('기본-타자'!U30/G30*100,1)</f>
        <v>12</v>
      </c>
      <c r="O30" s="9" t="n">
        <f aca="false">ROUND('기본-타자'!U30/'기본-타자'!X30,1)</f>
        <v>0.8</v>
      </c>
      <c r="P30" s="9" t="n">
        <f aca="false">ROUND('기본-타자'!Q30/G30*100,1)</f>
        <v>4.2</v>
      </c>
      <c r="Q30" s="9" t="n">
        <f aca="false">ROUND(('기본-타자'!N30-'기본-타자'!Q30)/('기본-타자'!L30-'기본-타자'!X30-'기본-타자'!Q30+'기본-타자'!Z30),3)</f>
        <v>0.317</v>
      </c>
      <c r="R30" s="29" t="n">
        <f aca="false">ROUND('기본-타자'!AB30-'기본-타자'!AA30,3)</f>
        <v>0.085</v>
      </c>
      <c r="S30" s="29" t="n">
        <f aca="false">ROUND('기본-타자'!AC30-'기본-타자'!AA30,3)</f>
        <v>0.205</v>
      </c>
      <c r="T30" s="48" t="n">
        <f aca="false">'기본-타자'!AK30</f>
        <v>0</v>
      </c>
      <c r="U30" s="47" t="n">
        <f aca="false">'기본-타자'!AL30</f>
        <v>0</v>
      </c>
      <c r="V30" s="48" t="n">
        <f aca="false">'기본-타자'!AN30</f>
        <v>0</v>
      </c>
      <c r="W30" s="48" t="n">
        <f aca="false">'기본-타자'!AM30</f>
        <v>0</v>
      </c>
      <c r="X30" s="24" t="n">
        <f aca="false">'기본-타자'!AI30</f>
        <v>0</v>
      </c>
      <c r="Y30" s="24" t="n">
        <f aca="false">'기본-타자'!AJ30</f>
        <v>0</v>
      </c>
    </row>
    <row r="31" customFormat="false" ht="26.25" hidden="false" customHeight="true" outlineLevel="0" collapsed="false">
      <c r="A31" s="24" t="n">
        <f aca="false">'기본-타자'!A31</f>
        <v>30</v>
      </c>
      <c r="B31" s="24" t="str">
        <f aca="false">'기본-타자'!B31</f>
        <v>카메론</v>
      </c>
      <c r="C31" s="24" t="str">
        <f aca="false">'기본-타자'!C31</f>
        <v>RF</v>
      </c>
      <c r="D31" s="24" t="str">
        <f aca="false">'기본-타자'!D31</f>
        <v>DOO</v>
      </c>
      <c r="E31" s="44" t="n">
        <f aca="false">'기본-타자'!E31</f>
        <v>2026</v>
      </c>
      <c r="F31" s="45" t="n">
        <f aca="false">ROUND((('기본-타자'!H31)+('기본-타자'!AG31*'기본-타자'!K31/600)+(20*'기본-타자'!K31/600))/'연도별 상수'!$U$46,2)</f>
        <v>1.79</v>
      </c>
      <c r="G31" s="9" t="n">
        <f aca="false">'기본-타자'!K31</f>
        <v>314</v>
      </c>
      <c r="H31" s="24" t="n">
        <f aca="false">'기본-타자'!O31+'기본-타자'!P31+'기본-타자'!Q31</f>
        <v>31</v>
      </c>
      <c r="I31" s="46" t="n">
        <f aca="false">ROUND('기본-타자'!AE31,3)</f>
        <v>0.376</v>
      </c>
      <c r="J31" s="47" t="n">
        <f aca="false">ROUND(((I31-'리그 타자'!$B$46)/'연도별 상수'!$T$46+'연도별 상수'!$W$46)*G31,1)</f>
        <v>48.2</v>
      </c>
      <c r="K31" s="27" t="n">
        <f aca="false">'기본-타자'!G31</f>
        <v>131.3</v>
      </c>
      <c r="L31" s="47" t="n">
        <f aca="false">ROUND(100*('기본-타자'!AB31/'리그 타자'!$R$46+'기본-타자'!AC31/'리그 타자'!$S$46-1)/'기본-타자'!AH31,1)</f>
        <v>137.7</v>
      </c>
      <c r="M31" s="24" t="n">
        <f aca="false">ROUND('기본-타자'!X31/G31*100,1)</f>
        <v>16.9</v>
      </c>
      <c r="N31" s="24" t="n">
        <f aca="false">ROUND('기본-타자'!U31/G31*100,1)</f>
        <v>9.6</v>
      </c>
      <c r="O31" s="9" t="n">
        <f aca="false">ROUND('기본-타자'!U31/'기본-타자'!X31,1)</f>
        <v>0.6</v>
      </c>
      <c r="P31" s="9" t="n">
        <f aca="false">ROUND('기본-타자'!Q31/G31*100,1)</f>
        <v>2.9</v>
      </c>
      <c r="Q31" s="9" t="n">
        <f aca="false">ROUND(('기본-타자'!N31-'기본-타자'!Q31)/('기본-타자'!L31-'기본-타자'!X31-'기본-타자'!Q31+'기본-타자'!Z31),3)</f>
        <v>0.324</v>
      </c>
      <c r="R31" s="29" t="n">
        <f aca="false">ROUND('기본-타자'!AB31-'기본-타자'!AA31,3)</f>
        <v>0.073</v>
      </c>
      <c r="S31" s="29" t="n">
        <f aca="false">ROUND('기본-타자'!AC31-'기본-타자'!AA31,3)</f>
        <v>0.186</v>
      </c>
      <c r="T31" s="48" t="n">
        <f aca="false">'기본-타자'!AK31</f>
        <v>0</v>
      </c>
      <c r="U31" s="47" t="n">
        <f aca="false">'기본-타자'!AL31</f>
        <v>0</v>
      </c>
      <c r="V31" s="48" t="n">
        <f aca="false">'기본-타자'!AN31</f>
        <v>0</v>
      </c>
      <c r="W31" s="48" t="n">
        <f aca="false">'기본-타자'!AM31</f>
        <v>0</v>
      </c>
      <c r="X31" s="24" t="n">
        <f aca="false">'기본-타자'!AI31</f>
        <v>0</v>
      </c>
      <c r="Y31" s="24" t="n">
        <f aca="false">'기본-타자'!AJ31</f>
        <v>0</v>
      </c>
    </row>
    <row r="32" customFormat="false" ht="26.25" hidden="false" customHeight="true" outlineLevel="0" collapsed="false">
      <c r="A32" s="24" t="n">
        <f aca="false">'기본-타자'!A32</f>
        <v>31</v>
      </c>
      <c r="B32" s="24" t="str">
        <f aca="false">'기본-타자'!B32</f>
        <v>김상수</v>
      </c>
      <c r="C32" s="24" t="str">
        <f aca="false">'기본-타자'!C32</f>
        <v>2B</v>
      </c>
      <c r="D32" s="24" t="str">
        <f aca="false">'기본-타자'!D32</f>
        <v>KT</v>
      </c>
      <c r="E32" s="44" t="n">
        <f aca="false">'기본-타자'!E32</f>
        <v>2026</v>
      </c>
      <c r="F32" s="45" t="n">
        <f aca="false">ROUND((('기본-타자'!H32)+('기본-타자'!AG32*'기본-타자'!K32/600)+(20*'기본-타자'!K32/600))/'연도별 상수'!$U$46,2)</f>
        <v>0.89</v>
      </c>
      <c r="G32" s="9" t="n">
        <f aca="false">'기본-타자'!K32</f>
        <v>291</v>
      </c>
      <c r="H32" s="24" t="n">
        <f aca="false">'기본-타자'!O32+'기본-타자'!P32+'기본-타자'!Q32</f>
        <v>8</v>
      </c>
      <c r="I32" s="46" t="n">
        <f aca="false">ROUND('기본-타자'!AE32,3)</f>
        <v>0.344</v>
      </c>
      <c r="J32" s="47" t="n">
        <f aca="false">ROUND(((I32-'리그 타자'!$B$46)/'연도별 상수'!$T$46+'연도별 상수'!$W$46)*G32,1)</f>
        <v>37.2</v>
      </c>
      <c r="K32" s="27" t="n">
        <f aca="false">'기본-타자'!G32</f>
        <v>91.5</v>
      </c>
      <c r="L32" s="47" t="n">
        <f aca="false">ROUND(100*('기본-타자'!AB32/'리그 타자'!$R$46+'기본-타자'!AC32/'리그 타자'!$S$46-1)/'기본-타자'!AH32,1)</f>
        <v>84.6</v>
      </c>
      <c r="M32" s="24" t="n">
        <f aca="false">ROUND('기본-타자'!X32/G32*100,1)</f>
        <v>11.7</v>
      </c>
      <c r="N32" s="24" t="n">
        <f aca="false">ROUND('기본-타자'!U32/G32*100,1)</f>
        <v>12.4</v>
      </c>
      <c r="O32" s="9" t="n">
        <f aca="false">ROUND('기본-타자'!U32/'기본-타자'!X32,1)</f>
        <v>1.1</v>
      </c>
      <c r="P32" s="9" t="n">
        <f aca="false">ROUND('기본-타자'!Q32/G32*100,1)</f>
        <v>0</v>
      </c>
      <c r="Q32" s="9" t="n">
        <f aca="false">ROUND(('기본-타자'!N32-'기본-타자'!Q32)/('기본-타자'!L32-'기본-타자'!X32-'기본-타자'!Q32+'기본-타자'!Z32),3)</f>
        <v>0.33</v>
      </c>
      <c r="R32" s="29" t="n">
        <f aca="false">ROUND('기본-타자'!AB32-'기본-타자'!AA32,3)</f>
        <v>0.102</v>
      </c>
      <c r="S32" s="29" t="n">
        <f aca="false">ROUND('기본-타자'!AC32-'기본-타자'!AA32,3)</f>
        <v>0.037</v>
      </c>
      <c r="T32" s="48" t="n">
        <f aca="false">'기본-타자'!AK32</f>
        <v>0</v>
      </c>
      <c r="U32" s="47" t="n">
        <f aca="false">'기본-타자'!AL32</f>
        <v>0</v>
      </c>
      <c r="V32" s="48" t="n">
        <f aca="false">'기본-타자'!AN32</f>
        <v>0</v>
      </c>
      <c r="W32" s="48" t="n">
        <f aca="false">'기본-타자'!AM32</f>
        <v>0</v>
      </c>
      <c r="X32" s="24" t="n">
        <f aca="false">'기본-타자'!AI32</f>
        <v>0</v>
      </c>
      <c r="Y32" s="24" t="n">
        <f aca="false">'기본-타자'!AJ32</f>
        <v>0</v>
      </c>
    </row>
    <row r="33" customFormat="false" ht="26.25" hidden="false" customHeight="true" outlineLevel="0" collapsed="false">
      <c r="A33" s="24" t="n">
        <f aca="false">'기본-타자'!A33</f>
        <v>32</v>
      </c>
      <c r="B33" s="24" t="str">
        <f aca="false">'기본-타자'!B33</f>
        <v>전민재</v>
      </c>
      <c r="C33" s="24" t="str">
        <f aca="false">'기본-타자'!C33</f>
        <v>SS</v>
      </c>
      <c r="D33" s="24" t="str">
        <f aca="false">'기본-타자'!D33</f>
        <v>LOT</v>
      </c>
      <c r="E33" s="44" t="n">
        <f aca="false">'기본-타자'!E33</f>
        <v>2026</v>
      </c>
      <c r="F33" s="45" t="n">
        <f aca="false">ROUND((('기본-타자'!H33)+('기본-타자'!AG33*'기본-타자'!K33/600)+(20*'기본-타자'!K33/600))/'연도별 상수'!$U$46,2)</f>
        <v>1.01</v>
      </c>
      <c r="G33" s="9" t="n">
        <f aca="false">'기본-타자'!K33</f>
        <v>297</v>
      </c>
      <c r="H33" s="24" t="n">
        <f aca="false">'기본-타자'!O33+'기본-타자'!P33+'기본-타자'!Q33</f>
        <v>20</v>
      </c>
      <c r="I33" s="46" t="n">
        <f aca="false">ROUND('기본-타자'!AE33,3)</f>
        <v>0.329</v>
      </c>
      <c r="J33" s="47" t="n">
        <f aca="false">ROUND(((I33-'리그 타자'!$B$46)/'연도별 상수'!$T$46+'연도별 상수'!$W$46)*G33,1)</f>
        <v>34.3</v>
      </c>
      <c r="K33" s="27" t="n">
        <f aca="false">'기본-타자'!G33</f>
        <v>72.8</v>
      </c>
      <c r="L33" s="47" t="n">
        <f aca="false">ROUND(100*('기본-타자'!AB33/'리그 타자'!$R$46+'기본-타자'!AC33/'리그 타자'!$S$46-1)/'기본-타자'!AH33,1)</f>
        <v>78.4</v>
      </c>
      <c r="M33" s="24" t="n">
        <f aca="false">ROUND('기본-타자'!X33/G33*100,1)</f>
        <v>20.5</v>
      </c>
      <c r="N33" s="24" t="n">
        <f aca="false">ROUND('기본-타자'!U33/G33*100,1)</f>
        <v>5.7</v>
      </c>
      <c r="O33" s="9" t="n">
        <f aca="false">ROUND('기본-타자'!U33/'기본-타자'!X33,1)</f>
        <v>0.3</v>
      </c>
      <c r="P33" s="9" t="n">
        <f aca="false">ROUND('기본-타자'!Q33/G33*100,1)</f>
        <v>2.7</v>
      </c>
      <c r="Q33" s="9" t="n">
        <f aca="false">ROUND(('기본-타자'!N33-'기본-타자'!Q33)/('기본-타자'!L33-'기본-타자'!X33-'기본-타자'!Q33+'기본-타자'!Z33),3)</f>
        <v>0.32</v>
      </c>
      <c r="R33" s="29" t="n">
        <f aca="false">ROUND('기본-타자'!AB33-'기본-타자'!AA33,3)</f>
        <v>0.047</v>
      </c>
      <c r="S33" s="29" t="n">
        <f aca="false">ROUND('기본-타자'!AC33-'기본-타자'!AA33,3)</f>
        <v>0.132</v>
      </c>
      <c r="T33" s="48" t="n">
        <f aca="false">'기본-타자'!AK33</f>
        <v>0</v>
      </c>
      <c r="U33" s="47" t="n">
        <f aca="false">'기본-타자'!AL33</f>
        <v>0</v>
      </c>
      <c r="V33" s="48" t="n">
        <f aca="false">'기본-타자'!AN33</f>
        <v>0</v>
      </c>
      <c r="W33" s="48" t="n">
        <f aca="false">'기본-타자'!AM33</f>
        <v>0</v>
      </c>
      <c r="X33" s="24" t="n">
        <f aca="false">'기본-타자'!AI33</f>
        <v>0</v>
      </c>
      <c r="Y33" s="24" t="n">
        <f aca="false">'기본-타자'!AJ33</f>
        <v>0</v>
      </c>
    </row>
    <row r="34" customFormat="false" ht="26.25" hidden="false" customHeight="true" outlineLevel="0" collapsed="false">
      <c r="A34" s="24" t="n">
        <f aca="false">'기본-타자'!A34</f>
        <v>33</v>
      </c>
      <c r="B34" s="24" t="str">
        <f aca="false">'기본-타자'!B34</f>
        <v>최형우</v>
      </c>
      <c r="C34" s="24" t="str">
        <f aca="false">'기본-타자'!C34</f>
        <v>DH</v>
      </c>
      <c r="D34" s="24" t="str">
        <f aca="false">'기본-타자'!D34</f>
        <v>SAM</v>
      </c>
      <c r="E34" s="44" t="n">
        <f aca="false">'기본-타자'!E34</f>
        <v>2026</v>
      </c>
      <c r="F34" s="45" t="n">
        <f aca="false">ROUND((('기본-타자'!H34)+('기본-타자'!AG34*'기본-타자'!K34/600)+(20*'기본-타자'!K34/600))/'연도별 상수'!$U$46,2)</f>
        <v>2.15</v>
      </c>
      <c r="G34" s="9" t="n">
        <f aca="false">'기본-타자'!K34</f>
        <v>348</v>
      </c>
      <c r="H34" s="24" t="n">
        <f aca="false">'기본-타자'!O34+'기본-타자'!P34+'기본-타자'!Q34</f>
        <v>28</v>
      </c>
      <c r="I34" s="46" t="n">
        <f aca="false">ROUND('기본-타자'!AE34,3)</f>
        <v>0.419</v>
      </c>
      <c r="J34" s="47" t="n">
        <f aca="false">ROUND(((I34-'리그 타자'!$B$46)/'연도별 상수'!$T$46+'연도별 상수'!$W$46)*G34,1)</f>
        <v>65.5</v>
      </c>
      <c r="K34" s="27" t="n">
        <f aca="false">'기본-타자'!G34</f>
        <v>139.7</v>
      </c>
      <c r="L34" s="47" t="n">
        <f aca="false">ROUND(100*('기본-타자'!AB34/'리그 타자'!$R$46+'기본-타자'!AC34/'리그 타자'!$S$46-1)/'기본-타자'!AH34,1)</f>
        <v>139.8</v>
      </c>
      <c r="M34" s="24" t="n">
        <f aca="false">ROUND('기본-타자'!X34/G34*100,1)</f>
        <v>13.8</v>
      </c>
      <c r="N34" s="24" t="n">
        <f aca="false">ROUND('기본-타자'!U34/G34*100,1)</f>
        <v>14.4</v>
      </c>
      <c r="O34" s="9" t="n">
        <f aca="false">ROUND('기본-타자'!U34/'기본-타자'!X34,1)</f>
        <v>1</v>
      </c>
      <c r="P34" s="9" t="n">
        <f aca="false">ROUND('기본-타자'!Q34/G34*100,1)</f>
        <v>3.4</v>
      </c>
      <c r="Q34" s="9" t="n">
        <f aca="false">ROUND(('기본-타자'!N34-'기본-타자'!Q34)/('기본-타자'!L34-'기본-타자'!X34-'기본-타자'!Q34+'기본-타자'!Z34),3)</f>
        <v>0.353</v>
      </c>
      <c r="R34" s="29" t="n">
        <f aca="false">ROUND('기본-타자'!AB34-'기본-타자'!AA34,3)</f>
        <v>0.096</v>
      </c>
      <c r="S34" s="29" t="n">
        <f aca="false">ROUND('기본-타자'!AC34-'기본-타자'!AA34,3)</f>
        <v>0.18</v>
      </c>
      <c r="T34" s="48" t="n">
        <f aca="false">'기본-타자'!AK34</f>
        <v>0</v>
      </c>
      <c r="U34" s="47" t="n">
        <f aca="false">'기본-타자'!AL34</f>
        <v>0</v>
      </c>
      <c r="V34" s="48" t="n">
        <f aca="false">'기본-타자'!AN34</f>
        <v>0</v>
      </c>
      <c r="W34" s="48" t="n">
        <f aca="false">'기본-타자'!AM34</f>
        <v>0</v>
      </c>
      <c r="X34" s="24" t="n">
        <f aca="false">'기본-타자'!AI34</f>
        <v>0</v>
      </c>
      <c r="Y34" s="24" t="n">
        <f aca="false">'기본-타자'!AJ34</f>
        <v>0</v>
      </c>
    </row>
    <row r="35" customFormat="false" ht="26.25" hidden="false" customHeight="true" outlineLevel="0" collapsed="false">
      <c r="A35" s="24" t="n">
        <f aca="false">'기본-타자'!A35</f>
        <v>34</v>
      </c>
      <c r="B35" s="24" t="str">
        <f aca="false">'기본-타자'!B35</f>
        <v>정준재</v>
      </c>
      <c r="C35" s="24" t="str">
        <f aca="false">'기본-타자'!C35</f>
        <v>2B</v>
      </c>
      <c r="D35" s="24" t="str">
        <f aca="false">'기본-타자'!D35</f>
        <v>SSG</v>
      </c>
      <c r="E35" s="44" t="n">
        <f aca="false">'기본-타자'!E35</f>
        <v>2026</v>
      </c>
      <c r="F35" s="45" t="n">
        <f aca="false">ROUND((('기본-타자'!H35)+('기본-타자'!AG35*'기본-타자'!K35/600)+(20*'기본-타자'!K35/600))/'연도별 상수'!$U$46,2)</f>
        <v>0.85</v>
      </c>
      <c r="G35" s="9" t="n">
        <f aca="false">'기본-타자'!K35</f>
        <v>336</v>
      </c>
      <c r="H35" s="24" t="n">
        <f aca="false">'기본-타자'!O35+'기본-타자'!P35+'기본-타자'!Q35</f>
        <v>15</v>
      </c>
      <c r="I35" s="46" t="n">
        <f aca="false">ROUND('기본-타자'!AE35,3)</f>
        <v>0.329</v>
      </c>
      <c r="J35" s="47" t="n">
        <f aca="false">ROUND(((I35-'리그 타자'!$B$46)/'연도별 상수'!$T$46+'연도별 상수'!$W$46)*G35,1)</f>
        <v>38.8</v>
      </c>
      <c r="K35" s="27" t="n">
        <f aca="false">'기본-타자'!G35</f>
        <v>94.9</v>
      </c>
      <c r="L35" s="47" t="n">
        <f aca="false">ROUND(100*('기본-타자'!AB35/'리그 타자'!$R$46+'기본-타자'!AC35/'리그 타자'!$S$46-1)/'기본-타자'!AH35,1)</f>
        <v>93.8</v>
      </c>
      <c r="M35" s="24" t="n">
        <f aca="false">ROUND('기본-타자'!X35/G35*100,1)</f>
        <v>13.7</v>
      </c>
      <c r="N35" s="24" t="n">
        <f aca="false">ROUND('기본-타자'!U35/G35*100,1)</f>
        <v>8.6</v>
      </c>
      <c r="O35" s="9" t="n">
        <f aca="false">ROUND('기본-타자'!U35/'기본-타자'!X35,1)</f>
        <v>0.6</v>
      </c>
      <c r="P35" s="9" t="n">
        <f aca="false">ROUND('기본-타자'!Q35/G35*100,1)</f>
        <v>0.3</v>
      </c>
      <c r="Q35" s="9" t="n">
        <f aca="false">ROUND(('기본-타자'!N35-'기본-타자'!Q35)/('기본-타자'!L35-'기본-타자'!X35-'기본-타자'!Q35+'기본-타자'!Z35),3)</f>
        <v>0.321</v>
      </c>
      <c r="R35" s="29" t="n">
        <f aca="false">ROUND('기본-타자'!AB35-'기본-타자'!AA35,3)</f>
        <v>0.072</v>
      </c>
      <c r="S35" s="29" t="n">
        <f aca="false">ROUND('기본-타자'!AC35-'기본-타자'!AA35,3)</f>
        <v>0.081</v>
      </c>
      <c r="T35" s="48" t="n">
        <f aca="false">'기본-타자'!AK35</f>
        <v>0</v>
      </c>
      <c r="U35" s="47" t="n">
        <f aca="false">'기본-타자'!AL35</f>
        <v>0</v>
      </c>
      <c r="V35" s="48" t="n">
        <f aca="false">'기본-타자'!AN35</f>
        <v>0</v>
      </c>
      <c r="W35" s="48" t="n">
        <f aca="false">'기본-타자'!AM35</f>
        <v>0</v>
      </c>
      <c r="X35" s="24" t="n">
        <f aca="false">'기본-타자'!AI35</f>
        <v>0</v>
      </c>
      <c r="Y35" s="24" t="n">
        <f aca="false">'기본-타자'!AJ35</f>
        <v>0</v>
      </c>
    </row>
    <row r="36" customFormat="false" ht="26.25" hidden="false" customHeight="true" outlineLevel="0" collapsed="false">
      <c r="A36" s="24" t="n">
        <f aca="false">'기본-타자'!A36</f>
        <v>35</v>
      </c>
      <c r="B36" s="24" t="str">
        <f aca="false">'기본-타자'!B36</f>
        <v>황성빈</v>
      </c>
      <c r="C36" s="24" t="str">
        <f aca="false">'기본-타자'!C36</f>
        <v>CF</v>
      </c>
      <c r="D36" s="24" t="str">
        <f aca="false">'기본-타자'!D36</f>
        <v>LOT</v>
      </c>
      <c r="E36" s="44" t="n">
        <f aca="false">'기본-타자'!E36</f>
        <v>2026</v>
      </c>
      <c r="F36" s="45" t="n">
        <f aca="false">ROUND((('기본-타자'!H36)+('기본-타자'!AG36*'기본-타자'!K36/600)+(20*'기본-타자'!K36/600))/'연도별 상수'!$U$46,2)</f>
        <v>0.94</v>
      </c>
      <c r="G36" s="9" t="n">
        <f aca="false">'기본-타자'!K36</f>
        <v>263</v>
      </c>
      <c r="H36" s="24" t="n">
        <f aca="false">'기본-타자'!O36+'기본-타자'!P36+'기본-타자'!Q36</f>
        <v>12</v>
      </c>
      <c r="I36" s="46" t="n">
        <f aca="false">ROUND('기본-타자'!AE36,3)</f>
        <v>0.323</v>
      </c>
      <c r="J36" s="47" t="n">
        <f aca="false">ROUND(((I36-'리그 타자'!$B$46)/'연도별 상수'!$T$46+'연도별 상수'!$W$46)*G36,1)</f>
        <v>29.1</v>
      </c>
      <c r="K36" s="27" t="n">
        <f aca="false">'기본-타자'!G36</f>
        <v>69.1</v>
      </c>
      <c r="L36" s="47" t="n">
        <f aca="false">ROUND(100*('기본-타자'!AB36/'리그 타자'!$R$46+'기본-타자'!AC36/'리그 타자'!$S$46-1)/'기본-타자'!AH36,1)</f>
        <v>74.1</v>
      </c>
      <c r="M36" s="24" t="n">
        <f aca="false">ROUND('기본-타자'!X36/G36*100,1)</f>
        <v>16</v>
      </c>
      <c r="N36" s="24" t="n">
        <f aca="false">ROUND('기본-타자'!U36/G36*100,1)</f>
        <v>6.5</v>
      </c>
      <c r="O36" s="9" t="n">
        <f aca="false">ROUND('기본-타자'!U36/'기본-타자'!X36,1)</f>
        <v>0.4</v>
      </c>
      <c r="P36" s="9" t="n">
        <f aca="false">ROUND('기본-타자'!Q36/G36*100,1)</f>
        <v>0</v>
      </c>
      <c r="Q36" s="9" t="n">
        <f aca="false">ROUND(('기본-타자'!N36-'기본-타자'!Q36)/('기본-타자'!L36-'기본-타자'!X36-'기본-타자'!Q36+'기본-타자'!Z36),3)</f>
        <v>0.347</v>
      </c>
      <c r="R36" s="29" t="n">
        <f aca="false">ROUND('기본-타자'!AB36-'기본-타자'!AA36,3)</f>
        <v>0.047</v>
      </c>
      <c r="S36" s="29" t="n">
        <f aca="false">ROUND('기본-타자'!AC36-'기본-타자'!AA36,3)</f>
        <v>0.075</v>
      </c>
      <c r="T36" s="48" t="n">
        <f aca="false">'기본-타자'!AK36</f>
        <v>0</v>
      </c>
      <c r="U36" s="47" t="n">
        <f aca="false">'기본-타자'!AL36</f>
        <v>0</v>
      </c>
      <c r="V36" s="48" t="n">
        <f aca="false">'기본-타자'!AN36</f>
        <v>0</v>
      </c>
      <c r="W36" s="48" t="n">
        <f aca="false">'기본-타자'!AM36</f>
        <v>0</v>
      </c>
      <c r="X36" s="24" t="n">
        <f aca="false">'기본-타자'!AI36</f>
        <v>0</v>
      </c>
      <c r="Y36" s="24" t="n">
        <f aca="false">'기본-타자'!AJ36</f>
        <v>0</v>
      </c>
    </row>
    <row r="37" customFormat="false" ht="26.25" hidden="false" customHeight="true" outlineLevel="0" collapsed="false">
      <c r="A37" s="24" t="n">
        <f aca="false">'기본-타자'!A37</f>
        <v>36</v>
      </c>
      <c r="B37" s="24" t="str">
        <f aca="false">'기본-타자'!B37</f>
        <v>심우준</v>
      </c>
      <c r="C37" s="24" t="str">
        <f aca="false">'기본-타자'!C37</f>
        <v>SS</v>
      </c>
      <c r="D37" s="24" t="str">
        <f aca="false">'기본-타자'!D37</f>
        <v>HAN</v>
      </c>
      <c r="E37" s="44" t="n">
        <f aca="false">'기본-타자'!E37</f>
        <v>2026</v>
      </c>
      <c r="F37" s="45" t="n">
        <f aca="false">ROUND((('기본-타자'!H37)+('기본-타자'!AG37*'기본-타자'!K37/600)+(20*'기본-타자'!K37/600))/'연도별 상수'!$U$46,2)</f>
        <v>1.03</v>
      </c>
      <c r="G37" s="9" t="n">
        <f aca="false">'기본-타자'!K37</f>
        <v>261</v>
      </c>
      <c r="H37" s="24" t="n">
        <f aca="false">'기본-타자'!O37+'기본-타자'!P37+'기본-타자'!Q37</f>
        <v>10</v>
      </c>
      <c r="I37" s="46" t="n">
        <f aca="false">ROUND('기본-타자'!AE37,3)</f>
        <v>0.327</v>
      </c>
      <c r="J37" s="47" t="n">
        <f aca="false">ROUND(((I37-'리그 타자'!$B$46)/'연도별 상수'!$T$46+'연도별 상수'!$W$46)*G37,1)</f>
        <v>29.8</v>
      </c>
      <c r="K37" s="27" t="n">
        <f aca="false">'기본-타자'!G37</f>
        <v>70.9</v>
      </c>
      <c r="L37" s="47" t="n">
        <f aca="false">ROUND(100*('기본-타자'!AB37/'리그 타자'!$R$46+'기본-타자'!AC37/'리그 타자'!$S$46-1)/'기본-타자'!AH37,1)</f>
        <v>72.1</v>
      </c>
      <c r="M37" s="24" t="n">
        <f aca="false">ROUND('기본-타자'!X37/G37*100,1)</f>
        <v>17.2</v>
      </c>
      <c r="N37" s="24" t="n">
        <f aca="false">ROUND('기본-타자'!U37/G37*100,1)</f>
        <v>10.3</v>
      </c>
      <c r="O37" s="9" t="n">
        <f aca="false">ROUND('기본-타자'!U37/'기본-타자'!X37,1)</f>
        <v>0.6</v>
      </c>
      <c r="P37" s="9" t="n">
        <f aca="false">ROUND('기본-타자'!Q37/G37*100,1)</f>
        <v>1.1</v>
      </c>
      <c r="Q37" s="9" t="n">
        <f aca="false">ROUND(('기본-타자'!N37-'기본-타자'!Q37)/('기본-타자'!L37-'기본-타자'!X37-'기본-타자'!Q37+'기본-타자'!Z37),3)</f>
        <v>0.32</v>
      </c>
      <c r="R37" s="29" t="n">
        <f aca="false">ROUND('기본-타자'!AB37-'기본-타자'!AA37,3)</f>
        <v>0.085</v>
      </c>
      <c r="S37" s="29" t="n">
        <f aca="false">ROUND('기본-타자'!AC37-'기본-타자'!AA37,3)</f>
        <v>0.071</v>
      </c>
      <c r="T37" s="48" t="n">
        <f aca="false">'기본-타자'!AK37</f>
        <v>0</v>
      </c>
      <c r="U37" s="47" t="n">
        <f aca="false">'기본-타자'!AL37</f>
        <v>0</v>
      </c>
      <c r="V37" s="48" t="n">
        <f aca="false">'기본-타자'!AN37</f>
        <v>0</v>
      </c>
      <c r="W37" s="48" t="n">
        <f aca="false">'기본-타자'!AM37</f>
        <v>0</v>
      </c>
      <c r="X37" s="24" t="n">
        <f aca="false">'기본-타자'!AI37</f>
        <v>0</v>
      </c>
      <c r="Y37" s="24" t="n">
        <f aca="false">'기본-타자'!AJ37</f>
        <v>0</v>
      </c>
    </row>
    <row r="38" customFormat="false" ht="26.25" hidden="false" customHeight="true" outlineLevel="0" collapsed="false">
      <c r="A38" s="24" t="n">
        <f aca="false">'기본-타자'!A38</f>
        <v>37</v>
      </c>
      <c r="B38" s="24" t="str">
        <f aca="false">'기본-타자'!B38</f>
        <v>박건우</v>
      </c>
      <c r="C38" s="24" t="str">
        <f aca="false">'기본-타자'!C38</f>
        <v>RF</v>
      </c>
      <c r="D38" s="24" t="str">
        <f aca="false">'기본-타자'!D38</f>
        <v>NC</v>
      </c>
      <c r="E38" s="44" t="n">
        <f aca="false">'기본-타자'!E38</f>
        <v>2026</v>
      </c>
      <c r="F38" s="45" t="n">
        <f aca="false">ROUND((('기본-타자'!H38)+('기본-타자'!AG38*'기본-타자'!K38/600)+(20*'기본-타자'!K38/600))/'연도별 상수'!$U$46,2)</f>
        <v>1.64</v>
      </c>
      <c r="G38" s="9" t="n">
        <f aca="false">'기본-타자'!K38</f>
        <v>318</v>
      </c>
      <c r="H38" s="24" t="n">
        <f aca="false">'기본-타자'!O38+'기본-타자'!P38+'기본-타자'!Q38</f>
        <v>26</v>
      </c>
      <c r="I38" s="46" t="n">
        <f aca="false">ROUND('기본-타자'!AE38,3)</f>
        <v>0.381</v>
      </c>
      <c r="J38" s="47" t="n">
        <f aca="false">ROUND(((I38-'리그 타자'!$B$46)/'연도별 상수'!$T$46+'연도별 상수'!$W$46)*G38,1)</f>
        <v>50.1</v>
      </c>
      <c r="K38" s="27" t="n">
        <f aca="false">'기본-타자'!G38</f>
        <v>124.7</v>
      </c>
      <c r="L38" s="47" t="n">
        <f aca="false">ROUND(100*('기본-타자'!AB38/'리그 타자'!$R$46+'기본-타자'!AC38/'리그 타자'!$S$46-1)/'기본-타자'!AH38,1)</f>
        <v>133</v>
      </c>
      <c r="M38" s="24" t="n">
        <f aca="false">ROUND('기본-타자'!X38/G38*100,1)</f>
        <v>18.2</v>
      </c>
      <c r="N38" s="24" t="n">
        <f aca="false">ROUND('기본-타자'!U38/G38*100,1)</f>
        <v>12.6</v>
      </c>
      <c r="O38" s="9" t="n">
        <f aca="false">ROUND('기본-타자'!U38/'기본-타자'!X38,1)</f>
        <v>0.7</v>
      </c>
      <c r="P38" s="9" t="n">
        <f aca="false">ROUND('기본-타자'!Q38/G38*100,1)</f>
        <v>4.7</v>
      </c>
      <c r="Q38" s="9" t="n">
        <f aca="false">ROUND(('기본-타자'!N38-'기본-타자'!Q38)/('기본-타자'!L38-'기본-타자'!X38-'기본-타자'!Q38+'기본-타자'!Z38),3)</f>
        <v>0.304</v>
      </c>
      <c r="R38" s="29" t="n">
        <f aca="false">ROUND('기본-타자'!AB38-'기본-타자'!AA38,3)</f>
        <v>0.084</v>
      </c>
      <c r="S38" s="29" t="n">
        <f aca="false">ROUND('기본-타자'!AC38-'기본-타자'!AA38,3)</f>
        <v>0.209</v>
      </c>
      <c r="T38" s="48" t="n">
        <f aca="false">'기본-타자'!AK38</f>
        <v>0</v>
      </c>
      <c r="U38" s="47" t="n">
        <f aca="false">'기본-타자'!AL38</f>
        <v>0</v>
      </c>
      <c r="V38" s="48" t="n">
        <f aca="false">'기본-타자'!AN38</f>
        <v>0</v>
      </c>
      <c r="W38" s="48" t="n">
        <f aca="false">'기본-타자'!AM38</f>
        <v>0</v>
      </c>
      <c r="X38" s="24" t="n">
        <f aca="false">'기본-타자'!AI38</f>
        <v>0</v>
      </c>
      <c r="Y38" s="24" t="n">
        <f aca="false">'기본-타자'!AJ38</f>
        <v>0</v>
      </c>
    </row>
    <row r="39" customFormat="false" ht="26.25" hidden="false" customHeight="true" outlineLevel="0" collapsed="false">
      <c r="A39" s="24" t="n">
        <f aca="false">'기본-타자'!A39</f>
        <v>38</v>
      </c>
      <c r="B39" s="24" t="str">
        <f aca="false">'기본-타자'!B39</f>
        <v>김건희</v>
      </c>
      <c r="C39" s="24" t="str">
        <f aca="false">'기본-타자'!C39</f>
        <v>C</v>
      </c>
      <c r="D39" s="24" t="str">
        <f aca="false">'기본-타자'!D39</f>
        <v>KIW</v>
      </c>
      <c r="E39" s="44" t="n">
        <f aca="false">'기본-타자'!E39</f>
        <v>2026</v>
      </c>
      <c r="F39" s="45" t="n">
        <f aca="false">ROUND((('기본-타자'!H39)+('기본-타자'!AG39*'기본-타자'!K39/600)+(20*'기본-타자'!K39/600))/'연도별 상수'!$U$46,2)</f>
        <v>0.87</v>
      </c>
      <c r="G39" s="9" t="n">
        <f aca="false">'기본-타자'!K39</f>
        <v>267</v>
      </c>
      <c r="H39" s="24" t="n">
        <f aca="false">'기본-타자'!O39+'기본-타자'!P39+'기본-타자'!Q39</f>
        <v>18</v>
      </c>
      <c r="I39" s="46" t="n">
        <f aca="false">ROUND('기본-타자'!AE39,3)</f>
        <v>0.327</v>
      </c>
      <c r="J39" s="47" t="n">
        <f aca="false">ROUND(((I39-'리그 타자'!$B$46)/'연도별 상수'!$T$46+'연도별 상수'!$W$46)*G39,1)</f>
        <v>30.4</v>
      </c>
      <c r="K39" s="27" t="n">
        <f aca="false">'기본-타자'!G39</f>
        <v>94.8</v>
      </c>
      <c r="L39" s="47" t="n">
        <f aca="false">ROUND(100*('기본-타자'!AB39/'리그 타자'!$R$46+'기본-타자'!AC39/'리그 타자'!$S$46-1)/'기본-타자'!AH39,1)</f>
        <v>95.9</v>
      </c>
      <c r="M39" s="24" t="n">
        <f aca="false">ROUND('기본-타자'!X39/G39*100,1)</f>
        <v>27.7</v>
      </c>
      <c r="N39" s="24" t="n">
        <f aca="false">ROUND('기본-타자'!U39/G39*100,1)</f>
        <v>9.4</v>
      </c>
      <c r="O39" s="9" t="n">
        <f aca="false">ROUND('기본-타자'!U39/'기본-타자'!X39,1)</f>
        <v>0.3</v>
      </c>
      <c r="P39" s="9" t="n">
        <f aca="false">ROUND('기본-타자'!Q39/G39*100,1)</f>
        <v>2.2</v>
      </c>
      <c r="Q39" s="9" t="n">
        <f aca="false">ROUND(('기본-타자'!N39-'기본-타자'!Q39)/('기본-타자'!L39-'기본-타자'!X39-'기본-타자'!Q39+'기본-타자'!Z39),3)</f>
        <v>0.346</v>
      </c>
      <c r="R39" s="29" t="n">
        <f aca="false">ROUND('기본-타자'!AB39-'기본-타자'!AA39,3)</f>
        <v>0.07</v>
      </c>
      <c r="S39" s="29" t="n">
        <f aca="false">ROUND('기본-타자'!AC39-'기본-타자'!AA39,3)</f>
        <v>0.128</v>
      </c>
      <c r="T39" s="48" t="n">
        <f aca="false">'기본-타자'!AK39</f>
        <v>0</v>
      </c>
      <c r="U39" s="47" t="n">
        <f aca="false">'기본-타자'!AL39</f>
        <v>0</v>
      </c>
      <c r="V39" s="48" t="n">
        <f aca="false">'기본-타자'!AN39</f>
        <v>0</v>
      </c>
      <c r="W39" s="48" t="n">
        <f aca="false">'기본-타자'!AM39</f>
        <v>0</v>
      </c>
      <c r="X39" s="24" t="n">
        <f aca="false">'기본-타자'!AI39</f>
        <v>0</v>
      </c>
      <c r="Y39" s="24" t="n">
        <f aca="false">'기본-타자'!AJ39</f>
        <v>0</v>
      </c>
    </row>
    <row r="40" customFormat="false" ht="26.25" hidden="false" customHeight="true" outlineLevel="0" collapsed="false">
      <c r="A40" s="24" t="n">
        <f aca="false">'기본-타자'!A40</f>
        <v>39</v>
      </c>
      <c r="B40" s="24" t="str">
        <f aca="false">'기본-타자'!B40</f>
        <v>오지환</v>
      </c>
      <c r="C40" s="24" t="str">
        <f aca="false">'기본-타자'!C40</f>
        <v>SS</v>
      </c>
      <c r="D40" s="24" t="str">
        <f aca="false">'기본-타자'!D40</f>
        <v>LG</v>
      </c>
      <c r="E40" s="44" t="n">
        <f aca="false">'기본-타자'!E40</f>
        <v>2026</v>
      </c>
      <c r="F40" s="45" t="n">
        <f aca="false">ROUND((('기본-타자'!H40)+('기본-타자'!AG40*'기본-타자'!K40/600)+(20*'기본-타자'!K40/600))/'연도별 상수'!$U$46,2)</f>
        <v>0.67</v>
      </c>
      <c r="G40" s="9" t="n">
        <f aca="false">'기본-타자'!K40</f>
        <v>273</v>
      </c>
      <c r="H40" s="24" t="n">
        <f aca="false">'기본-타자'!O40+'기본-타자'!P40+'기본-타자'!Q40</f>
        <v>15</v>
      </c>
      <c r="I40" s="46" t="n">
        <f aca="false">ROUND('기본-타자'!AE40,3)</f>
        <v>0.326</v>
      </c>
      <c r="J40" s="47" t="n">
        <f aca="false">ROUND(((I40-'리그 타자'!$B$46)/'연도별 상수'!$T$46+'연도별 상수'!$W$46)*G40,1)</f>
        <v>30.9</v>
      </c>
      <c r="K40" s="27" t="n">
        <f aca="false">'기본-타자'!G40</f>
        <v>100.1</v>
      </c>
      <c r="L40" s="47" t="n">
        <f aca="false">ROUND(100*('기본-타자'!AB40/'리그 타자'!$R$46+'기본-타자'!AC40/'리그 타자'!$S$46-1)/'기본-타자'!AH40,1)</f>
        <v>99.1</v>
      </c>
      <c r="M40" s="24" t="n">
        <f aca="false">ROUND('기본-타자'!X40/G40*100,1)</f>
        <v>19.8</v>
      </c>
      <c r="N40" s="24" t="n">
        <f aca="false">ROUND('기본-타자'!U40/G40*100,1)</f>
        <v>9.9</v>
      </c>
      <c r="O40" s="9" t="n">
        <f aca="false">ROUND('기본-타자'!U40/'기본-타자'!X40,1)</f>
        <v>0.5</v>
      </c>
      <c r="P40" s="9" t="n">
        <f aca="false">ROUND('기본-타자'!Q40/G40*100,1)</f>
        <v>2.2</v>
      </c>
      <c r="Q40" s="9" t="n">
        <f aca="false">ROUND(('기본-타자'!N40-'기본-타자'!Q40)/('기본-타자'!L40-'기본-타자'!X40-'기본-타자'!Q40+'기본-타자'!Z40),3)</f>
        <v>0.299</v>
      </c>
      <c r="R40" s="29" t="n">
        <f aca="false">ROUND('기본-타자'!AB40-'기본-타자'!AA40,3)</f>
        <v>0.081</v>
      </c>
      <c r="S40" s="29" t="n">
        <f aca="false">ROUND('기본-타자'!AC40-'기본-타자'!AA40,3)</f>
        <v>0.116</v>
      </c>
      <c r="T40" s="48" t="n">
        <f aca="false">'기본-타자'!AK40</f>
        <v>0</v>
      </c>
      <c r="U40" s="47" t="n">
        <f aca="false">'기본-타자'!AL40</f>
        <v>0</v>
      </c>
      <c r="V40" s="48" t="n">
        <f aca="false">'기본-타자'!AN40</f>
        <v>0</v>
      </c>
      <c r="W40" s="48" t="n">
        <f aca="false">'기본-타자'!AM40</f>
        <v>0</v>
      </c>
      <c r="X40" s="24" t="n">
        <f aca="false">'기본-타자'!AI40</f>
        <v>0</v>
      </c>
      <c r="Y40" s="24" t="n">
        <f aca="false">'기본-타자'!AJ40</f>
        <v>0</v>
      </c>
    </row>
    <row r="41" customFormat="false" ht="26.25" hidden="false" customHeight="true" outlineLevel="0" collapsed="false">
      <c r="A41" s="24" t="n">
        <f aca="false">'기본-타자'!A41</f>
        <v>40</v>
      </c>
      <c r="B41" s="24" t="str">
        <f aca="false">'기본-타자'!B41</f>
        <v>허경민</v>
      </c>
      <c r="C41" s="24" t="str">
        <f aca="false">'기본-타자'!C41</f>
        <v>3B</v>
      </c>
      <c r="D41" s="24" t="str">
        <f aca="false">'기본-타자'!D41</f>
        <v>KT</v>
      </c>
      <c r="E41" s="44" t="n">
        <f aca="false">'기본-타자'!E41</f>
        <v>2026</v>
      </c>
      <c r="F41" s="45" t="n">
        <f aca="false">ROUND((('기본-타자'!H41)+('기본-타자'!AG41*'기본-타자'!K41/600)+(20*'기본-타자'!K41/600))/'연도별 상수'!$U$46,2)</f>
        <v>0.92</v>
      </c>
      <c r="G41" s="9" t="n">
        <f aca="false">'기본-타자'!K41</f>
        <v>187</v>
      </c>
      <c r="H41" s="24" t="n">
        <f aca="false">'기본-타자'!O41+'기본-타자'!P41+'기본-타자'!Q41</f>
        <v>11</v>
      </c>
      <c r="I41" s="46" t="n">
        <f aca="false">ROUND('기본-타자'!AE41,3)</f>
        <v>0.377</v>
      </c>
      <c r="J41" s="47" t="n">
        <f aca="false">ROUND(((I41-'리그 타자'!$B$46)/'연도별 상수'!$T$46+'연도별 상수'!$W$46)*G41,1)</f>
        <v>28.9</v>
      </c>
      <c r="K41" s="27" t="n">
        <f aca="false">'기본-타자'!G41</f>
        <v>112.1</v>
      </c>
      <c r="L41" s="47" t="n">
        <f aca="false">ROUND(100*('기본-타자'!AB41/'리그 타자'!$R$46+'기본-타자'!AC41/'리그 타자'!$S$46-1)/'기본-타자'!AH41,1)</f>
        <v>107.9</v>
      </c>
      <c r="M41" s="24" t="n">
        <f aca="false">ROUND('기본-타자'!X41/G41*100,1)</f>
        <v>9.1</v>
      </c>
      <c r="N41" s="24" t="n">
        <f aca="false">ROUND('기본-타자'!U41/G41*100,1)</f>
        <v>8</v>
      </c>
      <c r="O41" s="9" t="n">
        <f aca="false">ROUND('기본-타자'!U41/'기본-타자'!X41,1)</f>
        <v>0.9</v>
      </c>
      <c r="P41" s="9" t="n">
        <f aca="false">ROUND('기본-타자'!Q41/G41*100,1)</f>
        <v>1.6</v>
      </c>
      <c r="Q41" s="9" t="n">
        <f aca="false">ROUND(('기본-타자'!N41-'기본-타자'!Q41)/('기본-타자'!L41-'기본-타자'!X41-'기본-타자'!Q41+'기본-타자'!Z41),3)</f>
        <v>0.333</v>
      </c>
      <c r="R41" s="29" t="n">
        <f aca="false">ROUND('기본-타자'!AB41-'기본-타자'!AA41,3)</f>
        <v>0.079</v>
      </c>
      <c r="S41" s="29" t="n">
        <f aca="false">ROUND('기본-타자'!AC41-'기본-타자'!AA41,3)</f>
        <v>0.104</v>
      </c>
      <c r="T41" s="48" t="n">
        <f aca="false">'기본-타자'!AK41</f>
        <v>0</v>
      </c>
      <c r="U41" s="47" t="n">
        <f aca="false">'기본-타자'!AL41</f>
        <v>0</v>
      </c>
      <c r="V41" s="48" t="n">
        <f aca="false">'기본-타자'!AN41</f>
        <v>0</v>
      </c>
      <c r="W41" s="48" t="n">
        <f aca="false">'기본-타자'!AM41</f>
        <v>0</v>
      </c>
      <c r="X41" s="24" t="n">
        <f aca="false">'기본-타자'!AI41</f>
        <v>0</v>
      </c>
      <c r="Y41" s="24" t="n">
        <f aca="false">'기본-타자'!AJ41</f>
        <v>0</v>
      </c>
    </row>
    <row r="42" customFormat="false" ht="26.25" hidden="false" customHeight="true" outlineLevel="0" collapsed="false">
      <c r="A42" s="24" t="n">
        <f aca="false">'기본-타자'!A42</f>
        <v>41</v>
      </c>
      <c r="B42" s="24" t="str">
        <f aca="false">'기본-타자'!B42</f>
        <v>김형준</v>
      </c>
      <c r="C42" s="24" t="str">
        <f aca="false">'기본-타자'!C42</f>
        <v>C</v>
      </c>
      <c r="D42" s="24" t="str">
        <f aca="false">'기본-타자'!D42</f>
        <v>NC</v>
      </c>
      <c r="E42" s="44" t="n">
        <f aca="false">'기본-타자'!E42</f>
        <v>2026</v>
      </c>
      <c r="F42" s="45" t="n">
        <f aca="false">ROUND((('기본-타자'!H42)+('기본-타자'!AG42*'기본-타자'!K42/600)+(20*'기본-타자'!K42/600))/'연도별 상수'!$U$46,2)</f>
        <v>0.97</v>
      </c>
      <c r="G42" s="9" t="n">
        <f aca="false">'기본-타자'!K42</f>
        <v>229</v>
      </c>
      <c r="H42" s="24" t="n">
        <f aca="false">'기본-타자'!O42+'기본-타자'!P42+'기본-타자'!Q42</f>
        <v>15</v>
      </c>
      <c r="I42" s="46" t="n">
        <f aca="false">ROUND('기본-타자'!AE42,3)</f>
        <v>0.34</v>
      </c>
      <c r="J42" s="47" t="n">
        <f aca="false">ROUND(((I42-'리그 타자'!$B$46)/'연도별 상수'!$T$46+'연도별 상수'!$W$46)*G42,1)</f>
        <v>28.5</v>
      </c>
      <c r="K42" s="27" t="n">
        <f aca="false">'기본-타자'!G42</f>
        <v>99.2</v>
      </c>
      <c r="L42" s="47" t="n">
        <f aca="false">ROUND(100*('기본-타자'!AB42/'리그 타자'!$R$46+'기본-타자'!AC42/'리그 타자'!$S$46-1)/'기본-타자'!AH42,1)</f>
        <v>101.2</v>
      </c>
      <c r="M42" s="24" t="n">
        <f aca="false">ROUND('기본-타자'!X42/G42*100,1)</f>
        <v>31.4</v>
      </c>
      <c r="N42" s="24" t="n">
        <f aca="false">ROUND('기본-타자'!U42/G42*100,1)</f>
        <v>8.7</v>
      </c>
      <c r="O42" s="9" t="n">
        <f aca="false">ROUND('기본-타자'!U42/'기본-타자'!X42,1)</f>
        <v>0.3</v>
      </c>
      <c r="P42" s="9" t="n">
        <f aca="false">ROUND('기본-타자'!Q42/G42*100,1)</f>
        <v>4.4</v>
      </c>
      <c r="Q42" s="9" t="n">
        <f aca="false">ROUND(('기본-타자'!N42-'기본-타자'!Q42)/('기본-타자'!L42-'기본-타자'!X42-'기본-타자'!Q42+'기본-타자'!Z42),3)</f>
        <v>0.325</v>
      </c>
      <c r="R42" s="29" t="n">
        <f aca="false">ROUND('기본-타자'!AB42-'기본-타자'!AA42,3)</f>
        <v>0.077</v>
      </c>
      <c r="S42" s="29" t="n">
        <f aca="false">ROUND('기본-타자'!AC42-'기본-타자'!AA42,3)</f>
        <v>0.181</v>
      </c>
      <c r="T42" s="48" t="n">
        <f aca="false">'기본-타자'!AK42</f>
        <v>0</v>
      </c>
      <c r="U42" s="47" t="n">
        <f aca="false">'기본-타자'!AL42</f>
        <v>0</v>
      </c>
      <c r="V42" s="48" t="n">
        <f aca="false">'기본-타자'!AN42</f>
        <v>0</v>
      </c>
      <c r="W42" s="48" t="n">
        <f aca="false">'기본-타자'!AM42</f>
        <v>0</v>
      </c>
      <c r="X42" s="24" t="n">
        <f aca="false">'기본-타자'!AI42</f>
        <v>0</v>
      </c>
      <c r="Y42" s="24" t="n">
        <f aca="false">'기본-타자'!AJ42</f>
        <v>0</v>
      </c>
    </row>
    <row r="43" customFormat="false" ht="26.25" hidden="false" customHeight="true" outlineLevel="0" collapsed="false">
      <c r="A43" s="24" t="n">
        <f aca="false">'기본-타자'!A43</f>
        <v>42</v>
      </c>
      <c r="B43" s="24" t="str">
        <f aca="false">'기본-타자'!B43</f>
        <v>에레디아</v>
      </c>
      <c r="C43" s="24" t="str">
        <f aca="false">'기본-타자'!C43</f>
        <v>LF</v>
      </c>
      <c r="D43" s="24" t="str">
        <f aca="false">'기본-타자'!D43</f>
        <v>SSG</v>
      </c>
      <c r="E43" s="44" t="n">
        <f aca="false">'기본-타자'!E43</f>
        <v>2026</v>
      </c>
      <c r="F43" s="45" t="n">
        <f aca="false">ROUND((('기본-타자'!H43)+('기본-타자'!AG43*'기본-타자'!K43/600)+(20*'기본-타자'!K43/600))/'연도별 상수'!$U$46,2)</f>
        <v>1.15</v>
      </c>
      <c r="G43" s="9" t="n">
        <f aca="false">'기본-타자'!K43</f>
        <v>366</v>
      </c>
      <c r="H43" s="24" t="n">
        <f aca="false">'기본-타자'!O43+'기본-타자'!P43+'기본-타자'!Q43</f>
        <v>30</v>
      </c>
      <c r="I43" s="46" t="n">
        <f aca="false">ROUND('기본-타자'!AE43,3)</f>
        <v>0.358</v>
      </c>
      <c r="J43" s="47" t="n">
        <f aca="false">ROUND(((I43-'리그 타자'!$B$46)/'연도별 상수'!$T$46+'연도별 상수'!$W$46)*G43,1)</f>
        <v>50.9</v>
      </c>
      <c r="K43" s="27" t="n">
        <f aca="false">'기본-타자'!G43</f>
        <v>112.9</v>
      </c>
      <c r="L43" s="47" t="n">
        <f aca="false">ROUND(100*('기본-타자'!AB43/'리그 타자'!$R$46+'기본-타자'!AC43/'리그 타자'!$S$46-1)/'기본-타자'!AH43,1)</f>
        <v>117</v>
      </c>
      <c r="M43" s="24" t="n">
        <f aca="false">ROUND('기본-타자'!X43/G43*100,1)</f>
        <v>15.8</v>
      </c>
      <c r="N43" s="24" t="n">
        <f aca="false">ROUND('기본-타자'!U43/G43*100,1)</f>
        <v>6</v>
      </c>
      <c r="O43" s="9" t="n">
        <f aca="false">ROUND('기본-타자'!U43/'기본-타자'!X43,1)</f>
        <v>0.4</v>
      </c>
      <c r="P43" s="9" t="n">
        <f aca="false">ROUND('기본-타자'!Q43/G43*100,1)</f>
        <v>4.1</v>
      </c>
      <c r="Q43" s="9" t="n">
        <f aca="false">ROUND(('기본-타자'!N43-'기본-타자'!Q43)/('기본-타자'!L43-'기본-타자'!X43-'기본-타자'!Q43+'기본-타자'!Z43),3)</f>
        <v>0.299</v>
      </c>
      <c r="R43" s="29" t="n">
        <f aca="false">ROUND('기본-타자'!AB43-'기본-타자'!AA43,3)</f>
        <v>0.054</v>
      </c>
      <c r="S43" s="29" t="n">
        <f aca="false">ROUND('기본-타자'!AC43-'기본-타자'!AA43,3)</f>
        <v>0.18</v>
      </c>
      <c r="T43" s="48" t="n">
        <f aca="false">'기본-타자'!AK43</f>
        <v>0</v>
      </c>
      <c r="U43" s="47" t="n">
        <f aca="false">'기본-타자'!AL43</f>
        <v>0</v>
      </c>
      <c r="V43" s="48" t="n">
        <f aca="false">'기본-타자'!AN43</f>
        <v>0</v>
      </c>
      <c r="W43" s="48" t="n">
        <f aca="false">'기본-타자'!AM43</f>
        <v>0</v>
      </c>
      <c r="X43" s="24" t="n">
        <f aca="false">'기본-타자'!AI43</f>
        <v>0</v>
      </c>
      <c r="Y43" s="24" t="n">
        <f aca="false">'기본-타자'!AJ43</f>
        <v>0</v>
      </c>
    </row>
    <row r="44" customFormat="false" ht="26.25" hidden="false" customHeight="true" outlineLevel="0" collapsed="false">
      <c r="A44" s="24" t="n">
        <f aca="false">'기본-타자'!A44</f>
        <v>43</v>
      </c>
      <c r="B44" s="24" t="str">
        <f aca="false">'기본-타자'!B44</f>
        <v>서건창</v>
      </c>
      <c r="C44" s="24" t="str">
        <f aca="false">'기본-타자'!C44</f>
        <v>2B</v>
      </c>
      <c r="D44" s="24" t="str">
        <f aca="false">'기본-타자'!D44</f>
        <v>KIW</v>
      </c>
      <c r="E44" s="44" t="n">
        <f aca="false">'기본-타자'!E44</f>
        <v>2026</v>
      </c>
      <c r="F44" s="45" t="n">
        <f aca="false">ROUND((('기본-타자'!H44)+('기본-타자'!AG44*'기본-타자'!K44/600)+(20*'기본-타자'!K44/600))/'연도별 상수'!$U$46,2)</f>
        <v>1.17</v>
      </c>
      <c r="G44" s="9" t="n">
        <f aca="false">'기본-타자'!K44</f>
        <v>239</v>
      </c>
      <c r="H44" s="24" t="n">
        <f aca="false">'기본-타자'!O44+'기본-타자'!P44+'기본-타자'!Q44</f>
        <v>11</v>
      </c>
      <c r="I44" s="46" t="n">
        <f aca="false">ROUND('기본-타자'!AE44,3)</f>
        <v>0.36</v>
      </c>
      <c r="J44" s="47" t="n">
        <f aca="false">ROUND(((I44-'리그 타자'!$B$46)/'연도별 상수'!$T$46+'연도별 상수'!$W$46)*G44,1)</f>
        <v>33.6</v>
      </c>
      <c r="K44" s="27" t="n">
        <f aca="false">'기본-타자'!G44</f>
        <v>115.3</v>
      </c>
      <c r="L44" s="47" t="n">
        <f aca="false">ROUND(100*('기본-타자'!AB44/'리그 타자'!$R$46+'기본-타자'!AC44/'리그 타자'!$S$46-1)/'기본-타자'!AH44,1)</f>
        <v>111.9</v>
      </c>
      <c r="M44" s="24" t="n">
        <f aca="false">ROUND('기본-타자'!X44/G44*100,1)</f>
        <v>9.6</v>
      </c>
      <c r="N44" s="24" t="n">
        <f aca="false">ROUND('기본-타자'!U44/G44*100,1)</f>
        <v>10.9</v>
      </c>
      <c r="O44" s="9" t="n">
        <f aca="false">ROUND('기본-타자'!U44/'기본-타자'!X44,1)</f>
        <v>1.1</v>
      </c>
      <c r="P44" s="9" t="n">
        <f aca="false">ROUND('기본-타자'!Q44/G44*100,1)</f>
        <v>0.4</v>
      </c>
      <c r="Q44" s="9" t="n">
        <f aca="false">ROUND(('기본-타자'!N44-'기본-타자'!Q44)/('기본-타자'!L44-'기본-타자'!X44-'기본-타자'!Q44+'기본-타자'!Z44),3)</f>
        <v>0.326</v>
      </c>
      <c r="R44" s="29" t="n">
        <f aca="false">ROUND('기본-타자'!AB44-'기본-타자'!AA44,3)</f>
        <v>0.097</v>
      </c>
      <c r="S44" s="29" t="n">
        <f aca="false">ROUND('기본-타자'!AC44-'기본-타자'!AA44,3)</f>
        <v>0.079</v>
      </c>
      <c r="T44" s="48" t="n">
        <f aca="false">'기본-타자'!AK44</f>
        <v>0</v>
      </c>
      <c r="U44" s="47" t="n">
        <f aca="false">'기본-타자'!AL44</f>
        <v>0</v>
      </c>
      <c r="V44" s="48" t="n">
        <f aca="false">'기본-타자'!AN44</f>
        <v>0</v>
      </c>
      <c r="W44" s="48" t="n">
        <f aca="false">'기본-타자'!AM44</f>
        <v>0</v>
      </c>
      <c r="X44" s="24" t="n">
        <f aca="false">'기본-타자'!AI44</f>
        <v>0</v>
      </c>
      <c r="Y44" s="24" t="n">
        <f aca="false">'기본-타자'!AJ44</f>
        <v>0</v>
      </c>
    </row>
    <row r="45" customFormat="false" ht="26.25" hidden="false" customHeight="true" outlineLevel="0" collapsed="false">
      <c r="A45" s="24" t="n">
        <f aca="false">'기본-타자'!A45</f>
        <v>44</v>
      </c>
      <c r="B45" s="24" t="str">
        <f aca="false">'기본-타자'!B45</f>
        <v>김성윤</v>
      </c>
      <c r="C45" s="24" t="str">
        <f aca="false">'기본-타자'!C45</f>
        <v>RF</v>
      </c>
      <c r="D45" s="24" t="str">
        <f aca="false">'기본-타자'!D45</f>
        <v>SAM</v>
      </c>
      <c r="E45" s="44" t="n">
        <f aca="false">'기본-타자'!E45</f>
        <v>2026</v>
      </c>
      <c r="F45" s="45" t="n">
        <f aca="false">ROUND((('기본-타자'!H45)+('기본-타자'!AG45*'기본-타자'!K45/600)+(20*'기본-타자'!K45/600))/'연도별 상수'!$U$46,2)</f>
        <v>0.94</v>
      </c>
      <c r="G45" s="9" t="n">
        <f aca="false">'기본-타자'!K45</f>
        <v>261</v>
      </c>
      <c r="H45" s="24" t="n">
        <f aca="false">'기본-타자'!O45+'기본-타자'!P45+'기본-타자'!Q45</f>
        <v>15</v>
      </c>
      <c r="I45" s="46" t="n">
        <f aca="false">ROUND('기본-타자'!AE45,3)</f>
        <v>0.354</v>
      </c>
      <c r="J45" s="47" t="n">
        <f aca="false">ROUND(((I45-'리그 타자'!$B$46)/'연도별 상수'!$T$46+'연도별 상수'!$W$46)*G45,1)</f>
        <v>35.4</v>
      </c>
      <c r="K45" s="27" t="n">
        <f aca="false">'기본-타자'!G45</f>
        <v>99.2</v>
      </c>
      <c r="L45" s="47" t="n">
        <f aca="false">ROUND(100*('기본-타자'!AB45/'리그 타자'!$R$46+'기본-타자'!AC45/'리그 타자'!$S$46-1)/'기본-타자'!AH45,1)</f>
        <v>98</v>
      </c>
      <c r="M45" s="24" t="n">
        <f aca="false">ROUND('기본-타자'!X45/G45*100,1)</f>
        <v>10.7</v>
      </c>
      <c r="N45" s="24" t="n">
        <f aca="false">ROUND('기본-타자'!U45/G45*100,1)</f>
        <v>9.2</v>
      </c>
      <c r="O45" s="9" t="n">
        <f aca="false">ROUND('기본-타자'!U45/'기본-타자'!X45,1)</f>
        <v>0.9</v>
      </c>
      <c r="P45" s="9" t="n">
        <f aca="false">ROUND('기본-타자'!Q45/G45*100,1)</f>
        <v>0.8</v>
      </c>
      <c r="Q45" s="9" t="n">
        <f aca="false">ROUND(('기본-타자'!N45-'기본-타자'!Q45)/('기본-타자'!L45-'기본-타자'!X45-'기본-타자'!Q45+'기본-타자'!Z45),3)</f>
        <v>0.333</v>
      </c>
      <c r="R45" s="29" t="n">
        <f aca="false">ROUND('기본-타자'!AB45-'기본-타자'!AA45,3)</f>
        <v>0.069</v>
      </c>
      <c r="S45" s="29" t="n">
        <f aca="false">ROUND('기본-타자'!AC45-'기본-타자'!AA45,3)</f>
        <v>0.093</v>
      </c>
      <c r="T45" s="48" t="n">
        <f aca="false">'기본-타자'!AK45</f>
        <v>0</v>
      </c>
      <c r="U45" s="47" t="n">
        <f aca="false">'기본-타자'!AL45</f>
        <v>0</v>
      </c>
      <c r="V45" s="48" t="n">
        <f aca="false">'기본-타자'!AN45</f>
        <v>0</v>
      </c>
      <c r="W45" s="48" t="n">
        <f aca="false">'기본-타자'!AM45</f>
        <v>0</v>
      </c>
      <c r="X45" s="24" t="n">
        <f aca="false">'기본-타자'!AI45</f>
        <v>0</v>
      </c>
      <c r="Y45" s="24" t="n">
        <f aca="false">'기본-타자'!AJ45</f>
        <v>0</v>
      </c>
    </row>
    <row r="46" customFormat="false" ht="26.25" hidden="false" customHeight="true" outlineLevel="0" collapsed="false">
      <c r="A46" s="24" t="n">
        <f aca="false">'기본-타자'!A46</f>
        <v>45</v>
      </c>
      <c r="B46" s="24" t="str">
        <f aca="false">'기본-타자'!B46</f>
        <v>문현빈</v>
      </c>
      <c r="C46" s="24" t="str">
        <f aca="false">'기본-타자'!C46</f>
        <v>LF</v>
      </c>
      <c r="D46" s="24" t="str">
        <f aca="false">'기본-타자'!D46</f>
        <v>HAN</v>
      </c>
      <c r="E46" s="44" t="n">
        <f aca="false">'기본-타자'!E46</f>
        <v>2026</v>
      </c>
      <c r="F46" s="45" t="n">
        <f aca="false">ROUND((('기본-타자'!H46)+('기본-타자'!AG46*'기본-타자'!K46/600)+(20*'기본-타자'!K46/600))/'연도별 상수'!$U$46,2)</f>
        <v>1.83</v>
      </c>
      <c r="G46" s="9" t="n">
        <f aca="false">'기본-타자'!K46</f>
        <v>367</v>
      </c>
      <c r="H46" s="24" t="n">
        <f aca="false">'기본-타자'!O46+'기본-타자'!P46+'기본-타자'!Q46</f>
        <v>35</v>
      </c>
      <c r="I46" s="46" t="n">
        <f aca="false">ROUND('기본-타자'!AE46,3)</f>
        <v>0.38</v>
      </c>
      <c r="J46" s="47" t="n">
        <f aca="false">ROUND(((I46-'리그 타자'!$B$46)/'연도별 상수'!$T$46+'연도별 상수'!$W$46)*G46,1)</f>
        <v>57.5</v>
      </c>
      <c r="K46" s="27" t="n">
        <f aca="false">'기본-타자'!G46</f>
        <v>103.9</v>
      </c>
      <c r="L46" s="47" t="n">
        <f aca="false">ROUND(100*('기본-타자'!AB46/'리그 타자'!$R$46+'기본-타자'!AC46/'리그 타자'!$S$46-1)/'기본-타자'!AH46,1)</f>
        <v>104.2</v>
      </c>
      <c r="M46" s="24" t="n">
        <f aca="false">ROUND('기본-타자'!X46/G46*100,1)</f>
        <v>12.3</v>
      </c>
      <c r="N46" s="24" t="n">
        <f aca="false">ROUND('기본-타자'!U46/G46*100,1)</f>
        <v>10.9</v>
      </c>
      <c r="O46" s="9" t="n">
        <f aca="false">ROUND('기본-타자'!U46/'기본-타자'!X46,1)</f>
        <v>0.9</v>
      </c>
      <c r="P46" s="9" t="n">
        <f aca="false">ROUND('기본-타자'!Q46/G46*100,1)</f>
        <v>2.5</v>
      </c>
      <c r="Q46" s="9" t="n">
        <f aca="false">ROUND(('기본-타자'!N46-'기본-타자'!Q46)/('기본-타자'!L46-'기본-타자'!X46-'기본-타자'!Q46+'기본-타자'!Z46),3)</f>
        <v>0.31</v>
      </c>
      <c r="R46" s="29" t="n">
        <f aca="false">ROUND('기본-타자'!AB46-'기본-타자'!AA46,3)</f>
        <v>0.084</v>
      </c>
      <c r="S46" s="29" t="n">
        <f aca="false">ROUND('기본-타자'!AC46-'기본-타자'!AA46,3)</f>
        <v>0.179</v>
      </c>
      <c r="T46" s="48" t="n">
        <f aca="false">'기본-타자'!AK46</f>
        <v>0</v>
      </c>
      <c r="U46" s="47" t="n">
        <f aca="false">'기본-타자'!AL46</f>
        <v>0</v>
      </c>
      <c r="V46" s="48" t="n">
        <f aca="false">'기본-타자'!AN46</f>
        <v>0</v>
      </c>
      <c r="W46" s="48" t="n">
        <f aca="false">'기본-타자'!AM46</f>
        <v>0</v>
      </c>
      <c r="X46" s="24" t="n">
        <f aca="false">'기본-타자'!AI46</f>
        <v>0</v>
      </c>
      <c r="Y46" s="24" t="n">
        <f aca="false">'기본-타자'!AJ46</f>
        <v>0</v>
      </c>
    </row>
    <row r="47" customFormat="false" ht="26.25" hidden="false" customHeight="true" outlineLevel="0" collapsed="false">
      <c r="A47" s="24" t="n">
        <f aca="false">'기본-타자'!A47</f>
        <v>46</v>
      </c>
      <c r="B47" s="24" t="str">
        <f aca="false">'기본-타자'!B47</f>
        <v>홍창기</v>
      </c>
      <c r="C47" s="24" t="str">
        <f aca="false">'기본-타자'!C47</f>
        <v>RF</v>
      </c>
      <c r="D47" s="24" t="str">
        <f aca="false">'기본-타자'!D47</f>
        <v>LG</v>
      </c>
      <c r="E47" s="44" t="n">
        <f aca="false">'기본-타자'!E47</f>
        <v>2026</v>
      </c>
      <c r="F47" s="45" t="n">
        <f aca="false">ROUND((('기본-타자'!H47)+('기본-타자'!AG47*'기본-타자'!K47/600)+(20*'기본-타자'!K47/600))/'연도별 상수'!$U$46,2)</f>
        <v>0.9</v>
      </c>
      <c r="G47" s="9" t="n">
        <f aca="false">'기본-타자'!K47</f>
        <v>329</v>
      </c>
      <c r="H47" s="24" t="n">
        <f aca="false">'기본-타자'!O47+'기본-타자'!P47+'기본-타자'!Q47</f>
        <v>13</v>
      </c>
      <c r="I47" s="46" t="n">
        <f aca="false">ROUND('기본-타자'!AE47,3)</f>
        <v>0.35</v>
      </c>
      <c r="J47" s="47" t="n">
        <f aca="false">ROUND(((I47-'리그 타자'!$B$46)/'연도별 상수'!$T$46+'연도별 상수'!$W$46)*G47,1)</f>
        <v>43.6</v>
      </c>
      <c r="K47" s="27" t="n">
        <f aca="false">'기본-타자'!G47</f>
        <v>115.1</v>
      </c>
      <c r="L47" s="47" t="n">
        <f aca="false">ROUND(100*('기본-타자'!AB47/'리그 타자'!$R$46+'기본-타자'!AC47/'리그 타자'!$S$46-1)/'기본-타자'!AH47,1)</f>
        <v>105.8</v>
      </c>
      <c r="M47" s="24" t="n">
        <f aca="false">ROUND('기본-타자'!X47/G47*100,1)</f>
        <v>22.5</v>
      </c>
      <c r="N47" s="24" t="n">
        <f aca="false">ROUND('기본-타자'!U47/G47*100,1)</f>
        <v>15.8</v>
      </c>
      <c r="O47" s="9" t="n">
        <f aca="false">ROUND('기본-타자'!U47/'기본-타자'!X47,1)</f>
        <v>0.7</v>
      </c>
      <c r="P47" s="9" t="n">
        <f aca="false">ROUND('기본-타자'!Q47/G47*100,1)</f>
        <v>0</v>
      </c>
      <c r="Q47" s="9" t="n">
        <f aca="false">ROUND(('기본-타자'!N47-'기본-타자'!Q47)/('기본-타자'!L47-'기본-타자'!X47-'기본-타자'!Q47+'기본-타자'!Z47),3)</f>
        <v>0.356</v>
      </c>
      <c r="R47" s="29" t="n">
        <f aca="false">ROUND('기본-타자'!AB47-'기본-타자'!AA47,3)</f>
        <v>0.139</v>
      </c>
      <c r="S47" s="29" t="n">
        <f aca="false">ROUND('기본-타자'!AC47-'기본-타자'!AA47,3)</f>
        <v>0.057</v>
      </c>
      <c r="T47" s="48" t="n">
        <f aca="false">'기본-타자'!AK47</f>
        <v>0</v>
      </c>
      <c r="U47" s="47" t="n">
        <f aca="false">'기본-타자'!AL47</f>
        <v>0</v>
      </c>
      <c r="V47" s="48" t="n">
        <f aca="false">'기본-타자'!AN47</f>
        <v>0</v>
      </c>
      <c r="W47" s="48" t="n">
        <f aca="false">'기본-타자'!AM47</f>
        <v>0</v>
      </c>
      <c r="X47" s="24" t="n">
        <f aca="false">'기본-타자'!AI47</f>
        <v>0</v>
      </c>
      <c r="Y47" s="24" t="n">
        <f aca="false">'기본-타자'!AJ47</f>
        <v>0</v>
      </c>
    </row>
    <row r="48" customFormat="false" ht="26.25" hidden="false" customHeight="true" outlineLevel="0" collapsed="false">
      <c r="A48" s="24" t="n">
        <f aca="false">'기본-타자'!A48</f>
        <v>47</v>
      </c>
      <c r="B48" s="24" t="str">
        <f aca="false">'기본-타자'!B48</f>
        <v>강민호</v>
      </c>
      <c r="C48" s="24" t="str">
        <f aca="false">'기본-타자'!C48</f>
        <v>C</v>
      </c>
      <c r="D48" s="24" t="str">
        <f aca="false">'기본-타자'!D48</f>
        <v>SAM</v>
      </c>
      <c r="E48" s="44" t="n">
        <f aca="false">'기본-타자'!E48</f>
        <v>2026</v>
      </c>
      <c r="F48" s="45" t="n">
        <f aca="false">ROUND((('기본-타자'!H48)+('기본-타자'!AG48*'기본-타자'!K48/600)+(20*'기본-타자'!K48/600))/'연도별 상수'!$U$46,2)</f>
        <v>1</v>
      </c>
      <c r="G48" s="9" t="n">
        <f aca="false">'기본-타자'!K48</f>
        <v>198</v>
      </c>
      <c r="H48" s="24" t="n">
        <f aca="false">'기본-타자'!O48+'기본-타자'!P48+'기본-타자'!Q48</f>
        <v>15</v>
      </c>
      <c r="I48" s="46" t="n">
        <f aca="false">ROUND('기본-타자'!AE48,3)</f>
        <v>0.355</v>
      </c>
      <c r="J48" s="47" t="n">
        <f aca="false">ROUND(((I48-'리그 타자'!$B$46)/'연도별 상수'!$T$46+'연도별 상수'!$W$46)*G48,1)</f>
        <v>27</v>
      </c>
      <c r="K48" s="27" t="n">
        <f aca="false">'기본-타자'!G48</f>
        <v>99.9</v>
      </c>
      <c r="L48" s="47" t="n">
        <f aca="false">ROUND(100*('기본-타자'!AB48/'리그 타자'!$R$46+'기본-타자'!AC48/'리그 타자'!$S$46-1)/'기본-타자'!AH48,1)</f>
        <v>98.1</v>
      </c>
      <c r="M48" s="24" t="n">
        <f aca="false">ROUND('기본-타자'!X48/G48*100,1)</f>
        <v>22.2</v>
      </c>
      <c r="N48" s="24" t="n">
        <f aca="false">ROUND('기본-타자'!U48/G48*100,1)</f>
        <v>11.6</v>
      </c>
      <c r="O48" s="9" t="n">
        <f aca="false">ROUND('기본-타자'!U48/'기본-타자'!X48,1)</f>
        <v>0.5</v>
      </c>
      <c r="P48" s="9" t="n">
        <f aca="false">ROUND('기본-타자'!Q48/G48*100,1)</f>
        <v>3</v>
      </c>
      <c r="Q48" s="9" t="n">
        <f aca="false">ROUND(('기본-타자'!N48-'기본-타자'!Q48)/('기본-타자'!L48-'기본-타자'!X48-'기본-타자'!Q48+'기본-타자'!Z48),3)</f>
        <v>0.311</v>
      </c>
      <c r="R48" s="29" t="n">
        <f aca="false">ROUND('기본-타자'!AB48-'기본-타자'!AA48,3)</f>
        <v>0.098</v>
      </c>
      <c r="S48" s="29" t="n">
        <f aca="false">ROUND('기본-타자'!AC48-'기본-타자'!AA48,3)</f>
        <v>0.157</v>
      </c>
      <c r="T48" s="48" t="n">
        <f aca="false">'기본-타자'!AK48</f>
        <v>0</v>
      </c>
      <c r="U48" s="47" t="n">
        <f aca="false">'기본-타자'!AL48</f>
        <v>0</v>
      </c>
      <c r="V48" s="48" t="n">
        <f aca="false">'기본-타자'!AN48</f>
        <v>0</v>
      </c>
      <c r="W48" s="48" t="n">
        <f aca="false">'기본-타자'!AM48</f>
        <v>0</v>
      </c>
      <c r="X48" s="24" t="n">
        <f aca="false">'기본-타자'!AI48</f>
        <v>0</v>
      </c>
      <c r="Y48" s="24" t="n">
        <f aca="false">'기본-타자'!AJ48</f>
        <v>0</v>
      </c>
    </row>
    <row r="49" customFormat="false" ht="26.25" hidden="false" customHeight="true" outlineLevel="0" collapsed="false">
      <c r="A49" s="24" t="n">
        <f aca="false">'기본-타자'!A49</f>
        <v>48</v>
      </c>
      <c r="B49" s="24" t="str">
        <f aca="false">'기본-타자'!B49</f>
        <v>신민재</v>
      </c>
      <c r="C49" s="24" t="str">
        <f aca="false">'기본-타자'!C49</f>
        <v>2B</v>
      </c>
      <c r="D49" s="24" t="str">
        <f aca="false">'기본-타자'!D49</f>
        <v>LG</v>
      </c>
      <c r="E49" s="44" t="n">
        <f aca="false">'기본-타자'!E49</f>
        <v>2026</v>
      </c>
      <c r="F49" s="45" t="n">
        <f aca="false">ROUND((('기본-타자'!H49)+('기본-타자'!AG49*'기본-타자'!K49/600)+(20*'기본-타자'!K49/600))/'연도별 상수'!$U$46,2)</f>
        <v>-0.17</v>
      </c>
      <c r="G49" s="9" t="n">
        <f aca="false">'기본-타자'!K49</f>
        <v>282</v>
      </c>
      <c r="H49" s="24" t="n">
        <f aca="false">'기본-타자'!O49+'기본-타자'!P49+'기본-타자'!Q49</f>
        <v>3</v>
      </c>
      <c r="I49" s="46" t="n">
        <f aca="false">ROUND('기본-타자'!AE49,3)</f>
        <v>0.293</v>
      </c>
      <c r="J49" s="47" t="n">
        <f aca="false">ROUND(((I49-'리그 타자'!$B$46)/'연도별 상수'!$T$46+'연도별 상수'!$W$46)*G49,1)</f>
        <v>24.4</v>
      </c>
      <c r="K49" s="27" t="n">
        <f aca="false">'기본-타자'!G49</f>
        <v>79.6</v>
      </c>
      <c r="L49" s="47" t="n">
        <f aca="false">ROUND(100*('기본-타자'!AB49/'리그 타자'!$R$46+'기본-타자'!AC49/'리그 타자'!$S$46-1)/'기본-타자'!AH49,1)</f>
        <v>69.5</v>
      </c>
      <c r="M49" s="24" t="n">
        <f aca="false">ROUND('기본-타자'!X49/G49*100,1)</f>
        <v>13.1</v>
      </c>
      <c r="N49" s="24" t="n">
        <f aca="false">ROUND('기본-타자'!U49/G49*100,1)</f>
        <v>11</v>
      </c>
      <c r="O49" s="9" t="n">
        <f aca="false">ROUND('기본-타자'!U49/'기본-타자'!X49,1)</f>
        <v>0.8</v>
      </c>
      <c r="P49" s="9" t="n">
        <f aca="false">ROUND('기본-타자'!Q49/G49*100,1)</f>
        <v>0</v>
      </c>
      <c r="Q49" s="9" t="n">
        <f aca="false">ROUND(('기본-타자'!N49-'기본-타자'!Q49)/('기본-타자'!L49-'기본-타자'!X49-'기본-타자'!Q49+'기본-타자'!Z49),3)</f>
        <v>0.29</v>
      </c>
      <c r="R49" s="29" t="n">
        <f aca="false">ROUND('기본-타자'!AB49-'기본-타자'!AA49,3)</f>
        <v>0.088</v>
      </c>
      <c r="S49" s="29" t="n">
        <f aca="false">ROUND('기본-타자'!AC49-'기본-타자'!AA49,3)</f>
        <v>0.012</v>
      </c>
      <c r="T49" s="48" t="n">
        <f aca="false">'기본-타자'!AK49</f>
        <v>0</v>
      </c>
      <c r="U49" s="47" t="n">
        <f aca="false">'기본-타자'!AL49</f>
        <v>0</v>
      </c>
      <c r="V49" s="48" t="n">
        <f aca="false">'기본-타자'!AN49</f>
        <v>0</v>
      </c>
      <c r="W49" s="48" t="n">
        <f aca="false">'기본-타자'!AM49</f>
        <v>0</v>
      </c>
      <c r="X49" s="24" t="n">
        <f aca="false">'기본-타자'!AI49</f>
        <v>0</v>
      </c>
      <c r="Y49" s="24" t="n">
        <f aca="false">'기본-타자'!AJ49</f>
        <v>0</v>
      </c>
    </row>
    <row r="50" customFormat="false" ht="26.25" hidden="false" customHeight="true" outlineLevel="0" collapsed="false">
      <c r="A50" s="24" t="n">
        <f aca="false">'기본-타자'!A50</f>
        <v>49</v>
      </c>
      <c r="B50" s="24" t="str">
        <f aca="false">'기본-타자'!B50</f>
        <v>이우성</v>
      </c>
      <c r="C50" s="24" t="str">
        <f aca="false">'기본-타자'!C50</f>
        <v>LF</v>
      </c>
      <c r="D50" s="24" t="str">
        <f aca="false">'기본-타자'!D50</f>
        <v>NC</v>
      </c>
      <c r="E50" s="44" t="n">
        <f aca="false">'기본-타자'!E50</f>
        <v>2026</v>
      </c>
      <c r="F50" s="45" t="n">
        <f aca="false">ROUND((('기본-타자'!H50)+('기본-타자'!AG50*'기본-타자'!K50/600)+(20*'기본-타자'!K50/600))/'연도별 상수'!$U$46,2)</f>
        <v>1.48</v>
      </c>
      <c r="G50" s="9" t="n">
        <f aca="false">'기본-타자'!K50</f>
        <v>304</v>
      </c>
      <c r="H50" s="24" t="n">
        <f aca="false">'기본-타자'!O50+'기본-타자'!P50+'기본-타자'!Q50</f>
        <v>21</v>
      </c>
      <c r="I50" s="46" t="n">
        <f aca="false">ROUND('기본-타자'!AE50,3)</f>
        <v>0.375</v>
      </c>
      <c r="J50" s="47" t="n">
        <f aca="false">ROUND(((I50-'리그 타자'!$B$46)/'연도별 상수'!$T$46+'연도별 상수'!$W$46)*G50,1)</f>
        <v>46.4</v>
      </c>
      <c r="K50" s="27" t="n">
        <f aca="false">'기본-타자'!G50</f>
        <v>121</v>
      </c>
      <c r="L50" s="47" t="n">
        <f aca="false">ROUND(100*('기본-타자'!AB50/'리그 타자'!$R$46+'기본-타자'!AC50/'리그 타자'!$S$46-1)/'기본-타자'!AH50,1)</f>
        <v>121.7</v>
      </c>
      <c r="M50" s="24" t="n">
        <f aca="false">ROUND('기본-타자'!X50/G50*100,1)</f>
        <v>14.5</v>
      </c>
      <c r="N50" s="24" t="n">
        <f aca="false">ROUND('기본-타자'!U50/G50*100,1)</f>
        <v>5.9</v>
      </c>
      <c r="O50" s="9" t="n">
        <f aca="false">ROUND('기본-타자'!U50/'기본-타자'!X50,1)</f>
        <v>0.4</v>
      </c>
      <c r="P50" s="9" t="n">
        <f aca="false">ROUND('기본-타자'!Q50/G50*100,1)</f>
        <v>2</v>
      </c>
      <c r="Q50" s="9" t="n">
        <f aca="false">ROUND(('기본-타자'!N50-'기본-타자'!Q50)/('기본-타자'!L50-'기본-타자'!X50-'기본-타자'!Q50+'기본-타자'!Z50),3)</f>
        <v>0.376</v>
      </c>
      <c r="R50" s="29" t="n">
        <f aca="false">ROUND('기본-타자'!AB50-'기본-타자'!AA50,3)</f>
        <v>0.041</v>
      </c>
      <c r="S50" s="29" t="n">
        <f aca="false">ROUND('기본-타자'!AC50-'기본-타자'!AA50,3)</f>
        <v>0.117</v>
      </c>
      <c r="T50" s="48" t="n">
        <f aca="false">'기본-타자'!AK50</f>
        <v>0</v>
      </c>
      <c r="U50" s="47" t="n">
        <f aca="false">'기본-타자'!AL50</f>
        <v>0</v>
      </c>
      <c r="V50" s="48" t="n">
        <f aca="false">'기본-타자'!AN50</f>
        <v>0</v>
      </c>
      <c r="W50" s="48" t="n">
        <f aca="false">'기본-타자'!AM50</f>
        <v>0</v>
      </c>
      <c r="X50" s="24" t="n">
        <f aca="false">'기본-타자'!AI50</f>
        <v>0</v>
      </c>
      <c r="Y50" s="24" t="n">
        <f aca="false">'기본-타자'!AJ50</f>
        <v>0</v>
      </c>
    </row>
    <row r="51" customFormat="false" ht="26.25" hidden="false" customHeight="true" outlineLevel="0" collapsed="false">
      <c r="A51" s="24" t="n">
        <f aca="false">'기본-타자'!A51</f>
        <v>50</v>
      </c>
      <c r="B51" s="24" t="str">
        <f aca="false">'기본-타자'!B51</f>
        <v>안재석</v>
      </c>
      <c r="C51" s="24" t="str">
        <f aca="false">'기본-타자'!C51</f>
        <v>3B</v>
      </c>
      <c r="D51" s="24" t="str">
        <f aca="false">'기본-타자'!D51</f>
        <v>DOO</v>
      </c>
      <c r="E51" s="44" t="n">
        <f aca="false">'기본-타자'!E51</f>
        <v>2026</v>
      </c>
      <c r="F51" s="45" t="n">
        <f aca="false">ROUND((('기본-타자'!H51)+('기본-타자'!AG51*'기본-타자'!K51/600)+(20*'기본-타자'!K51/600))/'연도별 상수'!$U$46,2)</f>
        <v>0.43</v>
      </c>
      <c r="G51" s="9" t="n">
        <f aca="false">'기본-타자'!K51</f>
        <v>216</v>
      </c>
      <c r="H51" s="24" t="n">
        <f aca="false">'기본-타자'!O51+'기본-타자'!P51+'기본-타자'!Q51</f>
        <v>18</v>
      </c>
      <c r="I51" s="46" t="n">
        <f aca="false">ROUND('기본-타자'!AE51,3)</f>
        <v>0.328</v>
      </c>
      <c r="J51" s="47" t="n">
        <f aca="false">ROUND(((I51-'리그 타자'!$B$46)/'연도별 상수'!$T$46+'연도별 상수'!$W$46)*G51,1)</f>
        <v>24.8</v>
      </c>
      <c r="K51" s="27" t="n">
        <f aca="false">'기본-타자'!G51</f>
        <v>101.4</v>
      </c>
      <c r="L51" s="47" t="n">
        <f aca="false">ROUND(100*('기본-타자'!AB51/'리그 타자'!$R$46+'기본-타자'!AC51/'리그 타자'!$S$46-1)/'기본-타자'!AH51,1)</f>
        <v>103.5</v>
      </c>
      <c r="M51" s="24" t="n">
        <f aca="false">ROUND('기본-타자'!X51/G51*100,1)</f>
        <v>18.1</v>
      </c>
      <c r="N51" s="24" t="n">
        <f aca="false">ROUND('기본-타자'!U51/G51*100,1)</f>
        <v>7.4</v>
      </c>
      <c r="O51" s="9" t="n">
        <f aca="false">ROUND('기본-타자'!U51/'기본-타자'!X51,1)</f>
        <v>0.4</v>
      </c>
      <c r="P51" s="9" t="n">
        <f aca="false">ROUND('기본-타자'!Q51/G51*100,1)</f>
        <v>1.9</v>
      </c>
      <c r="Q51" s="9" t="n">
        <f aca="false">ROUND(('기본-타자'!N51-'기본-타자'!Q51)/('기본-타자'!L51-'기본-타자'!X51-'기본-타자'!Q51+'기본-타자'!Z51),3)</f>
        <v>0.299</v>
      </c>
      <c r="R51" s="29" t="n">
        <f aca="false">ROUND('기본-타자'!AB51-'기본-타자'!AA51,3)</f>
        <v>0.063</v>
      </c>
      <c r="S51" s="29" t="n">
        <f aca="false">ROUND('기본-타자'!AC51-'기본-타자'!AA51,3)</f>
        <v>0.144</v>
      </c>
      <c r="T51" s="48" t="n">
        <f aca="false">'기본-타자'!AK51</f>
        <v>0</v>
      </c>
      <c r="U51" s="47" t="n">
        <f aca="false">'기본-타자'!AL51</f>
        <v>0</v>
      </c>
      <c r="V51" s="48" t="n">
        <f aca="false">'기본-타자'!AN51</f>
        <v>0</v>
      </c>
      <c r="W51" s="48" t="n">
        <f aca="false">'기본-타자'!AM51</f>
        <v>0</v>
      </c>
      <c r="X51" s="24" t="n">
        <f aca="false">'기본-타자'!AI51</f>
        <v>0</v>
      </c>
      <c r="Y51" s="24" t="n">
        <f aca="false">'기본-타자'!AJ51</f>
        <v>0</v>
      </c>
    </row>
    <row r="52" customFormat="false" ht="26.25" hidden="false" customHeight="true" outlineLevel="0" collapsed="false">
      <c r="A52" s="24" t="n">
        <f aca="false">'기본-타자'!A52</f>
        <v>51</v>
      </c>
      <c r="B52" s="24" t="str">
        <f aca="false">'기본-타자'!B52</f>
        <v>김태연</v>
      </c>
      <c r="C52" s="24" t="str">
        <f aca="false">'기본-타자'!C52</f>
        <v>1B</v>
      </c>
      <c r="D52" s="24" t="str">
        <f aca="false">'기본-타자'!D52</f>
        <v>HAN</v>
      </c>
      <c r="E52" s="44" t="n">
        <f aca="false">'기본-타자'!E52</f>
        <v>2026</v>
      </c>
      <c r="F52" s="45" t="n">
        <f aca="false">ROUND((('기본-타자'!H52)+('기본-타자'!AG52*'기본-타자'!K52/600)+(20*'기본-타자'!K52/600))/'연도별 상수'!$U$46,2)</f>
        <v>0.97</v>
      </c>
      <c r="G52" s="9" t="n">
        <f aca="false">'기본-타자'!K52</f>
        <v>250</v>
      </c>
      <c r="H52" s="24" t="n">
        <f aca="false">'기본-타자'!O52+'기본-타자'!P52+'기본-타자'!Q52</f>
        <v>18</v>
      </c>
      <c r="I52" s="46" t="n">
        <f aca="false">ROUND('기본-타자'!AE52,3)</f>
        <v>0.375</v>
      </c>
      <c r="J52" s="47" t="n">
        <f aca="false">ROUND(((I52-'리그 타자'!$B$46)/'연도별 상수'!$T$46+'연도별 상수'!$W$46)*G52,1)</f>
        <v>38.2</v>
      </c>
      <c r="K52" s="27" t="n">
        <f aca="false">'기본-타자'!G52</f>
        <v>100.8</v>
      </c>
      <c r="L52" s="47" t="n">
        <f aca="false">ROUND(100*('기본-타자'!AB52/'리그 타자'!$R$46+'기본-타자'!AC52/'리그 타자'!$S$46-1)/'기본-타자'!AH52,1)</f>
        <v>100.1</v>
      </c>
      <c r="M52" s="24" t="n">
        <f aca="false">ROUND('기본-타자'!X52/G52*100,1)</f>
        <v>17.2</v>
      </c>
      <c r="N52" s="24" t="n">
        <f aca="false">ROUND('기본-타자'!U52/G52*100,1)</f>
        <v>8.4</v>
      </c>
      <c r="O52" s="9" t="n">
        <f aca="false">ROUND('기본-타자'!U52/'기본-타자'!X52,1)</f>
        <v>0.5</v>
      </c>
      <c r="P52" s="9" t="n">
        <f aca="false">ROUND('기본-타자'!Q52/G52*100,1)</f>
        <v>2</v>
      </c>
      <c r="Q52" s="9" t="n">
        <f aca="false">ROUND(('기본-타자'!N52-'기본-타자'!Q52)/('기본-타자'!L52-'기본-타자'!X52-'기본-타자'!Q52+'기본-타자'!Z52),3)</f>
        <v>0.356</v>
      </c>
      <c r="R52" s="29" t="n">
        <f aca="false">ROUND('기본-타자'!AB52-'기본-타자'!AA52,3)</f>
        <v>0.076</v>
      </c>
      <c r="S52" s="29" t="n">
        <f aca="false">ROUND('기본-타자'!AC52-'기본-타자'!AA52,3)</f>
        <v>0.143</v>
      </c>
      <c r="T52" s="48" t="n">
        <f aca="false">'기본-타자'!AK52</f>
        <v>0</v>
      </c>
      <c r="U52" s="47" t="n">
        <f aca="false">'기본-타자'!AL52</f>
        <v>0</v>
      </c>
      <c r="V52" s="48" t="n">
        <f aca="false">'기본-타자'!AN52</f>
        <v>0</v>
      </c>
      <c r="W52" s="48" t="n">
        <f aca="false">'기본-타자'!AM52</f>
        <v>0</v>
      </c>
      <c r="X52" s="24" t="n">
        <f aca="false">'기본-타자'!AI52</f>
        <v>0</v>
      </c>
      <c r="Y52" s="24" t="n">
        <f aca="false">'기본-타자'!AJ52</f>
        <v>0</v>
      </c>
    </row>
    <row r="53" customFormat="false" ht="26.25" hidden="false" customHeight="true" outlineLevel="0" collapsed="false">
      <c r="A53" s="24" t="n">
        <f aca="false">'기본-타자'!A53</f>
        <v>52</v>
      </c>
      <c r="B53" s="24" t="str">
        <f aca="false">'기본-타자'!B53</f>
        <v>김민석</v>
      </c>
      <c r="C53" s="24" t="str">
        <f aca="false">'기본-타자'!C53</f>
        <v>LF</v>
      </c>
      <c r="D53" s="24" t="str">
        <f aca="false">'기본-타자'!D53</f>
        <v>DOO</v>
      </c>
      <c r="E53" s="44" t="n">
        <f aca="false">'기본-타자'!E53</f>
        <v>2026</v>
      </c>
      <c r="F53" s="45" t="n">
        <f aca="false">ROUND((('기본-타자'!H53)+('기본-타자'!AG53*'기본-타자'!K53/600)+(20*'기본-타자'!K53/600))/'연도별 상수'!$U$46,2)</f>
        <v>1.45</v>
      </c>
      <c r="G53" s="9" t="n">
        <f aca="false">'기본-타자'!K53</f>
        <v>290</v>
      </c>
      <c r="H53" s="24" t="n">
        <f aca="false">'기본-타자'!O53+'기본-타자'!P53+'기본-타자'!Q53</f>
        <v>20</v>
      </c>
      <c r="I53" s="46" t="n">
        <f aca="false">ROUND('기본-타자'!AE53,3)</f>
        <v>0.373</v>
      </c>
      <c r="J53" s="47" t="n">
        <f aca="false">ROUND(((I53-'리그 타자'!$B$46)/'연도별 상수'!$T$46+'연도별 상수'!$W$46)*G53,1)</f>
        <v>43.8</v>
      </c>
      <c r="K53" s="27" t="n">
        <f aca="false">'기본-타자'!G53</f>
        <v>129.4</v>
      </c>
      <c r="L53" s="47" t="n">
        <f aca="false">ROUND(100*('기본-타자'!AB53/'리그 타자'!$R$46+'기본-타자'!AC53/'리그 타자'!$S$46-1)/'기본-타자'!AH53,1)</f>
        <v>131.7</v>
      </c>
      <c r="M53" s="24" t="n">
        <f aca="false">ROUND('기본-타자'!X53/G53*100,1)</f>
        <v>17.6</v>
      </c>
      <c r="N53" s="24" t="n">
        <f aca="false">ROUND('기본-타자'!U53/G53*100,1)</f>
        <v>10.7</v>
      </c>
      <c r="O53" s="9" t="n">
        <f aca="false">ROUND('기본-타자'!U53/'기본-타자'!X53,1)</f>
        <v>0.6</v>
      </c>
      <c r="P53" s="9" t="n">
        <f aca="false">ROUND('기본-타자'!Q53/G53*100,1)</f>
        <v>1.4</v>
      </c>
      <c r="Q53" s="9" t="n">
        <f aca="false">ROUND(('기본-타자'!N53-'기본-타자'!Q53)/('기본-타자'!L53-'기본-타자'!X53-'기본-타자'!Q53+'기본-타자'!Z53),3)</f>
        <v>0.368</v>
      </c>
      <c r="R53" s="29" t="n">
        <f aca="false">ROUND('기본-타자'!AB53-'기본-타자'!AA53,3)</f>
        <v>0.078</v>
      </c>
      <c r="S53" s="29" t="n">
        <f aca="false">ROUND('기본-타자'!AC53-'기본-타자'!AA53,3)</f>
        <v>0.118</v>
      </c>
      <c r="T53" s="48" t="n">
        <f aca="false">'기본-타자'!AK53</f>
        <v>0</v>
      </c>
      <c r="U53" s="47" t="n">
        <f aca="false">'기본-타자'!AL53</f>
        <v>0</v>
      </c>
      <c r="V53" s="48" t="n">
        <f aca="false">'기본-타자'!AN53</f>
        <v>0</v>
      </c>
      <c r="W53" s="48" t="n">
        <f aca="false">'기본-타자'!AM53</f>
        <v>0</v>
      </c>
      <c r="X53" s="24" t="n">
        <f aca="false">'기본-타자'!AI53</f>
        <v>0</v>
      </c>
      <c r="Y53" s="24" t="n">
        <f aca="false">'기본-타자'!AJ53</f>
        <v>0</v>
      </c>
    </row>
    <row r="54" customFormat="false" ht="26.25" hidden="false" customHeight="true" outlineLevel="0" collapsed="false">
      <c r="A54" s="24" t="n">
        <f aca="false">'기본-타자'!A54</f>
        <v>53</v>
      </c>
      <c r="B54" s="24" t="str">
        <f aca="false">'기본-타자'!B54</f>
        <v>데이비슨</v>
      </c>
      <c r="C54" s="24" t="str">
        <f aca="false">'기본-타자'!C54</f>
        <v>1B</v>
      </c>
      <c r="D54" s="24" t="str">
        <f aca="false">'기본-타자'!D54</f>
        <v>KIW</v>
      </c>
      <c r="E54" s="44" t="n">
        <f aca="false">'기본-타자'!E54</f>
        <v>2026</v>
      </c>
      <c r="F54" s="45" t="n">
        <f aca="false">ROUND((('기본-타자'!H54)+('기본-타자'!AG54*'기본-타자'!K54/600)+(20*'기본-타자'!K54/600))/'연도별 상수'!$U$46,2)</f>
        <v>1.15</v>
      </c>
      <c r="G54" s="9" t="n">
        <f aca="false">'기본-타자'!K54</f>
        <v>270</v>
      </c>
      <c r="H54" s="24" t="n">
        <f aca="false">'기본-타자'!O54+'기본-타자'!P54+'기본-타자'!Q54</f>
        <v>21</v>
      </c>
      <c r="I54" s="46" t="n">
        <f aca="false">ROUND('기본-타자'!AE54,3)</f>
        <v>0.373</v>
      </c>
      <c r="J54" s="47" t="n">
        <f aca="false">ROUND(((I54-'리그 타자'!$B$46)/'연도별 상수'!$T$46+'연도별 상수'!$W$46)*G54,1)</f>
        <v>40.8</v>
      </c>
      <c r="K54" s="27" t="n">
        <f aca="false">'기본-타자'!G54</f>
        <v>121.6</v>
      </c>
      <c r="L54" s="47" t="n">
        <f aca="false">ROUND(100*('기본-타자'!AB54/'리그 타자'!$R$46+'기본-타자'!AC54/'리그 타자'!$S$46-1)/'기본-타자'!AH54,1)</f>
        <v>121.2</v>
      </c>
      <c r="M54" s="24" t="n">
        <f aca="false">ROUND('기본-타자'!X54/G54*100,1)</f>
        <v>23.3</v>
      </c>
      <c r="N54" s="24" t="n">
        <f aca="false">ROUND('기본-타자'!U54/G54*100,1)</f>
        <v>5.2</v>
      </c>
      <c r="O54" s="9" t="n">
        <f aca="false">ROUND('기본-타자'!U54/'기본-타자'!X54,1)</f>
        <v>0.2</v>
      </c>
      <c r="P54" s="9" t="n">
        <f aca="false">ROUND('기본-타자'!Q54/G54*100,1)</f>
        <v>3</v>
      </c>
      <c r="Q54" s="9" t="n">
        <f aca="false">ROUND(('기본-타자'!N54-'기본-타자'!Q54)/('기본-타자'!L54-'기본-타자'!X54-'기본-타자'!Q54+'기본-타자'!Z54),3)</f>
        <v>0.353</v>
      </c>
      <c r="R54" s="29" t="n">
        <f aca="false">ROUND('기본-타자'!AB54-'기본-타자'!AA54,3)</f>
        <v>0.083</v>
      </c>
      <c r="S54" s="29" t="n">
        <f aca="false">ROUND('기본-타자'!AC54-'기본-타자'!AA54,3)</f>
        <v>0.161</v>
      </c>
      <c r="T54" s="48" t="n">
        <f aca="false">'기본-타자'!AK54</f>
        <v>0</v>
      </c>
      <c r="U54" s="47" t="n">
        <f aca="false">'기본-타자'!AL54</f>
        <v>0</v>
      </c>
      <c r="V54" s="48" t="n">
        <f aca="false">'기본-타자'!AN54</f>
        <v>0</v>
      </c>
      <c r="W54" s="48" t="n">
        <f aca="false">'기본-타자'!AM54</f>
        <v>0</v>
      </c>
      <c r="X54" s="24" t="n">
        <f aca="false">'기본-타자'!AI54</f>
        <v>0</v>
      </c>
      <c r="Y54" s="24" t="n">
        <f aca="false">'기본-타자'!AJ54</f>
        <v>0</v>
      </c>
    </row>
    <row r="55" customFormat="false" ht="26.25" hidden="false" customHeight="true" outlineLevel="0" collapsed="false">
      <c r="A55" s="24" t="n">
        <f aca="false">'기본-타자'!A55</f>
        <v>54</v>
      </c>
      <c r="B55" s="24" t="str">
        <f aca="false">'기본-타자'!B55</f>
        <v>고승민</v>
      </c>
      <c r="C55" s="24" t="str">
        <f aca="false">'기본-타자'!C55</f>
        <v>2B</v>
      </c>
      <c r="D55" s="24" t="str">
        <f aca="false">'기본-타자'!D55</f>
        <v>LOT</v>
      </c>
      <c r="E55" s="44" t="n">
        <f aca="false">'기본-타자'!E55</f>
        <v>2026</v>
      </c>
      <c r="F55" s="45" t="n">
        <f aca="false">ROUND((('기본-타자'!H55)+('기본-타자'!AG55*'기본-타자'!K55/600)+(20*'기본-타자'!K55/600))/'연도별 상수'!$U$46,2)</f>
        <v>0.63</v>
      </c>
      <c r="G55" s="9" t="n">
        <f aca="false">'기본-타자'!K55</f>
        <v>243</v>
      </c>
      <c r="H55" s="24" t="n">
        <f aca="false">'기본-타자'!O55+'기본-타자'!P55+'기본-타자'!Q55</f>
        <v>17</v>
      </c>
      <c r="I55" s="46" t="n">
        <f aca="false">ROUND('기본-타자'!AE55,3)</f>
        <v>0.331</v>
      </c>
      <c r="J55" s="47" t="n">
        <f aca="false">ROUND(((I55-'리그 타자'!$B$46)/'연도별 상수'!$T$46+'연도별 상수'!$W$46)*G55,1)</f>
        <v>28.5</v>
      </c>
      <c r="K55" s="27" t="n">
        <f aca="false">'기본-타자'!G55</f>
        <v>74.1</v>
      </c>
      <c r="L55" s="47" t="n">
        <f aca="false">ROUND(100*('기본-타자'!AB55/'리그 타자'!$R$46+'기본-타자'!AC55/'리그 타자'!$S$46-1)/'기본-타자'!AH55,1)</f>
        <v>80.4</v>
      </c>
      <c r="M55" s="24" t="n">
        <f aca="false">ROUND('기본-타자'!X55/G55*100,1)</f>
        <v>18.1</v>
      </c>
      <c r="N55" s="24" t="n">
        <f aca="false">ROUND('기본-타자'!U55/G55*100,1)</f>
        <v>7.4</v>
      </c>
      <c r="O55" s="9" t="n">
        <f aca="false">ROUND('기본-타자'!U55/'기본-타자'!X55,1)</f>
        <v>0.4</v>
      </c>
      <c r="P55" s="9" t="n">
        <f aca="false">ROUND('기본-타자'!Q55/G55*100,1)</f>
        <v>2.5</v>
      </c>
      <c r="Q55" s="9" t="n">
        <f aca="false">ROUND(('기본-타자'!N55-'기본-타자'!Q55)/('기본-타자'!L55-'기본-타자'!X55-'기본-타자'!Q55+'기본-타자'!Z55),3)</f>
        <v>0.31</v>
      </c>
      <c r="R55" s="29" t="n">
        <f aca="false">ROUND('기본-타자'!AB55-'기본-타자'!AA55,3)</f>
        <v>0.052</v>
      </c>
      <c r="S55" s="29" t="n">
        <f aca="false">ROUND('기본-타자'!AC55-'기본-타자'!AA55,3)</f>
        <v>0.14</v>
      </c>
      <c r="T55" s="48" t="n">
        <f aca="false">'기본-타자'!AK55</f>
        <v>0</v>
      </c>
      <c r="U55" s="47" t="n">
        <f aca="false">'기본-타자'!AL55</f>
        <v>0</v>
      </c>
      <c r="V55" s="48" t="n">
        <f aca="false">'기본-타자'!AN55</f>
        <v>0</v>
      </c>
      <c r="W55" s="48" t="n">
        <f aca="false">'기본-타자'!AM55</f>
        <v>0</v>
      </c>
      <c r="X55" s="24" t="n">
        <f aca="false">'기본-타자'!AI55</f>
        <v>0</v>
      </c>
      <c r="Y55" s="24" t="n">
        <f aca="false">'기본-타자'!AJ55</f>
        <v>0</v>
      </c>
    </row>
    <row r="56" customFormat="false" ht="26.25" hidden="false" customHeight="true" outlineLevel="0" collapsed="false">
      <c r="A56" s="24" t="n">
        <f aca="false">'기본-타자'!A56</f>
        <v>55</v>
      </c>
      <c r="B56" s="24" t="str">
        <f aca="false">'기본-타자'!B56</f>
        <v>전병우</v>
      </c>
      <c r="C56" s="24" t="str">
        <f aca="false">'기본-타자'!C56</f>
        <v>3B</v>
      </c>
      <c r="D56" s="24" t="str">
        <f aca="false">'기본-타자'!D56</f>
        <v>SAM</v>
      </c>
      <c r="E56" s="44" t="n">
        <f aca="false">'기본-타자'!E56</f>
        <v>2026</v>
      </c>
      <c r="F56" s="45" t="n">
        <f aca="false">ROUND((('기본-타자'!H56)+('기본-타자'!AG56*'기본-타자'!K56/600)+(20*'기본-타자'!K56/600))/'연도별 상수'!$U$46,2)</f>
        <v>0.49</v>
      </c>
      <c r="G56" s="9" t="n">
        <f aca="false">'기본-타자'!K56</f>
        <v>286</v>
      </c>
      <c r="H56" s="24" t="n">
        <f aca="false">'기본-타자'!O56+'기본-타자'!P56+'기본-타자'!Q56</f>
        <v>19</v>
      </c>
      <c r="I56" s="46" t="n">
        <f aca="false">ROUND('기본-타자'!AE56,3)</f>
        <v>0.328</v>
      </c>
      <c r="J56" s="47" t="n">
        <f aca="false">ROUND(((I56-'리그 타자'!$B$46)/'연도별 상수'!$T$46+'연도별 상수'!$W$46)*G56,1)</f>
        <v>32.8</v>
      </c>
      <c r="K56" s="27" t="n">
        <f aca="false">'기본-타자'!G56</f>
        <v>83</v>
      </c>
      <c r="L56" s="47" t="n">
        <f aca="false">ROUND(100*('기본-타자'!AB56/'리그 타자'!$R$46+'기본-타자'!AC56/'리그 타자'!$S$46-1)/'기본-타자'!AH56,1)</f>
        <v>79.5</v>
      </c>
      <c r="M56" s="24" t="n">
        <f aca="false">ROUND('기본-타자'!X56/G56*100,1)</f>
        <v>26.9</v>
      </c>
      <c r="N56" s="24" t="n">
        <f aca="false">ROUND('기본-타자'!U56/G56*100,1)</f>
        <v>10.8</v>
      </c>
      <c r="O56" s="9" t="n">
        <f aca="false">ROUND('기본-타자'!U56/'기본-타자'!X56,1)</f>
        <v>0.4</v>
      </c>
      <c r="P56" s="9" t="n">
        <f aca="false">ROUND('기본-타자'!Q56/G56*100,1)</f>
        <v>1.7</v>
      </c>
      <c r="Q56" s="9" t="n">
        <f aca="false">ROUND(('기본-타자'!N56-'기본-타자'!Q56)/('기본-타자'!L56-'기본-타자'!X56-'기본-타자'!Q56+'기본-타자'!Z56),3)</f>
        <v>0.299</v>
      </c>
      <c r="R56" s="29" t="n">
        <f aca="false">ROUND('기본-타자'!AB56-'기본-타자'!AA56,3)</f>
        <v>0.126</v>
      </c>
      <c r="S56" s="29" t="n">
        <f aca="false">ROUND('기본-타자'!AC56-'기본-타자'!AA56,3)</f>
        <v>0.123</v>
      </c>
      <c r="T56" s="48" t="n">
        <f aca="false">'기본-타자'!AK56</f>
        <v>0</v>
      </c>
      <c r="U56" s="47" t="n">
        <f aca="false">'기본-타자'!AL56</f>
        <v>0</v>
      </c>
      <c r="V56" s="48" t="n">
        <f aca="false">'기본-타자'!AN56</f>
        <v>0</v>
      </c>
      <c r="W56" s="48" t="n">
        <f aca="false">'기본-타자'!AM56</f>
        <v>0</v>
      </c>
      <c r="X56" s="24" t="n">
        <f aca="false">'기본-타자'!AI56</f>
        <v>0</v>
      </c>
      <c r="Y56" s="24" t="n">
        <f aca="false">'기본-타자'!AJ56</f>
        <v>0</v>
      </c>
    </row>
    <row r="57" customFormat="false" ht="26.25" hidden="false" customHeight="true" outlineLevel="0" collapsed="false">
      <c r="A57" s="24" t="n">
        <f aca="false">'기본-타자'!A57</f>
        <v>56</v>
      </c>
      <c r="B57" s="24" t="str">
        <f aca="false">'기본-타자'!B57</f>
        <v>문성주</v>
      </c>
      <c r="C57" s="24" t="str">
        <f aca="false">'기본-타자'!C57</f>
        <v>LF</v>
      </c>
      <c r="D57" s="24" t="str">
        <f aca="false">'기본-타자'!D57</f>
        <v>LG</v>
      </c>
      <c r="E57" s="44" t="n">
        <f aca="false">'기본-타자'!E57</f>
        <v>2026</v>
      </c>
      <c r="F57" s="45" t="n">
        <f aca="false">ROUND((('기본-타자'!H57)+('기본-타자'!AG57*'기본-타자'!K57/600)+(20*'기본-타자'!K57/600))/'연도별 상수'!$U$46,2)</f>
        <v>0.26</v>
      </c>
      <c r="G57" s="9" t="n">
        <f aca="false">'기본-타자'!K57</f>
        <v>191</v>
      </c>
      <c r="H57" s="24" t="n">
        <f aca="false">'기본-타자'!O57+'기본-타자'!P57+'기본-타자'!Q57</f>
        <v>9</v>
      </c>
      <c r="I57" s="46" t="n">
        <f aca="false">ROUND('기본-타자'!AE57,3)</f>
        <v>0.333</v>
      </c>
      <c r="J57" s="47" t="n">
        <f aca="false">ROUND(((I57-'리그 타자'!$B$46)/'연도별 상수'!$T$46+'연도별 상수'!$W$46)*G57,1)</f>
        <v>22.7</v>
      </c>
      <c r="K57" s="27" t="n">
        <f aca="false">'기본-타자'!G57</f>
        <v>104.5</v>
      </c>
      <c r="L57" s="47" t="n">
        <f aca="false">ROUND(100*('기본-타자'!AB57/'리그 타자'!$R$46+'기본-타자'!AC57/'리그 타자'!$S$46-1)/'기본-타자'!AH57,1)</f>
        <v>106</v>
      </c>
      <c r="M57" s="24" t="n">
        <f aca="false">ROUND('기본-타자'!X57/G57*100,1)</f>
        <v>12.6</v>
      </c>
      <c r="N57" s="24" t="n">
        <f aca="false">ROUND('기본-타자'!U57/G57*100,1)</f>
        <v>8.4</v>
      </c>
      <c r="O57" s="9" t="n">
        <f aca="false">ROUND('기본-타자'!U57/'기본-타자'!X57,1)</f>
        <v>0.7</v>
      </c>
      <c r="P57" s="9" t="n">
        <f aca="false">ROUND('기본-타자'!Q57/G57*100,1)</f>
        <v>0.5</v>
      </c>
      <c r="Q57" s="9" t="n">
        <f aca="false">ROUND(('기본-타자'!N57-'기본-타자'!Q57)/('기본-타자'!L57-'기본-타자'!X57-'기본-타자'!Q57+'기본-타자'!Z57),3)</f>
        <v>0.336</v>
      </c>
      <c r="R57" s="29" t="n">
        <f aca="false">ROUND('기본-타자'!AB57-'기본-타자'!AA57,3)</f>
        <v>0.064</v>
      </c>
      <c r="S57" s="29" t="n">
        <f aca="false">ROUND('기본-타자'!AC57-'기본-타자'!AA57,3)</f>
        <v>0.065</v>
      </c>
      <c r="T57" s="48" t="n">
        <f aca="false">'기본-타자'!AK57</f>
        <v>0</v>
      </c>
      <c r="U57" s="47" t="n">
        <f aca="false">'기본-타자'!AL57</f>
        <v>0</v>
      </c>
      <c r="V57" s="48" t="n">
        <f aca="false">'기본-타자'!AN57</f>
        <v>0</v>
      </c>
      <c r="W57" s="48" t="n">
        <f aca="false">'기본-타자'!AM57</f>
        <v>0</v>
      </c>
      <c r="X57" s="24" t="n">
        <f aca="false">'기본-타자'!AI57</f>
        <v>0</v>
      </c>
      <c r="Y57" s="24" t="n">
        <f aca="false">'기본-타자'!AJ57</f>
        <v>0</v>
      </c>
    </row>
    <row r="58" customFormat="false" ht="26.25" hidden="false" customHeight="true" outlineLevel="0" collapsed="false">
      <c r="A58" s="24" t="n">
        <f aca="false">'기본-타자'!A58</f>
        <v>57</v>
      </c>
      <c r="B58" s="24" t="str">
        <f aca="false">'기본-타자'!B58</f>
        <v>박재현</v>
      </c>
      <c r="C58" s="24" t="str">
        <f aca="false">'기본-타자'!C58</f>
        <v>LF</v>
      </c>
      <c r="D58" s="24" t="str">
        <f aca="false">'기본-타자'!D58</f>
        <v>KIA</v>
      </c>
      <c r="E58" s="44" t="n">
        <f aca="false">'기본-타자'!E58</f>
        <v>2026</v>
      </c>
      <c r="F58" s="45" t="n">
        <f aca="false">ROUND((('기본-타자'!H58)+('기본-타자'!AG58*'기본-타자'!K58/600)+(20*'기본-타자'!K58/600))/'연도별 상수'!$U$46,2)</f>
        <v>0.77</v>
      </c>
      <c r="G58" s="9" t="n">
        <f aca="false">'기본-타자'!K58</f>
        <v>330</v>
      </c>
      <c r="H58" s="24" t="n">
        <f aca="false">'기본-타자'!O58+'기본-타자'!P58+'기본-타자'!Q58</f>
        <v>22</v>
      </c>
      <c r="I58" s="46" t="n">
        <f aca="false">ROUND('기본-타자'!AE58,3)</f>
        <v>0.338</v>
      </c>
      <c r="J58" s="47" t="n">
        <f aca="false">ROUND(((I58-'리그 타자'!$B$46)/'연도별 상수'!$T$46+'연도별 상수'!$W$46)*G58,1)</f>
        <v>40.6</v>
      </c>
      <c r="K58" s="27" t="n">
        <f aca="false">'기본-타자'!G58</f>
        <v>102.9</v>
      </c>
      <c r="L58" s="47" t="n">
        <f aca="false">ROUND(100*('기본-타자'!AB58/'리그 타자'!$R$46+'기본-타자'!AC58/'리그 타자'!$S$46-1)/'기본-타자'!AH58,1)</f>
        <v>104.9</v>
      </c>
      <c r="M58" s="24" t="n">
        <f aca="false">ROUND('기본-타자'!X58/G58*100,1)</f>
        <v>18.8</v>
      </c>
      <c r="N58" s="24" t="n">
        <f aca="false">ROUND('기본-타자'!U58/G58*100,1)</f>
        <v>5.8</v>
      </c>
      <c r="O58" s="9" t="n">
        <f aca="false">ROUND('기본-타자'!U58/'기본-타자'!X58,1)</f>
        <v>0.3</v>
      </c>
      <c r="P58" s="9" t="n">
        <f aca="false">ROUND('기본-타자'!Q58/G58*100,1)</f>
        <v>2.4</v>
      </c>
      <c r="Q58" s="9" t="n">
        <f aca="false">ROUND(('기본-타자'!N58-'기본-타자'!Q58)/('기본-타자'!L58-'기본-타자'!X58-'기본-타자'!Q58+'기본-타자'!Z58),3)</f>
        <v>0.333</v>
      </c>
      <c r="R58" s="29" t="n">
        <f aca="false">ROUND('기본-타자'!AB58-'기본-타자'!AA58,3)</f>
        <v>0.042</v>
      </c>
      <c r="S58" s="29" t="n">
        <f aca="false">ROUND('기본-타자'!AC58-'기본-타자'!AA58,3)</f>
        <v>0.135</v>
      </c>
      <c r="T58" s="48" t="n">
        <f aca="false">'기본-타자'!AK58</f>
        <v>0</v>
      </c>
      <c r="U58" s="47" t="n">
        <f aca="false">'기본-타자'!AL58</f>
        <v>0</v>
      </c>
      <c r="V58" s="48" t="n">
        <f aca="false">'기본-타자'!AN58</f>
        <v>0</v>
      </c>
      <c r="W58" s="48" t="n">
        <f aca="false">'기본-타자'!AM58</f>
        <v>0</v>
      </c>
      <c r="X58" s="24" t="n">
        <f aca="false">'기본-타자'!AI58</f>
        <v>0</v>
      </c>
      <c r="Y58" s="24" t="n">
        <f aca="false">'기본-타자'!AJ58</f>
        <v>0</v>
      </c>
    </row>
    <row r="59" customFormat="false" ht="26.25" hidden="false" customHeight="true" outlineLevel="0" collapsed="false">
      <c r="A59" s="24" t="n">
        <f aca="false">'기본-타자'!A59</f>
        <v>58</v>
      </c>
      <c r="B59" s="24" t="str">
        <f aca="false">'기본-타자'!B59</f>
        <v>손성빈</v>
      </c>
      <c r="C59" s="24" t="str">
        <f aca="false">'기본-타자'!C59</f>
        <v>C</v>
      </c>
      <c r="D59" s="24" t="str">
        <f aca="false">'기본-타자'!D59</f>
        <v>LOT</v>
      </c>
      <c r="E59" s="44" t="n">
        <f aca="false">'기본-타자'!E59</f>
        <v>2026</v>
      </c>
      <c r="F59" s="45" t="n">
        <f aca="false">ROUND((('기본-타자'!H59)+('기본-타자'!AG59*'기본-타자'!K59/600)+(20*'기본-타자'!K59/600))/'연도별 상수'!$U$46,2)</f>
        <v>0.33</v>
      </c>
      <c r="G59" s="9" t="n">
        <f aca="false">'기본-타자'!K59</f>
        <v>210</v>
      </c>
      <c r="H59" s="24" t="n">
        <f aca="false">'기본-타자'!O59+'기본-타자'!P59+'기본-타자'!Q59</f>
        <v>13</v>
      </c>
      <c r="I59" s="46" t="n">
        <f aca="false">ROUND('기본-타자'!AE59,3)</f>
        <v>0.295</v>
      </c>
      <c r="J59" s="47" t="n">
        <f aca="false">ROUND(((I59-'리그 타자'!$B$46)/'연도별 상수'!$T$46+'연도별 상수'!$W$46)*G59,1)</f>
        <v>18.5</v>
      </c>
      <c r="K59" s="27" t="n">
        <f aca="false">'기본-타자'!G59</f>
        <v>51.6</v>
      </c>
      <c r="L59" s="47" t="n">
        <f aca="false">ROUND(100*('기본-타자'!AB59/'리그 타자'!$R$46+'기본-타자'!AC59/'리그 타자'!$S$46-1)/'기본-타자'!AH59,1)</f>
        <v>58.1</v>
      </c>
      <c r="M59" s="24" t="n">
        <f aca="false">ROUND('기본-타자'!X59/G59*100,1)</f>
        <v>17.6</v>
      </c>
      <c r="N59" s="24" t="n">
        <f aca="false">ROUND('기본-타자'!U59/G59*100,1)</f>
        <v>7.1</v>
      </c>
      <c r="O59" s="9" t="n">
        <f aca="false">ROUND('기본-타자'!U59/'기본-타자'!X59,1)</f>
        <v>0.4</v>
      </c>
      <c r="P59" s="9" t="n">
        <f aca="false">ROUND('기본-타자'!Q59/G59*100,1)</f>
        <v>1</v>
      </c>
      <c r="Q59" s="9" t="n">
        <f aca="false">ROUND(('기본-타자'!N59-'기본-타자'!Q59)/('기본-타자'!L59-'기본-타자'!X59-'기본-타자'!Q59+'기본-타자'!Z59),3)</f>
        <v>0.284</v>
      </c>
      <c r="R59" s="29" t="n">
        <f aca="false">ROUND('기본-타자'!AB59-'기본-타자'!AA59,3)</f>
        <v>0.065</v>
      </c>
      <c r="S59" s="29" t="n">
        <f aca="false">ROUND('기본-타자'!AC59-'기본-타자'!AA59,3)</f>
        <v>0.091</v>
      </c>
      <c r="T59" s="48" t="n">
        <f aca="false">'기본-타자'!AK59</f>
        <v>0</v>
      </c>
      <c r="U59" s="47" t="n">
        <f aca="false">'기본-타자'!AL59</f>
        <v>0</v>
      </c>
      <c r="V59" s="48" t="n">
        <f aca="false">'기본-타자'!AN59</f>
        <v>0</v>
      </c>
      <c r="W59" s="48" t="n">
        <f aca="false">'기본-타자'!AM59</f>
        <v>0</v>
      </c>
      <c r="X59" s="24" t="n">
        <f aca="false">'기본-타자'!AI59</f>
        <v>0</v>
      </c>
      <c r="Y59" s="24" t="n">
        <f aca="false">'기본-타자'!AJ59</f>
        <v>0</v>
      </c>
    </row>
    <row r="60" customFormat="false" ht="26.25" hidden="false" customHeight="true" outlineLevel="0" collapsed="false">
      <c r="A60" s="24" t="n">
        <f aca="false">'기본-타자'!A60</f>
        <v>59</v>
      </c>
      <c r="B60" s="24" t="str">
        <f aca="false">'기본-타자'!B60</f>
        <v>한동희</v>
      </c>
      <c r="C60" s="24" t="str">
        <f aca="false">'기본-타자'!C60</f>
        <v>3B</v>
      </c>
      <c r="D60" s="24" t="str">
        <f aca="false">'기본-타자'!D60</f>
        <v>LOT</v>
      </c>
      <c r="E60" s="44" t="n">
        <f aca="false">'기본-타자'!E60</f>
        <v>2026</v>
      </c>
      <c r="F60" s="45" t="n">
        <f aca="false">ROUND((('기본-타자'!H60)+('기본-타자'!AG60*'기본-타자'!K60/600)+(20*'기본-타자'!K60/600))/'연도별 상수'!$U$46,2)</f>
        <v>0.72</v>
      </c>
      <c r="G60" s="9" t="n">
        <f aca="false">'기본-타자'!K60</f>
        <v>204</v>
      </c>
      <c r="H60" s="24" t="n">
        <f aca="false">'기본-타자'!O60+'기본-타자'!P60+'기본-타자'!Q60</f>
        <v>15</v>
      </c>
      <c r="I60" s="46" t="n">
        <f aca="false">ROUND('기본-타자'!AE60,3)</f>
        <v>0.351</v>
      </c>
      <c r="J60" s="47" t="n">
        <f aca="false">ROUND(((I60-'리그 타자'!$B$46)/'연도별 상수'!$T$46+'연도별 상수'!$W$46)*G60,1)</f>
        <v>27.2</v>
      </c>
      <c r="K60" s="27" t="n">
        <f aca="false">'기본-타자'!G60</f>
        <v>86.5</v>
      </c>
      <c r="L60" s="47" t="n">
        <f aca="false">ROUND(100*('기본-타자'!AB60/'리그 타자'!$R$46+'기본-타자'!AC60/'리그 타자'!$S$46-1)/'기본-타자'!AH60,1)</f>
        <v>91.9</v>
      </c>
      <c r="M60" s="24" t="n">
        <f aca="false">ROUND('기본-타자'!X60/G60*100,1)</f>
        <v>17.2</v>
      </c>
      <c r="N60" s="24" t="n">
        <f aca="false">ROUND('기본-타자'!U60/G60*100,1)</f>
        <v>7.8</v>
      </c>
      <c r="O60" s="9" t="n">
        <f aca="false">ROUND('기본-타자'!U60/'기본-타자'!X60,1)</f>
        <v>0.5</v>
      </c>
      <c r="P60" s="9" t="n">
        <f aca="false">ROUND('기본-타자'!Q60/G60*100,1)</f>
        <v>3.4</v>
      </c>
      <c r="Q60" s="9" t="n">
        <f aca="false">ROUND(('기본-타자'!N60-'기본-타자'!Q60)/('기본-타자'!L60-'기본-타자'!X60-'기본-타자'!Q60+'기본-타자'!Z60),3)</f>
        <v>0.308</v>
      </c>
      <c r="R60" s="29" t="n">
        <f aca="false">ROUND('기본-타자'!AB60-'기본-타자'!AA60,3)</f>
        <v>0.063</v>
      </c>
      <c r="S60" s="29" t="n">
        <f aca="false">ROUND('기본-타자'!AC60-'기본-타자'!AA60,3)</f>
        <v>0.16</v>
      </c>
      <c r="T60" s="48" t="n">
        <f aca="false">'기본-타자'!AK60</f>
        <v>0</v>
      </c>
      <c r="U60" s="47" t="n">
        <f aca="false">'기본-타자'!AL60</f>
        <v>0</v>
      </c>
      <c r="V60" s="48" t="n">
        <f aca="false">'기본-타자'!AN60</f>
        <v>0</v>
      </c>
      <c r="W60" s="48" t="n">
        <f aca="false">'기본-타자'!AM60</f>
        <v>0</v>
      </c>
      <c r="X60" s="24" t="n">
        <f aca="false">'기본-타자'!AI60</f>
        <v>0</v>
      </c>
      <c r="Y60" s="24" t="n">
        <f aca="false">'기본-타자'!AJ60</f>
        <v>0</v>
      </c>
    </row>
    <row r="61" customFormat="false" ht="26.25" hidden="false" customHeight="true" outlineLevel="0" collapsed="false">
      <c r="A61" s="24" t="n">
        <f aca="false">'기본-타자'!A61</f>
        <v>60</v>
      </c>
      <c r="B61" s="24" t="str">
        <f aca="false">'기본-타자'!B61</f>
        <v>한승택</v>
      </c>
      <c r="C61" s="24" t="str">
        <f aca="false">'기본-타자'!C61</f>
        <v>C</v>
      </c>
      <c r="D61" s="24" t="str">
        <f aca="false">'기본-타자'!D61</f>
        <v>KT</v>
      </c>
      <c r="E61" s="44" t="n">
        <f aca="false">'기본-타자'!E61</f>
        <v>2026</v>
      </c>
      <c r="F61" s="45" t="n">
        <f aca="false">ROUND((('기본-타자'!H61)+('기본-타자'!AG61*'기본-타자'!K61/600)+(20*'기본-타자'!K61/600))/'연도별 상수'!$U$46,2)</f>
        <v>0.01</v>
      </c>
      <c r="G61" s="9" t="n">
        <f aca="false">'기본-타자'!K61</f>
        <v>197</v>
      </c>
      <c r="H61" s="24" t="n">
        <f aca="false">'기본-타자'!O61+'기본-타자'!P61+'기본-타자'!Q61</f>
        <v>8</v>
      </c>
      <c r="I61" s="46" t="n">
        <f aca="false">ROUND('기본-타자'!AE61,3)</f>
        <v>0.279</v>
      </c>
      <c r="J61" s="47" t="n">
        <f aca="false">ROUND(((I61-'리그 타자'!$B$46)/'연도별 상수'!$T$46+'연도별 상수'!$W$46)*G61,1)</f>
        <v>14.8</v>
      </c>
      <c r="K61" s="27" t="n">
        <f aca="false">'기본-타자'!G61</f>
        <v>51.1</v>
      </c>
      <c r="L61" s="47" t="n">
        <f aca="false">ROUND(100*('기본-타자'!AB61/'리그 타자'!$R$46+'기본-타자'!AC61/'리그 타자'!$S$46-1)/'기본-타자'!AH61,1)</f>
        <v>51.9</v>
      </c>
      <c r="M61" s="24" t="n">
        <f aca="false">ROUND('기본-타자'!X61/G61*100,1)</f>
        <v>22.8</v>
      </c>
      <c r="N61" s="24" t="n">
        <f aca="false">ROUND('기본-타자'!U61/G61*100,1)</f>
        <v>9.6</v>
      </c>
      <c r="O61" s="9" t="n">
        <f aca="false">ROUND('기본-타자'!U61/'기본-타자'!X61,1)</f>
        <v>0.4</v>
      </c>
      <c r="P61" s="9" t="n">
        <f aca="false">ROUND('기본-타자'!Q61/G61*100,1)</f>
        <v>0.5</v>
      </c>
      <c r="Q61" s="9" t="n">
        <f aca="false">ROUND(('기본-타자'!N61-'기본-타자'!Q61)/('기본-타자'!L61-'기본-타자'!X61-'기본-타자'!Q61+'기본-타자'!Z61),3)</f>
        <v>0.288</v>
      </c>
      <c r="R61" s="29" t="n">
        <f aca="false">ROUND('기본-타자'!AB61-'기본-타자'!AA61,3)</f>
        <v>0.087</v>
      </c>
      <c r="S61" s="29" t="n">
        <f aca="false">ROUND('기본-타자'!AC61-'기본-타자'!AA61,3)</f>
        <v>0.062</v>
      </c>
      <c r="T61" s="48" t="n">
        <f aca="false">'기본-타자'!AK61</f>
        <v>0</v>
      </c>
      <c r="U61" s="47" t="n">
        <f aca="false">'기본-타자'!AL61</f>
        <v>0</v>
      </c>
      <c r="V61" s="48" t="n">
        <f aca="false">'기본-타자'!AN61</f>
        <v>0</v>
      </c>
      <c r="W61" s="48" t="n">
        <f aca="false">'기본-타자'!AM61</f>
        <v>0</v>
      </c>
      <c r="X61" s="24" t="n">
        <f aca="false">'기본-타자'!AI61</f>
        <v>0</v>
      </c>
      <c r="Y61" s="24" t="n">
        <f aca="false">'기본-타자'!AJ61</f>
        <v>0</v>
      </c>
    </row>
    <row r="62" customFormat="false" ht="26.25" hidden="false" customHeight="true" outlineLevel="0" collapsed="false">
      <c r="A62" s="24" t="n">
        <f aca="false">'기본-타자'!A62</f>
        <v>61</v>
      </c>
      <c r="B62" s="24" t="str">
        <f aca="false">'기본-타자'!B62</f>
        <v>조형우</v>
      </c>
      <c r="C62" s="24" t="str">
        <f aca="false">'기본-타자'!C62</f>
        <v>C</v>
      </c>
      <c r="D62" s="24" t="str">
        <f aca="false">'기본-타자'!D62</f>
        <v>SSG</v>
      </c>
      <c r="E62" s="44" t="n">
        <f aca="false">'기본-타자'!E62</f>
        <v>2026</v>
      </c>
      <c r="F62" s="45" t="n">
        <f aca="false">ROUND((('기본-타자'!H62)+('기본-타자'!AG62*'기본-타자'!K62/600)+(20*'기본-타자'!K62/600))/'연도별 상수'!$U$46,2)</f>
        <v>-0.08</v>
      </c>
      <c r="G62" s="9" t="n">
        <f aca="false">'기본-타자'!K62</f>
        <v>211</v>
      </c>
      <c r="H62" s="24" t="n">
        <f aca="false">'기본-타자'!O62+'기본-타자'!P62+'기본-타자'!Q62</f>
        <v>14</v>
      </c>
      <c r="I62" s="46" t="n">
        <f aca="false">ROUND('기본-타자'!AE62,3)</f>
        <v>0.28</v>
      </c>
      <c r="J62" s="47" t="n">
        <f aca="false">ROUND(((I62-'리그 타자'!$B$46)/'연도별 상수'!$T$46+'연도별 상수'!$W$46)*G62,1)</f>
        <v>16.1</v>
      </c>
      <c r="K62" s="27" t="n">
        <f aca="false">'기본-타자'!G62</f>
        <v>64.3</v>
      </c>
      <c r="L62" s="47" t="n">
        <f aca="false">ROUND(100*('기본-타자'!AB62/'리그 타자'!$R$46+'기본-타자'!AC62/'리그 타자'!$S$46-1)/'기본-타자'!AH62,1)</f>
        <v>64.6</v>
      </c>
      <c r="M62" s="24" t="n">
        <f aca="false">ROUND('기본-타자'!X62/G62*100,1)</f>
        <v>19</v>
      </c>
      <c r="N62" s="24" t="n">
        <f aca="false">ROUND('기본-타자'!U62/G62*100,1)</f>
        <v>5.7</v>
      </c>
      <c r="O62" s="9" t="n">
        <f aca="false">ROUND('기본-타자'!U62/'기본-타자'!X62,1)</f>
        <v>0.3</v>
      </c>
      <c r="P62" s="9" t="n">
        <f aca="false">ROUND('기본-타자'!Q62/G62*100,1)</f>
        <v>1.4</v>
      </c>
      <c r="Q62" s="9" t="n">
        <f aca="false">ROUND(('기본-타자'!N62-'기본-타자'!Q62)/('기본-타자'!L62-'기본-타자'!X62-'기본-타자'!Q62+'기본-타자'!Z62),3)</f>
        <v>0.264</v>
      </c>
      <c r="R62" s="29" t="n">
        <f aca="false">ROUND('기본-타자'!AB62-'기본-타자'!AA62,3)</f>
        <v>0.054</v>
      </c>
      <c r="S62" s="29" t="n">
        <f aca="false">ROUND('기본-타자'!AC62-'기본-타자'!AA62,3)</f>
        <v>0.107</v>
      </c>
      <c r="T62" s="48" t="n">
        <f aca="false">'기본-타자'!AK62</f>
        <v>0</v>
      </c>
      <c r="U62" s="47" t="n">
        <f aca="false">'기본-타자'!AL62</f>
        <v>0</v>
      </c>
      <c r="V62" s="48" t="n">
        <f aca="false">'기본-타자'!AN62</f>
        <v>0</v>
      </c>
      <c r="W62" s="48" t="n">
        <f aca="false">'기본-타자'!AM62</f>
        <v>0</v>
      </c>
      <c r="X62" s="24" t="n">
        <f aca="false">'기본-타자'!AI62</f>
        <v>0</v>
      </c>
      <c r="Y62" s="24" t="n">
        <f aca="false">'기본-타자'!AJ62</f>
        <v>0</v>
      </c>
    </row>
    <row r="63" customFormat="false" ht="26.25" hidden="false" customHeight="true" outlineLevel="0" collapsed="false">
      <c r="A63" s="24" t="n">
        <f aca="false">'기본-타자'!A63</f>
        <v>62</v>
      </c>
      <c r="B63" s="24" t="str">
        <f aca="false">'기본-타자'!B63</f>
        <v>문보경</v>
      </c>
      <c r="C63" s="24" t="str">
        <f aca="false">'기본-타자'!C63</f>
        <v>DH</v>
      </c>
      <c r="D63" s="24" t="str">
        <f aca="false">'기본-타자'!D63</f>
        <v>LG</v>
      </c>
      <c r="E63" s="44" t="n">
        <f aca="false">'기본-타자'!E63</f>
        <v>2026</v>
      </c>
      <c r="F63" s="45" t="n">
        <f aca="false">ROUND((('기본-타자'!H63)+('기본-타자'!AG63*'기본-타자'!K63/600)+(20*'기본-타자'!K63/600))/'연도별 상수'!$U$46,2)</f>
        <v>0.44</v>
      </c>
      <c r="G63" s="9" t="n">
        <f aca="false">'기본-타자'!K63</f>
        <v>246</v>
      </c>
      <c r="H63" s="24" t="n">
        <f aca="false">'기본-타자'!O63+'기본-타자'!P63+'기본-타자'!Q63</f>
        <v>13</v>
      </c>
      <c r="I63" s="46" t="n">
        <f aca="false">ROUND('기본-타자'!AE63,3)</f>
        <v>0.349</v>
      </c>
      <c r="J63" s="47" t="n">
        <f aca="false">ROUND(((I63-'리그 타자'!$B$46)/'연도별 상수'!$T$46+'연도별 상수'!$W$46)*G63,1)</f>
        <v>32.4</v>
      </c>
      <c r="K63" s="27" t="n">
        <f aca="false">'기본-타자'!G63</f>
        <v>114.5</v>
      </c>
      <c r="L63" s="47" t="n">
        <f aca="false">ROUND(100*('기본-타자'!AB63/'리그 타자'!$R$46+'기본-타자'!AC63/'리그 타자'!$S$46-1)/'기본-타자'!AH63,1)</f>
        <v>116.9</v>
      </c>
      <c r="M63" s="24" t="n">
        <f aca="false">ROUND('기본-타자'!X63/G63*100,1)</f>
        <v>18.7</v>
      </c>
      <c r="N63" s="24" t="n">
        <f aca="false">ROUND('기본-타자'!U63/G63*100,1)</f>
        <v>15.9</v>
      </c>
      <c r="O63" s="9" t="n">
        <f aca="false">ROUND('기본-타자'!U63/'기본-타자'!X63,1)</f>
        <v>0.8</v>
      </c>
      <c r="P63" s="9" t="n">
        <f aca="false">ROUND('기본-타자'!Q63/G63*100,1)</f>
        <v>2.8</v>
      </c>
      <c r="Q63" s="9" t="n">
        <f aca="false">ROUND(('기본-타자'!N63-'기본-타자'!Q63)/('기본-타자'!L63-'기본-타자'!X63-'기본-타자'!Q63+'기본-타자'!Z63),3)</f>
        <v>0.288</v>
      </c>
      <c r="R63" s="29" t="n">
        <f aca="false">ROUND('기본-타자'!AB63-'기본-타자'!AA63,3)</f>
        <v>0.116</v>
      </c>
      <c r="S63" s="29" t="n">
        <f aca="false">ROUND('기본-타자'!AC63-'기본-타자'!AA63,3)</f>
        <v>0.134</v>
      </c>
      <c r="T63" s="48" t="n">
        <f aca="false">'기본-타자'!AK63</f>
        <v>0</v>
      </c>
      <c r="U63" s="47" t="n">
        <f aca="false">'기본-타자'!AL63</f>
        <v>0</v>
      </c>
      <c r="V63" s="48" t="n">
        <f aca="false">'기본-타자'!AN63</f>
        <v>0</v>
      </c>
      <c r="W63" s="48" t="n">
        <f aca="false">'기본-타자'!AM63</f>
        <v>0</v>
      </c>
      <c r="X63" s="24" t="n">
        <f aca="false">'기본-타자'!AI63</f>
        <v>0</v>
      </c>
      <c r="Y63" s="24" t="n">
        <f aca="false">'기본-타자'!AJ63</f>
        <v>0</v>
      </c>
    </row>
    <row r="64" customFormat="false" ht="26.25" hidden="false" customHeight="true" outlineLevel="0" collapsed="false">
      <c r="A64" s="24" t="n">
        <f aca="false">'기본-타자'!A64</f>
        <v>63</v>
      </c>
      <c r="B64" s="24" t="str">
        <f aca="false">'기본-타자'!B64</f>
        <v>이도윤</v>
      </c>
      <c r="C64" s="24" t="str">
        <f aca="false">'기본-타자'!C64</f>
        <v>2B</v>
      </c>
      <c r="D64" s="24" t="str">
        <f aca="false">'기본-타자'!D64</f>
        <v>HAN</v>
      </c>
      <c r="E64" s="44" t="n">
        <f aca="false">'기본-타자'!E64</f>
        <v>2026</v>
      </c>
      <c r="F64" s="45" t="n">
        <f aca="false">ROUND((('기본-타자'!H64)+('기본-타자'!AG64*'기본-타자'!K64/600)+(20*'기본-타자'!K64/600))/'연도별 상수'!$U$46,2)</f>
        <v>0.17</v>
      </c>
      <c r="G64" s="9" t="n">
        <f aca="false">'기본-타자'!K64</f>
        <v>250</v>
      </c>
      <c r="H64" s="24" t="n">
        <f aca="false">'기본-타자'!O64+'기본-타자'!P64+'기본-타자'!Q64</f>
        <v>15</v>
      </c>
      <c r="I64" s="46" t="n">
        <f aca="false">ROUND('기본-타자'!AE64,3)</f>
        <v>0.298</v>
      </c>
      <c r="J64" s="47" t="n">
        <f aca="false">ROUND(((I64-'리그 타자'!$B$46)/'연도별 상수'!$T$46+'연도별 상수'!$W$46)*G64,1)</f>
        <v>22.6</v>
      </c>
      <c r="K64" s="27" t="n">
        <f aca="false">'기본-타자'!G64</f>
        <v>52.8</v>
      </c>
      <c r="L64" s="47" t="n">
        <f aca="false">ROUND(100*('기본-타자'!AB64/'리그 타자'!$R$46+'기본-타자'!AC64/'리그 타자'!$S$46-1)/'기본-타자'!AH64,1)</f>
        <v>63.1</v>
      </c>
      <c r="M64" s="24" t="n">
        <f aca="false">ROUND('기본-타자'!X64/G64*100,1)</f>
        <v>15.2</v>
      </c>
      <c r="N64" s="24" t="n">
        <f aca="false">ROUND('기본-타자'!U64/G64*100,1)</f>
        <v>4.4</v>
      </c>
      <c r="O64" s="9" t="n">
        <f aca="false">ROUND('기본-타자'!U64/'기본-타자'!X64,1)</f>
        <v>0.3</v>
      </c>
      <c r="P64" s="9" t="n">
        <f aca="false">ROUND('기본-타자'!Q64/G64*100,1)</f>
        <v>0.4</v>
      </c>
      <c r="Q64" s="9" t="n">
        <f aca="false">ROUND(('기본-타자'!N64-'기본-타자'!Q64)/('기본-타자'!L64-'기본-타자'!X64-'기본-타자'!Q64+'기본-타자'!Z64),3)</f>
        <v>0.313</v>
      </c>
      <c r="R64" s="29" t="n">
        <f aca="false">ROUND('기본-타자'!AB64-'기본-타자'!AA64,3)</f>
        <v>0.036</v>
      </c>
      <c r="S64" s="29" t="n">
        <f aca="false">ROUND('기본-타자'!AC64-'기본-타자'!AA64,3)</f>
        <v>0.083</v>
      </c>
      <c r="T64" s="48" t="n">
        <f aca="false">'기본-타자'!AK64</f>
        <v>0</v>
      </c>
      <c r="U64" s="47" t="n">
        <f aca="false">'기본-타자'!AL64</f>
        <v>0</v>
      </c>
      <c r="V64" s="48" t="n">
        <f aca="false">'기본-타자'!AN64</f>
        <v>0</v>
      </c>
      <c r="W64" s="48" t="n">
        <f aca="false">'기본-타자'!AM64</f>
        <v>0</v>
      </c>
      <c r="X64" s="24" t="n">
        <f aca="false">'기본-타자'!AI64</f>
        <v>0</v>
      </c>
      <c r="Y64" s="24" t="n">
        <f aca="false">'기본-타자'!AJ64</f>
        <v>0</v>
      </c>
    </row>
    <row r="65" customFormat="false" ht="26.25" hidden="false" customHeight="true" outlineLevel="0" collapsed="false">
      <c r="A65" s="24" t="n">
        <f aca="false">'기본-타자'!A65</f>
        <v>64</v>
      </c>
      <c r="B65" s="24" t="str">
        <f aca="false">'기본-타자'!B65</f>
        <v>천성호</v>
      </c>
      <c r="C65" s="24" t="str">
        <f aca="false">'기본-타자'!C65</f>
        <v>3B</v>
      </c>
      <c r="D65" s="24" t="str">
        <f aca="false">'기본-타자'!D65</f>
        <v>LG</v>
      </c>
      <c r="E65" s="44" t="n">
        <f aca="false">'기본-타자'!E65</f>
        <v>2026</v>
      </c>
      <c r="F65" s="45" t="n">
        <f aca="false">ROUND((('기본-타자'!H65)+('기본-타자'!AG65*'기본-타자'!K65/600)+(20*'기본-타자'!K65/600))/'연도별 상수'!$U$46,2)</f>
        <v>0.44</v>
      </c>
      <c r="G65" s="9" t="n">
        <f aca="false">'기본-타자'!K65</f>
        <v>218</v>
      </c>
      <c r="H65" s="24" t="n">
        <f aca="false">'기본-타자'!O65+'기본-타자'!P65+'기본-타자'!Q65</f>
        <v>16</v>
      </c>
      <c r="I65" s="46" t="n">
        <f aca="false">ROUND('기본-타자'!AE65,3)</f>
        <v>0.329</v>
      </c>
      <c r="J65" s="47" t="n">
        <f aca="false">ROUND(((I65-'리그 타자'!$B$46)/'연도별 상수'!$T$46+'연도별 상수'!$W$46)*G65,1)</f>
        <v>25.2</v>
      </c>
      <c r="K65" s="27" t="n">
        <f aca="false">'기본-타자'!G65</f>
        <v>102</v>
      </c>
      <c r="L65" s="47" t="n">
        <f aca="false">ROUND(100*('기본-타자'!AB65/'리그 타자'!$R$46+'기본-타자'!AC65/'리그 타자'!$S$46-1)/'기본-타자'!AH65,1)</f>
        <v>103.3</v>
      </c>
      <c r="M65" s="24" t="n">
        <f aca="false">ROUND('기본-타자'!X65/G65*100,1)</f>
        <v>14.2</v>
      </c>
      <c r="N65" s="24" t="n">
        <f aca="false">ROUND('기본-타자'!U65/G65*100,1)</f>
        <v>6.4</v>
      </c>
      <c r="O65" s="9" t="n">
        <f aca="false">ROUND('기본-타자'!U65/'기본-타자'!X65,1)</f>
        <v>0.5</v>
      </c>
      <c r="P65" s="9" t="n">
        <f aca="false">ROUND('기본-타자'!Q65/G65*100,1)</f>
        <v>0.5</v>
      </c>
      <c r="Q65" s="9" t="n">
        <f aca="false">ROUND(('기본-타자'!N65-'기본-타자'!Q65)/('기본-타자'!L65-'기본-타자'!X65-'기본-타자'!Q65+'기본-타자'!Z65),3)</f>
        <v>0.329</v>
      </c>
      <c r="R65" s="29" t="n">
        <f aca="false">ROUND('기본-타자'!AB65-'기본-타자'!AA65,3)</f>
        <v>0.057</v>
      </c>
      <c r="S65" s="29" t="n">
        <f aca="false">ROUND('기본-타자'!AC65-'기본-타자'!AA65,3)</f>
        <v>0.096</v>
      </c>
      <c r="T65" s="48" t="n">
        <f aca="false">'기본-타자'!AK65</f>
        <v>0</v>
      </c>
      <c r="U65" s="47" t="n">
        <f aca="false">'기본-타자'!AL65</f>
        <v>0</v>
      </c>
      <c r="V65" s="48" t="n">
        <f aca="false">'기본-타자'!AN65</f>
        <v>0</v>
      </c>
      <c r="W65" s="48" t="n">
        <f aca="false">'기본-타자'!AM65</f>
        <v>0</v>
      </c>
      <c r="X65" s="24" t="n">
        <f aca="false">'기본-타자'!AI65</f>
        <v>0</v>
      </c>
      <c r="Y65" s="24" t="n">
        <f aca="false">'기본-타자'!AJ65</f>
        <v>0</v>
      </c>
    </row>
    <row r="66" customFormat="false" ht="26.25" hidden="false" customHeight="true" outlineLevel="0" collapsed="false">
      <c r="A66" s="24" t="n">
        <f aca="false">'기본-타자'!A66</f>
        <v>65</v>
      </c>
      <c r="B66" s="24" t="str">
        <f aca="false">'기본-타자'!B66</f>
        <v>구본혁</v>
      </c>
      <c r="C66" s="24" t="str">
        <f aca="false">'기본-타자'!C66</f>
        <v>3B</v>
      </c>
      <c r="D66" s="24" t="str">
        <f aca="false">'기본-타자'!D66</f>
        <v>LG</v>
      </c>
      <c r="E66" s="44" t="n">
        <f aca="false">'기본-타자'!E66</f>
        <v>2026</v>
      </c>
      <c r="F66" s="45" t="n">
        <f aca="false">ROUND((('기본-타자'!H66)+('기본-타자'!AG66*'기본-타자'!K66/600)+(20*'기본-타자'!K66/600))/'연도별 상수'!$U$46,2)</f>
        <v>-0.16</v>
      </c>
      <c r="G66" s="9" t="n">
        <f aca="false">'기본-타자'!K66</f>
        <v>218</v>
      </c>
      <c r="H66" s="24" t="n">
        <f aca="false">'기본-타자'!O66+'기본-타자'!P66+'기본-타자'!Q66</f>
        <v>3</v>
      </c>
      <c r="I66" s="46" t="n">
        <f aca="false">ROUND('기본-타자'!AE66,3)</f>
        <v>0.3</v>
      </c>
      <c r="J66" s="47" t="n">
        <f aca="false">ROUND(((I66-'리그 타자'!$B$46)/'연도별 상수'!$T$46+'연도별 상수'!$W$46)*G66,1)</f>
        <v>20.1</v>
      </c>
      <c r="K66" s="27" t="n">
        <f aca="false">'기본-타자'!G66</f>
        <v>84</v>
      </c>
      <c r="L66" s="47" t="n">
        <f aca="false">ROUND(100*('기본-타자'!AB66/'리그 타자'!$R$46+'기본-타자'!AC66/'리그 타자'!$S$46-1)/'기본-타자'!AH66,1)</f>
        <v>77.5</v>
      </c>
      <c r="M66" s="24" t="n">
        <f aca="false">ROUND('기본-타자'!X66/G66*100,1)</f>
        <v>12.4</v>
      </c>
      <c r="N66" s="24" t="n">
        <f aca="false">ROUND('기본-타자'!U66/G66*100,1)</f>
        <v>7.8</v>
      </c>
      <c r="O66" s="9" t="n">
        <f aca="false">ROUND('기본-타자'!U66/'기본-타자'!X66,1)</f>
        <v>0.6</v>
      </c>
      <c r="P66" s="9" t="n">
        <f aca="false">ROUND('기본-타자'!Q66/G66*100,1)</f>
        <v>0</v>
      </c>
      <c r="Q66" s="9" t="n">
        <f aca="false">ROUND(('기본-타자'!N66-'기본-타자'!Q66)/('기본-타자'!L66-'기본-타자'!X66-'기본-타자'!Q66+'기본-타자'!Z66),3)</f>
        <v>0.315</v>
      </c>
      <c r="R66" s="29" t="n">
        <f aca="false">ROUND('기본-타자'!AB66-'기본-타자'!AA66,3)</f>
        <v>0.066</v>
      </c>
      <c r="S66" s="29" t="n">
        <f aca="false">ROUND('기본-타자'!AC66-'기본-타자'!AA66,3)</f>
        <v>0.016</v>
      </c>
      <c r="T66" s="48" t="n">
        <f aca="false">'기본-타자'!AK66</f>
        <v>0</v>
      </c>
      <c r="U66" s="47" t="n">
        <f aca="false">'기본-타자'!AL66</f>
        <v>0</v>
      </c>
      <c r="V66" s="48" t="n">
        <f aca="false">'기본-타자'!AN66</f>
        <v>0</v>
      </c>
      <c r="W66" s="48" t="n">
        <f aca="false">'기본-타자'!AM66</f>
        <v>0</v>
      </c>
      <c r="X66" s="24" t="n">
        <f aca="false">'기본-타자'!AI66</f>
        <v>0</v>
      </c>
      <c r="Y66" s="24" t="n">
        <f aca="false">'기본-타자'!AJ66</f>
        <v>0</v>
      </c>
    </row>
    <row r="67" customFormat="false" ht="26.25" hidden="false" customHeight="true" outlineLevel="0" collapsed="false">
      <c r="A67" s="24" t="n">
        <f aca="false">'기본-타자'!A67</f>
        <v>66</v>
      </c>
      <c r="B67" s="24" t="str">
        <f aca="false">'기본-타자'!B67</f>
        <v>김선빈</v>
      </c>
      <c r="C67" s="24" t="str">
        <f aca="false">'기본-타자'!C67</f>
        <v>2B</v>
      </c>
      <c r="D67" s="24" t="str">
        <f aca="false">'기본-타자'!D67</f>
        <v>KIA</v>
      </c>
      <c r="E67" s="44" t="n">
        <f aca="false">'기본-타자'!E67</f>
        <v>2026</v>
      </c>
      <c r="F67" s="45" t="n">
        <f aca="false">ROUND((('기본-타자'!H67)+('기본-타자'!AG67*'기본-타자'!K67/600)+(20*'기본-타자'!K67/600))/'연도별 상수'!$U$46,2)</f>
        <v>0.34</v>
      </c>
      <c r="G67" s="9" t="n">
        <f aca="false">'기본-타자'!K67</f>
        <v>322</v>
      </c>
      <c r="H67" s="24" t="n">
        <f aca="false">'기본-타자'!O67+'기본-타자'!P67+'기본-타자'!Q67</f>
        <v>15</v>
      </c>
      <c r="I67" s="46" t="n">
        <f aca="false">ROUND('기본-타자'!AE67,3)</f>
        <v>0.313</v>
      </c>
      <c r="J67" s="47" t="n">
        <f aca="false">ROUND(((I67-'리그 타자'!$B$46)/'연도별 상수'!$T$46+'연도별 상수'!$W$46)*G67,1)</f>
        <v>33.1</v>
      </c>
      <c r="K67" s="27" t="n">
        <f aca="false">'기본-타자'!G67</f>
        <v>87.3</v>
      </c>
      <c r="L67" s="47" t="n">
        <f aca="false">ROUND(100*('기본-타자'!AB67/'리그 타자'!$R$46+'기본-타자'!AC67/'리그 타자'!$S$46-1)/'기본-타자'!AH67,1)</f>
        <v>80.9</v>
      </c>
      <c r="M67" s="24" t="n">
        <f aca="false">ROUND('기본-타자'!X67/G67*100,1)</f>
        <v>10.6</v>
      </c>
      <c r="N67" s="24" t="n">
        <f aca="false">ROUND('기본-타자'!U67/G67*100,1)</f>
        <v>12.7</v>
      </c>
      <c r="O67" s="9" t="n">
        <f aca="false">ROUND('기본-타자'!U67/'기본-타자'!X67,1)</f>
        <v>1.2</v>
      </c>
      <c r="P67" s="9" t="n">
        <f aca="false">ROUND('기본-타자'!Q67/G67*100,1)</f>
        <v>0.3</v>
      </c>
      <c r="Q67" s="9" t="n">
        <f aca="false">ROUND(('기본-타자'!N67-'기본-타자'!Q67)/('기본-타자'!L67-'기본-타자'!X67-'기본-타자'!Q67+'기본-타자'!Z67),3)</f>
        <v>0.273</v>
      </c>
      <c r="R67" s="29" t="n">
        <f aca="false">ROUND('기본-타자'!AB67-'기본-타자'!AA67,3)</f>
        <v>0.103</v>
      </c>
      <c r="S67" s="29" t="n">
        <f aca="false">ROUND('기본-타자'!AC67-'기본-타자'!AA67,3)</f>
        <v>0.061</v>
      </c>
      <c r="T67" s="48" t="n">
        <f aca="false">'기본-타자'!AK67</f>
        <v>0</v>
      </c>
      <c r="U67" s="47" t="n">
        <f aca="false">'기본-타자'!AL67</f>
        <v>0</v>
      </c>
      <c r="V67" s="48" t="n">
        <f aca="false">'기본-타자'!AN67</f>
        <v>0</v>
      </c>
      <c r="W67" s="48" t="n">
        <f aca="false">'기본-타자'!AM67</f>
        <v>0</v>
      </c>
      <c r="X67" s="24" t="n">
        <f aca="false">'기본-타자'!AI67</f>
        <v>0</v>
      </c>
      <c r="Y67" s="24" t="n">
        <f aca="false">'기본-타자'!AJ67</f>
        <v>0</v>
      </c>
    </row>
    <row r="68" customFormat="false" ht="26.25" hidden="false" customHeight="true" outlineLevel="0" collapsed="false">
      <c r="A68" s="24" t="n">
        <f aca="false">'기본-타자'!A68</f>
        <v>67</v>
      </c>
      <c r="B68" s="24" t="str">
        <f aca="false">'기본-타자'!B68</f>
        <v>김현수</v>
      </c>
      <c r="C68" s="24" t="str">
        <f aca="false">'기본-타자'!C68</f>
        <v>1B</v>
      </c>
      <c r="D68" s="24" t="str">
        <f aca="false">'기본-타자'!D68</f>
        <v>KT</v>
      </c>
      <c r="E68" s="44" t="n">
        <f aca="false">'기본-타자'!E68</f>
        <v>2026</v>
      </c>
      <c r="F68" s="45" t="n">
        <f aca="false">ROUND((('기본-타자'!H68)+('기본-타자'!AG68*'기본-타자'!K68/600)+(20*'기본-타자'!K68/600))/'연도별 상수'!$U$46,2)</f>
        <v>0.82</v>
      </c>
      <c r="G68" s="9" t="n">
        <f aca="false">'기본-타자'!K68</f>
        <v>369</v>
      </c>
      <c r="H68" s="24" t="n">
        <f aca="false">'기본-타자'!O68+'기본-타자'!P68+'기본-타자'!Q68</f>
        <v>28</v>
      </c>
      <c r="I68" s="46" t="n">
        <f aca="false">ROUND('기본-타자'!AE68,3)</f>
        <v>0.351</v>
      </c>
      <c r="J68" s="47" t="n">
        <f aca="false">ROUND(((I68-'리그 타자'!$B$46)/'연도별 상수'!$T$46+'연도별 상수'!$W$46)*G68,1)</f>
        <v>49.2</v>
      </c>
      <c r="K68" s="27" t="n">
        <f aca="false">'기본-타자'!G68</f>
        <v>95.9</v>
      </c>
      <c r="L68" s="47" t="n">
        <f aca="false">ROUND(100*('기본-타자'!AB68/'리그 타자'!$R$46+'기본-타자'!AC68/'리그 타자'!$S$46-1)/'기본-타자'!AH68,1)</f>
        <v>96</v>
      </c>
      <c r="M68" s="24" t="n">
        <f aca="false">ROUND('기본-타자'!X68/G68*100,1)</f>
        <v>10.6</v>
      </c>
      <c r="N68" s="24" t="n">
        <f aca="false">ROUND('기본-타자'!U68/G68*100,1)</f>
        <v>8.4</v>
      </c>
      <c r="O68" s="9" t="n">
        <f aca="false">ROUND('기본-타자'!U68/'기본-타자'!X68,1)</f>
        <v>0.8</v>
      </c>
      <c r="P68" s="9" t="n">
        <f aca="false">ROUND('기본-타자'!Q68/G68*100,1)</f>
        <v>1.6</v>
      </c>
      <c r="Q68" s="9" t="n">
        <f aca="false">ROUND(('기본-타자'!N68-'기본-타자'!Q68)/('기본-타자'!L68-'기본-타자'!X68-'기본-타자'!Q68+'기본-타자'!Z68),3)</f>
        <v>0.315</v>
      </c>
      <c r="R68" s="29" t="n">
        <f aca="false">ROUND('기본-타자'!AB68-'기본-타자'!AA68,3)</f>
        <v>0.059</v>
      </c>
      <c r="S68" s="29" t="n">
        <f aca="false">ROUND('기본-타자'!AC68-'기본-타자'!AA68,3)</f>
        <v>0.119</v>
      </c>
      <c r="T68" s="48" t="n">
        <f aca="false">'기본-타자'!AK68</f>
        <v>0</v>
      </c>
      <c r="U68" s="47" t="n">
        <f aca="false">'기본-타자'!AL68</f>
        <v>0</v>
      </c>
      <c r="V68" s="48" t="n">
        <f aca="false">'기본-타자'!AN68</f>
        <v>0</v>
      </c>
      <c r="W68" s="48" t="n">
        <f aca="false">'기본-타자'!AM68</f>
        <v>0</v>
      </c>
      <c r="X68" s="24" t="n">
        <f aca="false">'기본-타자'!AI68</f>
        <v>0</v>
      </c>
      <c r="Y68" s="24" t="n">
        <f aca="false">'기본-타자'!AJ68</f>
        <v>0</v>
      </c>
    </row>
    <row r="69" customFormat="false" ht="26.25" hidden="false" customHeight="true" outlineLevel="0" collapsed="false">
      <c r="A69" s="24" t="n">
        <f aca="false">'기본-타자'!A69</f>
        <v>68</v>
      </c>
      <c r="B69" s="24" t="str">
        <f aca="false">'기본-타자'!B69</f>
        <v>김민혁</v>
      </c>
      <c r="C69" s="24" t="str">
        <f aca="false">'기본-타자'!C69</f>
        <v>LF</v>
      </c>
      <c r="D69" s="24" t="str">
        <f aca="false">'기본-타자'!D69</f>
        <v>KT</v>
      </c>
      <c r="E69" s="44" t="n">
        <f aca="false">'기본-타자'!E69</f>
        <v>2026</v>
      </c>
      <c r="F69" s="45" t="n">
        <f aca="false">ROUND((('기본-타자'!H69)+('기본-타자'!AG69*'기본-타자'!K69/600)+(20*'기본-타자'!K69/600))/'연도별 상수'!$U$46,2)</f>
        <v>0.47</v>
      </c>
      <c r="G69" s="9" t="n">
        <f aca="false">'기본-타자'!K69</f>
        <v>252</v>
      </c>
      <c r="H69" s="24" t="n">
        <f aca="false">'기본-타자'!O69+'기본-타자'!P69+'기본-타자'!Q69</f>
        <v>6</v>
      </c>
      <c r="I69" s="46" t="n">
        <f aca="false">ROUND('기본-타자'!AE69,3)</f>
        <v>0.34</v>
      </c>
      <c r="J69" s="47" t="n">
        <f aca="false">ROUND(((I69-'리그 타자'!$B$46)/'연도별 상수'!$T$46+'연도별 상수'!$W$46)*G69,1)</f>
        <v>31.4</v>
      </c>
      <c r="K69" s="27" t="n">
        <f aca="false">'기본-타자'!G69</f>
        <v>89.1</v>
      </c>
      <c r="L69" s="47" t="n">
        <f aca="false">ROUND(100*('기본-타자'!AB69/'리그 타자'!$R$46+'기본-타자'!AC69/'리그 타자'!$S$46-1)/'기본-타자'!AH69,1)</f>
        <v>86.8</v>
      </c>
      <c r="M69" s="24" t="n">
        <f aca="false">ROUND('기본-타자'!X69/G69*100,1)</f>
        <v>14.3</v>
      </c>
      <c r="N69" s="24" t="n">
        <f aca="false">ROUND('기본-타자'!U69/G69*100,1)</f>
        <v>6.7</v>
      </c>
      <c r="O69" s="9" t="n">
        <f aca="false">ROUND('기본-타자'!U69/'기본-타자'!X69,1)</f>
        <v>0.5</v>
      </c>
      <c r="P69" s="9" t="n">
        <f aca="false">ROUND('기본-타자'!Q69/G69*100,1)</f>
        <v>0.4</v>
      </c>
      <c r="Q69" s="9" t="n">
        <f aca="false">ROUND(('기본-타자'!N69-'기본-타자'!Q69)/('기본-타자'!L69-'기본-타자'!X69-'기본-타자'!Q69+'기본-타자'!Z69),3)</f>
        <v>0.368</v>
      </c>
      <c r="R69" s="29" t="n">
        <f aca="false">ROUND('기본-타자'!AB69-'기본-타자'!AA69,3)</f>
        <v>0.057</v>
      </c>
      <c r="S69" s="29" t="n">
        <f aca="false">ROUND('기본-타자'!AC69-'기본-타자'!AA69,3)</f>
        <v>0.036</v>
      </c>
      <c r="T69" s="48" t="n">
        <f aca="false">'기본-타자'!AK69</f>
        <v>0</v>
      </c>
      <c r="U69" s="47" t="n">
        <f aca="false">'기본-타자'!AL69</f>
        <v>0</v>
      </c>
      <c r="V69" s="48" t="n">
        <f aca="false">'기본-타자'!AN69</f>
        <v>0</v>
      </c>
      <c r="W69" s="48" t="n">
        <f aca="false">'기본-타자'!AM69</f>
        <v>0</v>
      </c>
      <c r="X69" s="24" t="n">
        <f aca="false">'기본-타자'!AI69</f>
        <v>0</v>
      </c>
      <c r="Y69" s="24" t="n">
        <f aca="false">'기본-타자'!AJ69</f>
        <v>0</v>
      </c>
    </row>
    <row r="70" customFormat="false" ht="26.25" hidden="false" customHeight="true" outlineLevel="0" collapsed="false">
      <c r="A70" s="24" t="n">
        <f aca="false">'기본-타자'!A70</f>
        <v>69</v>
      </c>
      <c r="B70" s="24" t="str">
        <f aca="false">'기본-타자'!B70</f>
        <v>장성우</v>
      </c>
      <c r="C70" s="24" t="str">
        <f aca="false">'기본-타자'!C70</f>
        <v>DH</v>
      </c>
      <c r="D70" s="24" t="str">
        <f aca="false">'기본-타자'!D70</f>
        <v>KT</v>
      </c>
      <c r="E70" s="44" t="n">
        <f aca="false">'기본-타자'!E70</f>
        <v>2026</v>
      </c>
      <c r="F70" s="45" t="n">
        <f aca="false">ROUND((('기본-타자'!H70)+('기본-타자'!AG70*'기본-타자'!K70/600)+(20*'기본-타자'!K70/600))/'연도별 상수'!$U$46,2)</f>
        <v>0.33</v>
      </c>
      <c r="G70" s="9" t="n">
        <f aca="false">'기본-타자'!K70</f>
        <v>201</v>
      </c>
      <c r="H70" s="24" t="n">
        <f aca="false">'기본-타자'!O70+'기본-타자'!P70+'기본-타자'!Q70</f>
        <v>18</v>
      </c>
      <c r="I70" s="46" t="n">
        <f aca="false">ROUND('기본-타자'!AE70,3)</f>
        <v>0.354</v>
      </c>
      <c r="J70" s="47" t="n">
        <f aca="false">ROUND(((I70-'리그 타자'!$B$46)/'연도별 상수'!$T$46+'연도별 상수'!$W$46)*G70,1)</f>
        <v>27.3</v>
      </c>
      <c r="K70" s="27" t="n">
        <f aca="false">'기본-타자'!G70</f>
        <v>97.8</v>
      </c>
      <c r="L70" s="47" t="n">
        <f aca="false">ROUND(100*('기본-타자'!AB70/'리그 타자'!$R$46+'기본-타자'!AC70/'리그 타자'!$S$46-1)/'기본-타자'!AH70,1)</f>
        <v>98.5</v>
      </c>
      <c r="M70" s="24" t="n">
        <f aca="false">ROUND('기본-타자'!X70/G70*100,1)</f>
        <v>24.4</v>
      </c>
      <c r="N70" s="24" t="n">
        <f aca="false">ROUND('기본-타자'!U70/G70*100,1)</f>
        <v>18.4</v>
      </c>
      <c r="O70" s="9" t="n">
        <f aca="false">ROUND('기본-타자'!U70/'기본-타자'!X70,1)</f>
        <v>0.8</v>
      </c>
      <c r="P70" s="9" t="n">
        <f aca="false">ROUND('기본-타자'!Q70/G70*100,1)</f>
        <v>4</v>
      </c>
      <c r="Q70" s="9" t="n">
        <f aca="false">ROUND(('기본-타자'!N70-'기본-타자'!Q70)/('기본-타자'!L70-'기본-타자'!X70-'기본-타자'!Q70+'기본-타자'!Z70),3)</f>
        <v>0.238</v>
      </c>
      <c r="R70" s="29" t="n">
        <f aca="false">ROUND('기본-타자'!AB70-'기본-타자'!AA70,3)</f>
        <v>0.153</v>
      </c>
      <c r="S70" s="29" t="n">
        <f aca="false">ROUND('기본-타자'!AC70-'기본-타자'!AA70,3)</f>
        <v>0.211</v>
      </c>
      <c r="T70" s="48" t="n">
        <f aca="false">'기본-타자'!AK70</f>
        <v>0</v>
      </c>
      <c r="U70" s="47" t="n">
        <f aca="false">'기본-타자'!AL70</f>
        <v>0</v>
      </c>
      <c r="V70" s="48" t="n">
        <f aca="false">'기본-타자'!AN70</f>
        <v>0</v>
      </c>
      <c r="W70" s="48" t="n">
        <f aca="false">'기본-타자'!AM70</f>
        <v>0</v>
      </c>
      <c r="X70" s="24" t="n">
        <f aca="false">'기본-타자'!AI70</f>
        <v>0</v>
      </c>
      <c r="Y70" s="24" t="n">
        <f aca="false">'기본-타자'!AJ70</f>
        <v>0</v>
      </c>
    </row>
    <row r="71" customFormat="false" ht="26.25" hidden="false" customHeight="true" outlineLevel="0" collapsed="false">
      <c r="A71" s="24" t="n">
        <f aca="false">'기본-타자'!A71</f>
        <v>70</v>
      </c>
      <c r="B71" s="24" t="str">
        <f aca="false">'기본-타자'!B71</f>
        <v>박지훈</v>
      </c>
      <c r="C71" s="24" t="str">
        <f aca="false">'기본-타자'!C71</f>
        <v>3B</v>
      </c>
      <c r="D71" s="24" t="str">
        <f aca="false">'기본-타자'!D71</f>
        <v>DOO</v>
      </c>
      <c r="E71" s="44" t="n">
        <f aca="false">'기본-타자'!E71</f>
        <v>2026</v>
      </c>
      <c r="F71" s="45" t="n">
        <f aca="false">ROUND((('기본-타자'!H71)+('기본-타자'!AG71*'기본-타자'!K71/600)+(20*'기본-타자'!K71/600))/'연도별 상수'!$U$46,2)</f>
        <v>-0.06</v>
      </c>
      <c r="G71" s="9" t="n">
        <f aca="false">'기본-타자'!K71</f>
        <v>217</v>
      </c>
      <c r="H71" s="24" t="n">
        <f aca="false">'기본-타자'!O71+'기본-타자'!P71+'기본-타자'!Q71</f>
        <v>6</v>
      </c>
      <c r="I71" s="46" t="n">
        <f aca="false">ROUND('기본-타자'!AE71,3)</f>
        <v>0.305</v>
      </c>
      <c r="J71" s="47" t="n">
        <f aca="false">ROUND(((I71-'리그 타자'!$B$46)/'연도별 상수'!$T$46+'연도별 상수'!$W$46)*G71,1)</f>
        <v>20.9</v>
      </c>
      <c r="K71" s="27" t="n">
        <f aca="false">'기본-타자'!G71</f>
        <v>87.1</v>
      </c>
      <c r="L71" s="47" t="n">
        <f aca="false">ROUND(100*('기본-타자'!AB71/'리그 타자'!$R$46+'기본-타자'!AC71/'리그 타자'!$S$46-1)/'기본-타자'!AH71,1)</f>
        <v>80.3</v>
      </c>
      <c r="M71" s="24" t="n">
        <f aca="false">ROUND('기본-타자'!X71/G71*100,1)</f>
        <v>14.3</v>
      </c>
      <c r="N71" s="24" t="n">
        <f aca="false">ROUND('기본-타자'!U71/G71*100,1)</f>
        <v>8.8</v>
      </c>
      <c r="O71" s="9" t="n">
        <f aca="false">ROUND('기본-타자'!U71/'기본-타자'!X71,1)</f>
        <v>0.6</v>
      </c>
      <c r="P71" s="9" t="n">
        <f aca="false">ROUND('기본-타자'!Q71/G71*100,1)</f>
        <v>0</v>
      </c>
      <c r="Q71" s="9" t="n">
        <f aca="false">ROUND(('기본-타자'!N71-'기본-타자'!Q71)/('기본-타자'!L71-'기본-타자'!X71-'기본-타자'!Q71+'기본-타자'!Z71),3)</f>
        <v>0.305</v>
      </c>
      <c r="R71" s="29" t="n">
        <f aca="false">ROUND('기본-타자'!AB71-'기본-타자'!AA71,3)</f>
        <v>0.083</v>
      </c>
      <c r="S71" s="29" t="n">
        <f aca="false">ROUND('기본-타자'!AC71-'기본-타자'!AA71,3)</f>
        <v>0.043</v>
      </c>
      <c r="T71" s="48" t="n">
        <f aca="false">'기본-타자'!AK71</f>
        <v>0</v>
      </c>
      <c r="U71" s="47" t="n">
        <f aca="false">'기본-타자'!AL71</f>
        <v>0</v>
      </c>
      <c r="V71" s="48" t="n">
        <f aca="false">'기본-타자'!AN71</f>
        <v>0</v>
      </c>
      <c r="W71" s="48" t="n">
        <f aca="false">'기본-타자'!AM71</f>
        <v>0</v>
      </c>
      <c r="X71" s="24" t="n">
        <f aca="false">'기본-타자'!AI71</f>
        <v>0</v>
      </c>
      <c r="Y71" s="24" t="n">
        <f aca="false">'기본-타자'!AJ71</f>
        <v>0</v>
      </c>
    </row>
    <row r="72" customFormat="false" ht="26.25" hidden="false" customHeight="true" outlineLevel="0" collapsed="false">
      <c r="A72" s="24" t="n">
        <f aca="false">'기본-타자'!A72</f>
        <v>71</v>
      </c>
      <c r="B72" s="24" t="str">
        <f aca="false">'기본-타자'!B72</f>
        <v>오태곤</v>
      </c>
      <c r="C72" s="24" t="str">
        <f aca="false">'기본-타자'!C72</f>
        <v>1B</v>
      </c>
      <c r="D72" s="24" t="str">
        <f aca="false">'기본-타자'!D72</f>
        <v>SSG</v>
      </c>
      <c r="E72" s="44" t="n">
        <f aca="false">'기본-타자'!E72</f>
        <v>2026</v>
      </c>
      <c r="F72" s="45" t="n">
        <f aca="false">ROUND((('기본-타자'!H72)+('기본-타자'!AG72*'기본-타자'!K72/600)+(20*'기본-타자'!K72/600))/'연도별 상수'!$U$46,2)</f>
        <v>-0.09</v>
      </c>
      <c r="G72" s="9" t="n">
        <f aca="false">'기본-타자'!K72</f>
        <v>216</v>
      </c>
      <c r="H72" s="24" t="n">
        <f aca="false">'기본-타자'!O72+'기본-타자'!P72+'기본-타자'!Q72</f>
        <v>16</v>
      </c>
      <c r="I72" s="46" t="n">
        <f aca="false">ROUND('기본-타자'!AE72,3)</f>
        <v>0.313</v>
      </c>
      <c r="J72" s="47" t="n">
        <f aca="false">ROUND(((I72-'리그 타자'!$B$46)/'연도별 상수'!$T$46+'연도별 상수'!$W$46)*G72,1)</f>
        <v>22.2</v>
      </c>
      <c r="K72" s="27" t="n">
        <f aca="false">'기본-타자'!G72</f>
        <v>84.9</v>
      </c>
      <c r="L72" s="47" t="n">
        <f aca="false">ROUND(100*('기본-타자'!AB72/'리그 타자'!$R$46+'기본-타자'!AC72/'리그 타자'!$S$46-1)/'기본-타자'!AH72,1)</f>
        <v>88.2</v>
      </c>
      <c r="M72" s="24" t="n">
        <f aca="false">ROUND('기본-타자'!X72/G72*100,1)</f>
        <v>28.2</v>
      </c>
      <c r="N72" s="24" t="n">
        <f aca="false">ROUND('기본-타자'!U72/G72*100,1)</f>
        <v>7.4</v>
      </c>
      <c r="O72" s="9" t="n">
        <f aca="false">ROUND('기본-타자'!U72/'기본-타자'!X72,1)</f>
        <v>0.3</v>
      </c>
      <c r="P72" s="9" t="n">
        <f aca="false">ROUND('기본-타자'!Q72/G72*100,1)</f>
        <v>4.2</v>
      </c>
      <c r="Q72" s="9" t="n">
        <f aca="false">ROUND(('기본-타자'!N72-'기본-타자'!Q72)/('기본-타자'!L72-'기본-타자'!X72-'기본-타자'!Q72+'기본-타자'!Z72),3)</f>
        <v>0.281</v>
      </c>
      <c r="R72" s="29" t="n">
        <f aca="false">ROUND('기본-타자'!AB72-'기본-타자'!AA72,3)</f>
        <v>0.062</v>
      </c>
      <c r="S72" s="29" t="n">
        <f aca="false">ROUND('기본-타자'!AC72-'기본-타자'!AA72,3)</f>
        <v>0.173</v>
      </c>
      <c r="T72" s="48" t="n">
        <f aca="false">'기본-타자'!AK72</f>
        <v>0</v>
      </c>
      <c r="U72" s="47" t="n">
        <f aca="false">'기본-타자'!AL72</f>
        <v>0</v>
      </c>
      <c r="V72" s="48" t="n">
        <f aca="false">'기본-타자'!AN72</f>
        <v>0</v>
      </c>
      <c r="W72" s="48" t="n">
        <f aca="false">'기본-타자'!AM72</f>
        <v>0</v>
      </c>
      <c r="X72" s="24" t="n">
        <f aca="false">'기본-타자'!AI72</f>
        <v>0</v>
      </c>
      <c r="Y72" s="24" t="n">
        <f aca="false">'기본-타자'!AJ72</f>
        <v>0</v>
      </c>
    </row>
    <row r="73" customFormat="false" ht="26.25" hidden="false" customHeight="true" outlineLevel="0" collapsed="false">
      <c r="A73" s="24" t="n">
        <f aca="false">'기본-타자'!A73</f>
        <v>72</v>
      </c>
      <c r="B73" s="24" t="str">
        <f aca="false">'기본-타자'!B73</f>
        <v>안치홍</v>
      </c>
      <c r="C73" s="24" t="str">
        <f aca="false">'기본-타자'!C73</f>
        <v>DH</v>
      </c>
      <c r="D73" s="24" t="str">
        <f aca="false">'기본-타자'!D73</f>
        <v>KIW</v>
      </c>
      <c r="E73" s="44" t="n">
        <f aca="false">'기본-타자'!E73</f>
        <v>2026</v>
      </c>
      <c r="F73" s="45" t="n">
        <f aca="false">ROUND((('기본-타자'!H73)+('기본-타자'!AG73*'기본-타자'!K73/600)+(20*'기본-타자'!K73/600))/'연도별 상수'!$U$46,2)</f>
        <v>0.14</v>
      </c>
      <c r="G73" s="9" t="n">
        <f aca="false">'기본-타자'!K73</f>
        <v>313</v>
      </c>
      <c r="H73" s="24" t="n">
        <f aca="false">'기본-타자'!O73+'기본-타자'!P73+'기본-타자'!Q73</f>
        <v>18</v>
      </c>
      <c r="I73" s="46" t="n">
        <f aca="false">ROUND('기본-타자'!AE73,3)</f>
        <v>0.34</v>
      </c>
      <c r="J73" s="47" t="n">
        <f aca="false">ROUND(((I73-'리그 타자'!$B$46)/'연도별 상수'!$T$46+'연도별 상수'!$W$46)*G73,1)</f>
        <v>39</v>
      </c>
      <c r="K73" s="27" t="n">
        <f aca="false">'기본-타자'!G73</f>
        <v>102.9</v>
      </c>
      <c r="L73" s="47" t="n">
        <f aca="false">ROUND(100*('기본-타자'!AB73/'리그 타자'!$R$46+'기본-타자'!AC73/'리그 타자'!$S$46-1)/'기본-타자'!AH73,1)</f>
        <v>102.8</v>
      </c>
      <c r="M73" s="24" t="n">
        <f aca="false">ROUND('기본-타자'!X73/G73*100,1)</f>
        <v>14.4</v>
      </c>
      <c r="N73" s="24" t="n">
        <f aca="false">ROUND('기본-타자'!U73/G73*100,1)</f>
        <v>9.9</v>
      </c>
      <c r="O73" s="9" t="n">
        <f aca="false">ROUND('기본-타자'!U73/'기본-타자'!X73,1)</f>
        <v>0.7</v>
      </c>
      <c r="P73" s="9" t="n">
        <f aca="false">ROUND('기본-타자'!Q73/G73*100,1)</f>
        <v>1.9</v>
      </c>
      <c r="Q73" s="9" t="n">
        <f aca="false">ROUND(('기본-타자'!N73-'기본-타자'!Q73)/('기본-타자'!L73-'기본-타자'!X73-'기본-타자'!Q73+'기본-타자'!Z73),3)</f>
        <v>0.31</v>
      </c>
      <c r="R73" s="29" t="n">
        <f aca="false">ROUND('기본-타자'!AB73-'기본-타자'!AA73,3)</f>
        <v>0.074</v>
      </c>
      <c r="S73" s="29" t="n">
        <f aca="false">ROUND('기본-타자'!AC73-'기본-타자'!AA73,3)</f>
        <v>0.108</v>
      </c>
      <c r="T73" s="48" t="n">
        <f aca="false">'기본-타자'!AK73</f>
        <v>0</v>
      </c>
      <c r="U73" s="47" t="n">
        <f aca="false">'기본-타자'!AL73</f>
        <v>0</v>
      </c>
      <c r="V73" s="48" t="n">
        <f aca="false">'기본-타자'!AN73</f>
        <v>0</v>
      </c>
      <c r="W73" s="48" t="n">
        <f aca="false">'기본-타자'!AM73</f>
        <v>0</v>
      </c>
      <c r="X73" s="24" t="n">
        <f aca="false">'기본-타자'!AI73</f>
        <v>0</v>
      </c>
      <c r="Y73" s="24" t="n">
        <f aca="false">'기본-타자'!AJ73</f>
        <v>0</v>
      </c>
    </row>
    <row r="74" customFormat="false" ht="26.25" hidden="false" customHeight="true" outlineLevel="0" collapsed="false">
      <c r="A74" s="24" t="n">
        <f aca="false">'기본-타자'!A74</f>
        <v>73</v>
      </c>
      <c r="B74" s="24" t="str">
        <f aca="false">'기본-타자'!B74</f>
        <v>김재환</v>
      </c>
      <c r="C74" s="24" t="str">
        <f aca="false">'기본-타자'!C74</f>
        <v>DH</v>
      </c>
      <c r="D74" s="24" t="str">
        <f aca="false">'기본-타자'!D74</f>
        <v>SSG</v>
      </c>
      <c r="E74" s="44" t="n">
        <f aca="false">'기본-타자'!E74</f>
        <v>2026</v>
      </c>
      <c r="F74" s="45" t="n">
        <f aca="false">ROUND((('기본-타자'!H74)+('기본-타자'!AG74*'기본-타자'!K74/600)+(20*'기본-타자'!K74/600))/'연도별 상수'!$U$46,2)</f>
        <v>0.02</v>
      </c>
      <c r="G74" s="9" t="n">
        <f aca="false">'기본-타자'!K74</f>
        <v>296</v>
      </c>
      <c r="H74" s="24" t="n">
        <f aca="false">'기본-타자'!O74+'기본-타자'!P74+'기본-타자'!Q74</f>
        <v>18</v>
      </c>
      <c r="I74" s="46" t="n">
        <f aca="false">ROUND('기본-타자'!AE74,3)</f>
        <v>0.336</v>
      </c>
      <c r="J74" s="47" t="n">
        <f aca="false">ROUND(((I74-'리그 타자'!$B$46)/'연도별 상수'!$T$46+'연도별 상수'!$W$46)*G74,1)</f>
        <v>35.9</v>
      </c>
      <c r="K74" s="27" t="n">
        <f aca="false">'기본-타자'!G74</f>
        <v>99.2</v>
      </c>
      <c r="L74" s="47" t="n">
        <f aca="false">ROUND(100*('기본-타자'!AB74/'리그 타자'!$R$46+'기본-타자'!AC74/'리그 타자'!$S$46-1)/'기본-타자'!AH74,1)</f>
        <v>96.3</v>
      </c>
      <c r="M74" s="24" t="n">
        <f aca="false">ROUND('기본-타자'!X74/G74*100,1)</f>
        <v>28.4</v>
      </c>
      <c r="N74" s="24" t="n">
        <f aca="false">ROUND('기본-타자'!U74/G74*100,1)</f>
        <v>15.2</v>
      </c>
      <c r="O74" s="9" t="n">
        <f aca="false">ROUND('기본-타자'!U74/'기본-타자'!X74,1)</f>
        <v>0.5</v>
      </c>
      <c r="P74" s="9" t="n">
        <f aca="false">ROUND('기본-타자'!Q74/G74*100,1)</f>
        <v>4.4</v>
      </c>
      <c r="Q74" s="9" t="n">
        <f aca="false">ROUND(('기본-타자'!N74-'기본-타자'!Q74)/('기본-타자'!L74-'기본-타자'!X74-'기본-타자'!Q74+'기본-타자'!Z74),3)</f>
        <v>0.252</v>
      </c>
      <c r="R74" s="29" t="n">
        <f aca="false">ROUND('기본-타자'!AB74-'기본-타자'!AA74,3)</f>
        <v>0.128</v>
      </c>
      <c r="S74" s="29" t="n">
        <f aca="false">ROUND('기본-타자'!AC74-'기본-타자'!AA74,3)</f>
        <v>0.179</v>
      </c>
      <c r="T74" s="48" t="n">
        <f aca="false">'기본-타자'!AK74</f>
        <v>0</v>
      </c>
      <c r="U74" s="47" t="n">
        <f aca="false">'기본-타자'!AL74</f>
        <v>0</v>
      </c>
      <c r="V74" s="48" t="n">
        <f aca="false">'기본-타자'!AN74</f>
        <v>0</v>
      </c>
      <c r="W74" s="48" t="n">
        <f aca="false">'기본-타자'!AM74</f>
        <v>0</v>
      </c>
      <c r="X74" s="24" t="n">
        <f aca="false">'기본-타자'!AI74</f>
        <v>0</v>
      </c>
      <c r="Y74" s="24" t="n">
        <f aca="false">'기본-타자'!AJ74</f>
        <v>0</v>
      </c>
    </row>
    <row r="75" customFormat="false" ht="26.25" hidden="false" customHeight="true" outlineLevel="0" collapsed="false">
      <c r="A75" s="24" t="n">
        <f aca="false">'기본-타자'!A75</f>
        <v>74</v>
      </c>
      <c r="B75" s="24" t="str">
        <f aca="false">'기본-타자'!B75</f>
        <v>최주환</v>
      </c>
      <c r="C75" s="24" t="str">
        <f aca="false">'기본-타자'!C75</f>
        <v>1B</v>
      </c>
      <c r="D75" s="24" t="str">
        <f aca="false">'기본-타자'!D75</f>
        <v>KIW</v>
      </c>
      <c r="E75" s="44" t="n">
        <f aca="false">'기본-타자'!E75</f>
        <v>2026</v>
      </c>
      <c r="F75" s="45" t="n">
        <f aca="false">ROUND((('기본-타자'!H75)+('기본-타자'!AG75*'기본-타자'!K75/600)+(20*'기본-타자'!K75/600))/'연도별 상수'!$U$46,2)</f>
        <v>-0.36</v>
      </c>
      <c r="G75" s="9" t="n">
        <f aca="false">'기본-타자'!K75</f>
        <v>277</v>
      </c>
      <c r="H75" s="24" t="n">
        <f aca="false">'기본-타자'!O75+'기본-타자'!P75+'기본-타자'!Q75</f>
        <v>14</v>
      </c>
      <c r="I75" s="46" t="n">
        <f aca="false">ROUND('기본-타자'!AE75,3)</f>
        <v>0.305</v>
      </c>
      <c r="J75" s="47" t="n">
        <f aca="false">ROUND(((I75-'리그 타자'!$B$46)/'연도별 상수'!$T$46+'연도별 상수'!$W$46)*G75,1)</f>
        <v>26.7</v>
      </c>
      <c r="K75" s="27" t="n">
        <f aca="false">'기본-타자'!G75</f>
        <v>81.1</v>
      </c>
      <c r="L75" s="47" t="n">
        <f aca="false">ROUND(100*('기본-타자'!AB75/'리그 타자'!$R$46+'기본-타자'!AC75/'리그 타자'!$S$46-1)/'기본-타자'!AH75,1)</f>
        <v>78.1</v>
      </c>
      <c r="M75" s="24" t="n">
        <f aca="false">ROUND('기본-타자'!X75/G75*100,1)</f>
        <v>13.7</v>
      </c>
      <c r="N75" s="24" t="n">
        <f aca="false">ROUND('기본-타자'!U75/G75*100,1)</f>
        <v>11.6</v>
      </c>
      <c r="O75" s="9" t="n">
        <f aca="false">ROUND('기본-타자'!U75/'기본-타자'!X75,1)</f>
        <v>0.8</v>
      </c>
      <c r="P75" s="9" t="n">
        <f aca="false">ROUND('기본-타자'!Q75/G75*100,1)</f>
        <v>1.1</v>
      </c>
      <c r="Q75" s="9" t="n">
        <f aca="false">ROUND(('기본-타자'!N75-'기본-타자'!Q75)/('기본-타자'!L75-'기본-타자'!X75-'기본-타자'!Q75+'기본-타자'!Z75),3)</f>
        <v>0.265</v>
      </c>
      <c r="R75" s="29" t="n">
        <f aca="false">ROUND('기본-타자'!AB75-'기본-타자'!AA75,3)</f>
        <v>0.091</v>
      </c>
      <c r="S75" s="29" t="n">
        <f aca="false">ROUND('기본-타자'!AC75-'기본-타자'!AA75,3)</f>
        <v>0.088</v>
      </c>
      <c r="T75" s="48" t="n">
        <f aca="false">'기본-타자'!AK75</f>
        <v>0</v>
      </c>
      <c r="U75" s="47" t="n">
        <f aca="false">'기본-타자'!AL75</f>
        <v>0</v>
      </c>
      <c r="V75" s="48" t="n">
        <f aca="false">'기본-타자'!AN75</f>
        <v>0</v>
      </c>
      <c r="W75" s="48" t="n">
        <f aca="false">'기본-타자'!AM75</f>
        <v>0</v>
      </c>
      <c r="X75" s="24" t="n">
        <f aca="false">'기본-타자'!AI75</f>
        <v>0</v>
      </c>
      <c r="Y75" s="24" t="n">
        <f aca="false">'기본-타자'!AJ75</f>
        <v>0</v>
      </c>
    </row>
    <row r="76" customFormat="false" ht="26.25" hidden="false" customHeight="true" outlineLevel="0" collapsed="false">
      <c r="A76" s="24" t="n">
        <f aca="false">'기본-타자'!A76</f>
        <v>75</v>
      </c>
      <c r="B76" s="24" t="str">
        <f aca="false">'기본-타자'!B76</f>
        <v>나승엽</v>
      </c>
      <c r="C76" s="24" t="str">
        <f aca="false">'기본-타자'!C76</f>
        <v>1B</v>
      </c>
      <c r="D76" s="24" t="str">
        <f aca="false">'기본-타자'!D76</f>
        <v>LOT</v>
      </c>
      <c r="E76" s="44" t="n">
        <f aca="false">'기본-타자'!E76</f>
        <v>2026</v>
      </c>
      <c r="F76" s="45" t="n">
        <f aca="false">ROUND((('기본-타자'!H76)+('기본-타자'!AG76*'기본-타자'!K76/600)+(20*'기본-타자'!K76/600))/'연도별 상수'!$U$46,2)</f>
        <v>-0.13</v>
      </c>
      <c r="G76" s="9" t="n">
        <f aca="false">'기본-타자'!K76</f>
        <v>188</v>
      </c>
      <c r="H76" s="24" t="n">
        <f aca="false">'기본-타자'!O76+'기본-타자'!P76+'기본-타자'!Q76</f>
        <v>12</v>
      </c>
      <c r="I76" s="46" t="n">
        <f aca="false">ROUND('기본-타자'!AE76,3)</f>
        <v>0.302</v>
      </c>
      <c r="J76" s="47" t="n">
        <f aca="false">ROUND(((I76-'리그 타자'!$B$46)/'연도별 상수'!$T$46+'연도별 상수'!$W$46)*G76,1)</f>
        <v>17.6</v>
      </c>
      <c r="K76" s="27" t="n">
        <f aca="false">'기본-타자'!G76</f>
        <v>56</v>
      </c>
      <c r="L76" s="47" t="n">
        <f aca="false">ROUND(100*('기본-타자'!AB76/'리그 타자'!$R$46+'기본-타자'!AC76/'리그 타자'!$S$46-1)/'기본-타자'!AH76,1)</f>
        <v>63.7</v>
      </c>
      <c r="M76" s="24" t="n">
        <f aca="false">ROUND('기본-타자'!X76/G76*100,1)</f>
        <v>16.5</v>
      </c>
      <c r="N76" s="24" t="n">
        <f aca="false">ROUND('기본-타자'!U76/G76*100,1)</f>
        <v>9.6</v>
      </c>
      <c r="O76" s="9" t="n">
        <f aca="false">ROUND('기본-타자'!U76/'기본-타자'!X76,1)</f>
        <v>0.6</v>
      </c>
      <c r="P76" s="9" t="n">
        <f aca="false">ROUND('기본-타자'!Q76/G76*100,1)</f>
        <v>2.7</v>
      </c>
      <c r="Q76" s="9" t="n">
        <f aca="false">ROUND(('기본-타자'!N76-'기본-타자'!Q76)/('기본-타자'!L76-'기본-타자'!X76-'기본-타자'!Q76+'기본-타자'!Z76),3)</f>
        <v>0.246</v>
      </c>
      <c r="R76" s="29" t="n">
        <f aca="false">ROUND('기본-타자'!AB76-'기본-타자'!AA76,3)</f>
        <v>0.07</v>
      </c>
      <c r="S76" s="29" t="n">
        <f aca="false">ROUND('기본-타자'!AC76-'기본-타자'!AA76,3)</f>
        <v>0.131</v>
      </c>
      <c r="T76" s="48" t="n">
        <f aca="false">'기본-타자'!AK76</f>
        <v>0</v>
      </c>
      <c r="U76" s="47" t="n">
        <f aca="false">'기본-타자'!AL76</f>
        <v>0</v>
      </c>
      <c r="V76" s="48" t="n">
        <f aca="false">'기본-타자'!AN76</f>
        <v>0</v>
      </c>
      <c r="W76" s="48" t="n">
        <f aca="false">'기본-타자'!AM76</f>
        <v>0</v>
      </c>
      <c r="X76" s="24" t="n">
        <f aca="false">'기본-타자'!AI76</f>
        <v>0</v>
      </c>
      <c r="Y76" s="24" t="n">
        <f aca="false">'기본-타자'!AJ76</f>
        <v>0</v>
      </c>
    </row>
    <row r="77" customFormat="false" ht="26.25" hidden="false" customHeight="true" outlineLevel="0" collapsed="false">
      <c r="A77" s="24" t="n">
        <f aca="false">'기본-타자'!A77</f>
        <v>76</v>
      </c>
      <c r="B77" s="24" t="str">
        <f aca="false">'기본-타자'!B77</f>
        <v>전준우</v>
      </c>
      <c r="C77" s="24" t="str">
        <f aca="false">'기본-타자'!C77</f>
        <v>DH</v>
      </c>
      <c r="D77" s="24" t="str">
        <f aca="false">'기본-타자'!D77</f>
        <v>LOT</v>
      </c>
      <c r="E77" s="44" t="n">
        <f aca="false">'기본-타자'!E77</f>
        <v>2026</v>
      </c>
      <c r="F77" s="45" t="n">
        <f aca="false">ROUND((('기본-타자'!H77)+('기본-타자'!AG77*'기본-타자'!K77/600)+(20*'기본-타자'!K77/600))/'연도별 상수'!$U$46,2)</f>
        <v>-0.87</v>
      </c>
      <c r="G77" s="9" t="n">
        <f aca="false">'기본-타자'!K77</f>
        <v>193</v>
      </c>
      <c r="H77" s="24" t="n">
        <f aca="false">'기본-타자'!O77+'기본-타자'!P77+'기본-타자'!Q77</f>
        <v>8</v>
      </c>
      <c r="I77" s="46" t="n">
        <f aca="false">ROUND('기본-타자'!AE77,3)</f>
        <v>0.265</v>
      </c>
      <c r="J77" s="47" t="n">
        <f aca="false">ROUND(((I77-'리그 타자'!$B$46)/'연도별 상수'!$T$46+'연도별 상수'!$W$46)*G77,1)</f>
        <v>12.3</v>
      </c>
      <c r="K77" s="27" t="n">
        <f aca="false">'기본-타자'!G77</f>
        <v>33</v>
      </c>
      <c r="L77" s="47" t="n">
        <f aca="false">ROUND(100*('기본-타자'!AB77/'리그 타자'!$R$46+'기본-타자'!AC77/'리그 타자'!$S$46-1)/'기본-타자'!AH77,1)</f>
        <v>43.8</v>
      </c>
      <c r="M77" s="24" t="n">
        <f aca="false">ROUND('기본-타자'!X77/G77*100,1)</f>
        <v>15</v>
      </c>
      <c r="N77" s="24" t="n">
        <f aca="false">ROUND('기본-타자'!U77/G77*100,1)</f>
        <v>6.7</v>
      </c>
      <c r="O77" s="9" t="n">
        <f aca="false">ROUND('기본-타자'!U77/'기본-타자'!X77,1)</f>
        <v>0.4</v>
      </c>
      <c r="P77" s="9" t="n">
        <f aca="false">ROUND('기본-타자'!Q77/G77*100,1)</f>
        <v>1</v>
      </c>
      <c r="Q77" s="9" t="n">
        <f aca="false">ROUND(('기본-타자'!N77-'기본-타자'!Q77)/('기본-타자'!L77-'기본-타자'!X77-'기본-타자'!Q77+'기본-타자'!Z77),3)</f>
        <v>0.255</v>
      </c>
      <c r="R77" s="29" t="n">
        <f aca="false">ROUND('기본-타자'!AB77-'기본-타자'!AA77,3)</f>
        <v>0.05</v>
      </c>
      <c r="S77" s="29" t="n">
        <f aca="false">ROUND('기본-타자'!AC77-'기본-타자'!AA77,3)</f>
        <v>0.067</v>
      </c>
      <c r="T77" s="48" t="n">
        <f aca="false">'기본-타자'!AK77</f>
        <v>0</v>
      </c>
      <c r="U77" s="47" t="n">
        <f aca="false">'기본-타자'!AL77</f>
        <v>0</v>
      </c>
      <c r="V77" s="48" t="n">
        <f aca="false">'기본-타자'!AN77</f>
        <v>0</v>
      </c>
      <c r="W77" s="48" t="n">
        <f aca="false">'기본-타자'!AM77</f>
        <v>0</v>
      </c>
      <c r="X77" s="24" t="n">
        <f aca="false">'기본-타자'!AI77</f>
        <v>0</v>
      </c>
      <c r="Y77" s="24" t="n">
        <f aca="false">'기본-타자'!AJ77</f>
        <v>0</v>
      </c>
    </row>
  </sheetData>
  <conditionalFormatting sqref="L1:L1048576">
    <cfRule type="colorScale" priority="2">
      <colorScale>
        <cfvo type="min" val="0"/>
        <cfvo type="percentile" val="50"/>
        <cfvo type="max" val="0"/>
        <color rgb="FF5A8AC6"/>
        <color rgb="FFFFFFFF"/>
        <color rgb="FFF8696B"/>
      </colorScale>
    </cfRule>
  </conditionalFormatting>
  <conditionalFormatting sqref="K1:K1048576">
    <cfRule type="colorScale" priority="3">
      <colorScale>
        <cfvo type="min" val="0"/>
        <cfvo type="percentile" val="50"/>
        <cfvo type="max" val="0"/>
        <color rgb="FF5A8AC6"/>
        <color rgb="FFFFFFFF"/>
        <color rgb="FFF8696B"/>
      </colorScale>
    </cfRule>
  </conditionalFormatting>
  <conditionalFormatting sqref="J1:J1048576">
    <cfRule type="colorScale" priority="4">
      <colorScale>
        <cfvo type="min" val="0"/>
        <cfvo type="percentile" val="50"/>
        <cfvo type="max" val="0"/>
        <color rgb="FF5A8AC6"/>
        <color rgb="FFFFFFFF"/>
        <color rgb="FFF8696B"/>
      </colorScale>
    </cfRule>
  </conditionalFormatting>
  <conditionalFormatting sqref="I1:I1048576">
    <cfRule type="colorScale" priority="5">
      <colorScale>
        <cfvo type="min" val="0"/>
        <cfvo type="percentile" val="50"/>
        <cfvo type="max" val="0"/>
        <color rgb="FF5A8AC6"/>
        <color rgb="FFFFFFFF"/>
        <color rgb="FFF8696B"/>
      </colorScale>
    </cfRule>
  </conditionalFormatting>
  <conditionalFormatting sqref="H1:H1048576">
    <cfRule type="colorScale" priority="6">
      <colorScale>
        <cfvo type="min" val="0"/>
        <cfvo type="percentile" val="50"/>
        <cfvo type="max" val="0"/>
        <color rgb="FF5A8AC6"/>
        <color rgb="FFFFFFFF"/>
        <color rgb="FFF8696B"/>
      </colorScale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4.78125" defaultRowHeight="26.25" customHeight="true" zeroHeight="false" outlineLevelRow="0" outlineLevelCol="0"/>
  <cols>
    <col collapsed="false" customWidth="true" hidden="false" outlineLevel="0" max="1" min="1" style="1" width="4.07"/>
    <col collapsed="false" customWidth="true" hidden="false" outlineLevel="0" max="2" min="2" style="1" width="11.28"/>
    <col collapsed="false" customWidth="true" hidden="false" outlineLevel="0" max="3" min="3" style="1" width="3.78"/>
    <col collapsed="false" customWidth="true" hidden="false" outlineLevel="0" max="4" min="4" style="1" width="5.78"/>
    <col collapsed="false" customWidth="true" hidden="false" outlineLevel="0" max="5" min="5" style="1" width="6.17"/>
    <col collapsed="false" customWidth="true" hidden="false" outlineLevel="0" max="6" min="6" style="49" width="11.28"/>
    <col collapsed="false" customWidth="true" hidden="false" outlineLevel="0" max="7" min="7" style="49" width="8.28"/>
    <col collapsed="false" customWidth="true" hidden="false" outlineLevel="0" max="8" min="8" style="50" width="8.78"/>
    <col collapsed="false" customWidth="true" hidden="false" outlineLevel="0" max="23" min="9" style="7" width="3.78"/>
    <col collapsed="false" customWidth="false" hidden="false" outlineLevel="0" max="24" min="24" style="7" width="4.78"/>
    <col collapsed="false" customWidth="true" hidden="false" outlineLevel="0" max="25" min="25" style="7" width="4.98"/>
    <col collapsed="false" customWidth="true" hidden="false" outlineLevel="0" max="26" min="26" style="7" width="10.1"/>
    <col collapsed="false" customWidth="false" hidden="false" outlineLevel="0" max="16369" min="27" style="7" width="4.78"/>
    <col collapsed="false" customWidth="true" hidden="false" outlineLevel="0" max="16384" min="16370" style="7" width="8.79"/>
  </cols>
  <sheetData>
    <row r="1" s="51" customFormat="true" ht="34.5" hidden="false" customHeight="true" outlineLevel="0" collapsed="false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2" t="s">
        <v>139</v>
      </c>
      <c r="G1" s="53" t="s">
        <v>40</v>
      </c>
      <c r="H1" s="54" t="s">
        <v>140</v>
      </c>
      <c r="I1" s="51" t="str">
        <f aca="false">'연도별 상수'!$AE3</f>
        <v>1B</v>
      </c>
      <c r="J1" s="51" t="str">
        <f aca="false">'연도별 상수'!$AE4</f>
        <v>2B</v>
      </c>
      <c r="K1" s="51" t="str">
        <f aca="false">'연도별 상수'!$AE5</f>
        <v>3B</v>
      </c>
      <c r="L1" s="51" t="str">
        <f aca="false">'연도별 상수'!$AE6</f>
        <v>SS</v>
      </c>
      <c r="M1" s="51" t="str">
        <f aca="false">'연도별 상수'!$AE7</f>
        <v>LF</v>
      </c>
      <c r="N1" s="51" t="str">
        <f aca="false">'연도별 상수'!$AE8</f>
        <v>CF</v>
      </c>
      <c r="O1" s="51" t="str">
        <f aca="false">'연도별 상수'!$AE9</f>
        <v>RF</v>
      </c>
      <c r="P1" s="51" t="s">
        <v>140</v>
      </c>
      <c r="Q1" s="51" t="str">
        <f aca="false">'연도별 상수'!$AE3</f>
        <v>1B</v>
      </c>
      <c r="R1" s="51" t="str">
        <f aca="false">'연도별 상수'!$AE4</f>
        <v>2B</v>
      </c>
      <c r="S1" s="51" t="str">
        <f aca="false">'연도별 상수'!$AE5</f>
        <v>3B</v>
      </c>
      <c r="T1" s="51" t="str">
        <f aca="false">'연도별 상수'!$AE6</f>
        <v>SS</v>
      </c>
      <c r="U1" s="51" t="str">
        <f aca="false">'연도별 상수'!$AE7</f>
        <v>LF</v>
      </c>
      <c r="V1" s="51" t="str">
        <f aca="false">'연도별 상수'!$AE8</f>
        <v>CF</v>
      </c>
      <c r="W1" s="51" t="str">
        <f aca="false">'연도별 상수'!$AE9</f>
        <v>RF</v>
      </c>
      <c r="X1" s="51" t="n">
        <f aca="false">SUM(I2:L9566)</f>
        <v>-25</v>
      </c>
      <c r="Y1" s="51" t="n">
        <f aca="false">SUM(M2:O9566)</f>
        <v>-12</v>
      </c>
      <c r="Z1" s="51" t="n">
        <f aca="false">SUM(X1:Y1)</f>
        <v>-37</v>
      </c>
    </row>
    <row r="2" customFormat="false" ht="26.25" hidden="false" customHeight="true" outlineLevel="0" collapsed="false">
      <c r="A2" s="24" t="n">
        <v>1</v>
      </c>
      <c r="B2" s="55" t="s">
        <v>57</v>
      </c>
      <c r="C2" s="1" t="s">
        <v>141</v>
      </c>
      <c r="D2" s="1" t="s">
        <v>43</v>
      </c>
      <c r="E2" s="1" t="n">
        <f aca="false">'연도별 상수'!$A$46</f>
        <v>2026</v>
      </c>
      <c r="F2" s="1" t="n">
        <f aca="false">ROUND((I2*0.65)+(J2*0.7)+(K2*0.65)+(L2*0.75)+(M2*0.65)+(N2*0.8)+(O2*0.7),0)</f>
        <v>5</v>
      </c>
      <c r="G2" s="56" t="n">
        <f aca="false">SUM(I2:O2)</f>
        <v>6</v>
      </c>
      <c r="H2" s="57" t="n">
        <f aca="false">SUM(Q2:W2)</f>
        <v>255.333333333333</v>
      </c>
      <c r="N2" s="7" t="n">
        <v>6</v>
      </c>
      <c r="V2" s="7" t="n">
        <f aca="false">255+1/3</f>
        <v>255.333333333333</v>
      </c>
      <c r="X2" s="58"/>
    </row>
    <row r="3" customFormat="false" ht="26.25" hidden="false" customHeight="true" outlineLevel="0" collapsed="false">
      <c r="A3" s="24" t="n">
        <v>2</v>
      </c>
      <c r="B3" s="55" t="s">
        <v>99</v>
      </c>
      <c r="C3" s="1" t="s">
        <v>14</v>
      </c>
      <c r="D3" s="1" t="s">
        <v>43</v>
      </c>
      <c r="E3" s="1" t="n">
        <f aca="false">'연도별 상수'!$A$46</f>
        <v>2026</v>
      </c>
      <c r="F3" s="1" t="n">
        <f aca="false">ROUND((I3*0.65)+(J3*0.7)+(K3*0.65)+(L3*0.75)+(M3*0.65)+(N3*0.8)+(O3*0.7),0)</f>
        <v>4</v>
      </c>
      <c r="G3" s="56" t="n">
        <f aca="false">SUM(I3:O3)</f>
        <v>5</v>
      </c>
      <c r="H3" s="57" t="n">
        <f aca="false">SUM(Q3:W3)</f>
        <v>239.333333333333</v>
      </c>
      <c r="J3" s="7" t="n">
        <v>5</v>
      </c>
      <c r="R3" s="7" t="n">
        <f aca="false">239+1/3</f>
        <v>239.333333333333</v>
      </c>
      <c r="X3" s="58"/>
    </row>
    <row r="4" customFormat="false" ht="26.25" hidden="false" customHeight="true" outlineLevel="0" collapsed="false">
      <c r="A4" s="24" t="n">
        <v>3</v>
      </c>
      <c r="B4" s="55" t="s">
        <v>53</v>
      </c>
      <c r="C4" s="1" t="s">
        <v>142</v>
      </c>
      <c r="D4" s="1" t="s">
        <v>54</v>
      </c>
      <c r="E4" s="1" t="n">
        <f aca="false">'연도별 상수'!$A$46</f>
        <v>2026</v>
      </c>
      <c r="F4" s="1" t="n">
        <f aca="false">ROUND((I4*0.65)+(J4*0.7)+(K4*0.65)+(L4*0.75)+(M4*0.65)+(N4*0.8)+(O4*0.7),0)</f>
        <v>3</v>
      </c>
      <c r="G4" s="56" t="n">
        <f aca="false">SUM(I4:O4)</f>
        <v>4</v>
      </c>
      <c r="H4" s="57" t="n">
        <f aca="false">SUM(Q4:W4)</f>
        <v>267</v>
      </c>
      <c r="L4" s="7" t="n">
        <v>4</v>
      </c>
      <c r="T4" s="7" t="n">
        <v>267</v>
      </c>
      <c r="X4" s="58"/>
    </row>
    <row r="5" customFormat="false" ht="26.25" hidden="false" customHeight="true" outlineLevel="0" collapsed="false">
      <c r="A5" s="24" t="n">
        <v>4</v>
      </c>
      <c r="B5" s="55" t="s">
        <v>68</v>
      </c>
      <c r="C5" s="1" t="s">
        <v>141</v>
      </c>
      <c r="D5" s="1" t="s">
        <v>50</v>
      </c>
      <c r="E5" s="1" t="n">
        <f aca="false">'연도별 상수'!$A$46</f>
        <v>2026</v>
      </c>
      <c r="F5" s="1" t="n">
        <f aca="false">ROUND((I5*0.65)+(J5*0.7)+(K5*0.65)+(L5*0.75)+(M5*0.65)+(N5*0.8)+(O5*0.7),0)</f>
        <v>3</v>
      </c>
      <c r="G5" s="56" t="n">
        <f aca="false">SUM(I5:O5)</f>
        <v>4</v>
      </c>
      <c r="H5" s="57" t="n">
        <f aca="false">SUM(Q5:W5)</f>
        <v>269.333333333333</v>
      </c>
      <c r="N5" s="7" t="n">
        <v>4</v>
      </c>
      <c r="V5" s="7" t="n">
        <f aca="false">269+1/3</f>
        <v>269.333333333333</v>
      </c>
      <c r="X5" s="58"/>
    </row>
    <row r="6" customFormat="false" ht="26.25" hidden="false" customHeight="true" outlineLevel="0" collapsed="false">
      <c r="A6" s="24" t="n">
        <v>5</v>
      </c>
      <c r="B6" s="55" t="s">
        <v>63</v>
      </c>
      <c r="C6" s="1" t="s">
        <v>15</v>
      </c>
      <c r="D6" s="1" t="s">
        <v>62</v>
      </c>
      <c r="E6" s="1" t="n">
        <f aca="false">'연도별 상수'!$A$46</f>
        <v>2026</v>
      </c>
      <c r="F6" s="1" t="n">
        <f aca="false">ROUND((I6*0.65)+(J6*0.7)+(K6*0.65)+(L6*0.75)+(M6*0.65)+(N6*0.8)+(O6*0.7),0)</f>
        <v>2</v>
      </c>
      <c r="G6" s="56" t="n">
        <f aca="false">SUM(I6:O6)</f>
        <v>3</v>
      </c>
      <c r="H6" s="57" t="n">
        <f aca="false">SUM(Q6:W6)</f>
        <v>214</v>
      </c>
      <c r="K6" s="7" t="n">
        <v>3</v>
      </c>
      <c r="S6" s="7" t="n">
        <f aca="false">214</f>
        <v>214</v>
      </c>
      <c r="X6" s="58"/>
    </row>
    <row r="7" customFormat="false" ht="26.25" hidden="false" customHeight="true" outlineLevel="0" collapsed="false">
      <c r="A7" s="24" t="n">
        <v>6</v>
      </c>
      <c r="B7" s="55" t="s">
        <v>58</v>
      </c>
      <c r="C7" s="1" t="s">
        <v>141</v>
      </c>
      <c r="D7" s="1" t="s">
        <v>59</v>
      </c>
      <c r="E7" s="1" t="n">
        <f aca="false">'연도별 상수'!$A$46</f>
        <v>2026</v>
      </c>
      <c r="F7" s="1" t="n">
        <f aca="false">ROUND((I7*0.65)+(J7*0.7)+(K7*0.65)+(L7*0.75)+(M7*0.65)+(N7*0.8)+(O7*0.7),0)</f>
        <v>2</v>
      </c>
      <c r="G7" s="56" t="n">
        <f aca="false">SUM(I7:O7)</f>
        <v>3</v>
      </c>
      <c r="H7" s="57" t="n">
        <f aca="false">SUM(Q7:W7)</f>
        <v>220.666666666667</v>
      </c>
      <c r="N7" s="7" t="n">
        <v>3</v>
      </c>
      <c r="V7" s="7" t="n">
        <f aca="false">220+2/3</f>
        <v>220.666666666667</v>
      </c>
      <c r="X7" s="58"/>
    </row>
    <row r="8" customFormat="false" ht="26.25" hidden="false" customHeight="true" outlineLevel="0" collapsed="false">
      <c r="A8" s="24" t="n">
        <v>7</v>
      </c>
      <c r="B8" s="55" t="s">
        <v>81</v>
      </c>
      <c r="C8" s="1" t="s">
        <v>14</v>
      </c>
      <c r="D8" s="1" t="s">
        <v>56</v>
      </c>
      <c r="E8" s="1" t="n">
        <f aca="false">'연도별 상수'!$A$46</f>
        <v>2026</v>
      </c>
      <c r="F8" s="1" t="n">
        <f aca="false">ROUND((I8*0.65)+(J8*0.7)+(K8*0.65)+(L8*0.75)+(M8*0.65)+(N8*0.8)+(O8*0.7),0)</f>
        <v>2</v>
      </c>
      <c r="G8" s="56" t="n">
        <f aca="false">SUM(I8:O8)</f>
        <v>3</v>
      </c>
      <c r="H8" s="57" t="n">
        <f aca="false">SUM(Q8:W8)</f>
        <v>241</v>
      </c>
      <c r="J8" s="7" t="n">
        <v>3</v>
      </c>
      <c r="R8" s="7" t="n">
        <v>241</v>
      </c>
      <c r="X8" s="58"/>
    </row>
    <row r="9" customFormat="false" ht="26.25" hidden="false" customHeight="true" outlineLevel="0" collapsed="false">
      <c r="A9" s="24" t="n">
        <v>8</v>
      </c>
      <c r="B9" s="55" t="s">
        <v>44</v>
      </c>
      <c r="C9" s="1" t="s">
        <v>142</v>
      </c>
      <c r="D9" s="1" t="s">
        <v>45</v>
      </c>
      <c r="E9" s="1" t="n">
        <f aca="false">'연도별 상수'!$A$46</f>
        <v>2026</v>
      </c>
      <c r="F9" s="1" t="n">
        <f aca="false">ROUND((I9*0.65)+(J9*0.7)+(K9*0.65)+(L9*0.75)+(M9*0.65)+(N9*0.8)+(O9*0.7),0)</f>
        <v>2</v>
      </c>
      <c r="G9" s="56" t="n">
        <f aca="false">SUM(I9:O9)</f>
        <v>2</v>
      </c>
      <c r="H9" s="57" t="n">
        <f aca="false">SUM(Q9:W9)</f>
        <v>251</v>
      </c>
      <c r="L9" s="7" t="n">
        <v>2</v>
      </c>
      <c r="T9" s="7" t="n">
        <v>251</v>
      </c>
      <c r="X9" s="58"/>
    </row>
    <row r="10" customFormat="false" ht="26.25" hidden="false" customHeight="true" outlineLevel="0" collapsed="false">
      <c r="A10" s="24" t="n">
        <v>9</v>
      </c>
      <c r="B10" s="55" t="s">
        <v>72</v>
      </c>
      <c r="C10" s="1" t="s">
        <v>141</v>
      </c>
      <c r="D10" s="1" t="s">
        <v>54</v>
      </c>
      <c r="E10" s="1" t="n">
        <f aca="false">'연도별 상수'!$A$46</f>
        <v>2026</v>
      </c>
      <c r="F10" s="1" t="n">
        <f aca="false">ROUND((I10*0.65)+(J10*0.7)+(K10*0.65)+(L10*0.75)+(M10*0.65)+(N10*0.8)+(O10*0.7),0)</f>
        <v>2</v>
      </c>
      <c r="G10" s="56" t="n">
        <f aca="false">SUM(I10:O10)</f>
        <v>2</v>
      </c>
      <c r="H10" s="57" t="n">
        <f aca="false">SUM(Q10:W10)</f>
        <v>267</v>
      </c>
      <c r="N10" s="7" t="n">
        <v>2</v>
      </c>
      <c r="V10" s="7" t="n">
        <v>267</v>
      </c>
      <c r="X10" s="58"/>
    </row>
    <row r="11" customFormat="false" ht="26.25" hidden="false" customHeight="true" outlineLevel="0" collapsed="false">
      <c r="A11" s="24" t="n">
        <v>10</v>
      </c>
      <c r="B11" s="55" t="s">
        <v>65</v>
      </c>
      <c r="C11" s="1" t="s">
        <v>141</v>
      </c>
      <c r="D11" s="1" t="s">
        <v>47</v>
      </c>
      <c r="E11" s="1" t="n">
        <f aca="false">'연도별 상수'!$A$46</f>
        <v>2026</v>
      </c>
      <c r="F11" s="1" t="n">
        <f aca="false">ROUND((I11*0.65)+(J11*0.7)+(K11*0.65)+(L11*0.75)+(M11*0.65)+(N11*0.8)+(O11*0.7),0)</f>
        <v>2</v>
      </c>
      <c r="G11" s="56" t="n">
        <f aca="false">SUM(I11:O11)</f>
        <v>2</v>
      </c>
      <c r="H11" s="57" t="n">
        <f aca="false">SUM(Q11:W11)</f>
        <v>275</v>
      </c>
      <c r="N11" s="7" t="n">
        <v>2</v>
      </c>
      <c r="V11" s="7" t="n">
        <v>275</v>
      </c>
      <c r="X11" s="58"/>
    </row>
    <row r="12" customFormat="false" ht="26.25" hidden="false" customHeight="true" outlineLevel="0" collapsed="false">
      <c r="A12" s="24" t="n">
        <v>11</v>
      </c>
      <c r="B12" s="55" t="s">
        <v>143</v>
      </c>
      <c r="C12" s="1" t="s">
        <v>15</v>
      </c>
      <c r="D12" s="1" t="s">
        <v>59</v>
      </c>
      <c r="E12" s="1" t="n">
        <f aca="false">'연도별 상수'!$A$46</f>
        <v>2026</v>
      </c>
      <c r="F12" s="1" t="n">
        <f aca="false">ROUND((I12*0.65)+(J12*0.7)+(K12*0.65)+(L12*0.75)+(M12*0.65)+(N12*0.8)+(O12*0.7),0)</f>
        <v>1</v>
      </c>
      <c r="G12" s="56" t="n">
        <f aca="false">SUM(I12:O12)</f>
        <v>2</v>
      </c>
      <c r="H12" s="57" t="n">
        <f aca="false">SUM(Q12:W12)</f>
        <v>88</v>
      </c>
      <c r="K12" s="7" t="n">
        <v>2</v>
      </c>
      <c r="S12" s="7" t="n">
        <v>88</v>
      </c>
      <c r="X12" s="58"/>
    </row>
    <row r="13" customFormat="false" ht="26.25" hidden="false" customHeight="true" outlineLevel="0" collapsed="false">
      <c r="A13" s="24" t="n">
        <v>12</v>
      </c>
      <c r="B13" s="55" t="s">
        <v>101</v>
      </c>
      <c r="C13" s="1" t="s">
        <v>15</v>
      </c>
      <c r="D13" s="1" t="s">
        <v>54</v>
      </c>
      <c r="E13" s="1" t="n">
        <f aca="false">'연도별 상수'!$A$46</f>
        <v>2026</v>
      </c>
      <c r="F13" s="1" t="n">
        <f aca="false">ROUND((I13*0.65)+(J13*0.7)+(K13*0.65)+(L13*0.75)+(M13*0.65)+(N13*0.8)+(O13*0.7),0)</f>
        <v>1</v>
      </c>
      <c r="G13" s="56" t="n">
        <f aca="false">SUM(I13:O13)</f>
        <v>2</v>
      </c>
      <c r="H13" s="57" t="n">
        <f aca="false">SUM(Q13:W13)</f>
        <v>171</v>
      </c>
      <c r="K13" s="7" t="n">
        <v>2</v>
      </c>
      <c r="S13" s="7" t="n">
        <v>171</v>
      </c>
      <c r="X13" s="58"/>
    </row>
    <row r="14" customFormat="false" ht="26.25" hidden="false" customHeight="true" outlineLevel="0" collapsed="false">
      <c r="A14" s="24" t="n">
        <v>13</v>
      </c>
      <c r="B14" s="55" t="s">
        <v>84</v>
      </c>
      <c r="C14" s="1" t="s">
        <v>14</v>
      </c>
      <c r="D14" s="1" t="s">
        <v>50</v>
      </c>
      <c r="E14" s="1" t="n">
        <f aca="false">'연도별 상수'!$A$46</f>
        <v>2026</v>
      </c>
      <c r="F14" s="1" t="n">
        <f aca="false">ROUND((I14*0.65)+(J14*0.7)+(K14*0.65)+(L14*0.75)+(M14*0.65)+(N14*0.8)+(O14*0.7),0)</f>
        <v>1</v>
      </c>
      <c r="G14" s="56" t="n">
        <f aca="false">SUM(I14:O14)</f>
        <v>2</v>
      </c>
      <c r="H14" s="57" t="n">
        <f aca="false">SUM(Q14:W14)</f>
        <v>196.333333333333</v>
      </c>
      <c r="J14" s="7" t="n">
        <v>2</v>
      </c>
      <c r="R14" s="7" t="n">
        <f aca="false">196+1/3</f>
        <v>196.333333333333</v>
      </c>
      <c r="X14" s="58"/>
    </row>
    <row r="15" customFormat="false" ht="26.25" hidden="false" customHeight="true" outlineLevel="0" collapsed="false">
      <c r="A15" s="24" t="n">
        <v>14</v>
      </c>
      <c r="B15" s="55" t="s">
        <v>97</v>
      </c>
      <c r="C15" s="1" t="s">
        <v>144</v>
      </c>
      <c r="D15" s="1" t="s">
        <v>43</v>
      </c>
      <c r="E15" s="1" t="n">
        <f aca="false">'연도별 상수'!$A$46</f>
        <v>2026</v>
      </c>
      <c r="F15" s="1" t="n">
        <f aca="false">ROUND((I15*0.65)+(J15*0.7)+(K15*0.65)+(L15*0.75)+(M15*0.65)+(N15*0.8)+(O15*0.7),0)</f>
        <v>1</v>
      </c>
      <c r="G15" s="56" t="n">
        <f aca="false">SUM(I15:O15)</f>
        <v>2</v>
      </c>
      <c r="H15" s="57" t="n">
        <f aca="false">SUM(Q15:W15)</f>
        <v>223.333333333333</v>
      </c>
      <c r="O15" s="7" t="n">
        <v>2</v>
      </c>
      <c r="W15" s="7" t="n">
        <f aca="false">223+1/3</f>
        <v>223.333333333333</v>
      </c>
      <c r="X15" s="58"/>
    </row>
    <row r="16" customFormat="false" ht="26.25" hidden="false" customHeight="true" outlineLevel="0" collapsed="false">
      <c r="A16" s="24" t="n">
        <v>15</v>
      </c>
      <c r="B16" s="55" t="s">
        <v>42</v>
      </c>
      <c r="C16" s="1" t="s">
        <v>145</v>
      </c>
      <c r="D16" s="1" t="s">
        <v>43</v>
      </c>
      <c r="E16" s="1" t="n">
        <f aca="false">'연도별 상수'!$A$46</f>
        <v>2026</v>
      </c>
      <c r="F16" s="1" t="n">
        <f aca="false">ROUND((I16*0.65)+(J16*0.7)+(K16*0.65)+(L16*0.75)+(M16*0.65)+(N16*0.8)+(O16*0.7),0)</f>
        <v>1</v>
      </c>
      <c r="G16" s="56" t="n">
        <f aca="false">SUM(I16:O16)</f>
        <v>2</v>
      </c>
      <c r="H16" s="57" t="n">
        <f aca="false">SUM(Q16:W16)</f>
        <v>235</v>
      </c>
      <c r="I16" s="7" t="n">
        <v>2</v>
      </c>
      <c r="Q16" s="7" t="n">
        <v>235</v>
      </c>
      <c r="X16" s="58"/>
    </row>
    <row r="17" customFormat="false" ht="26.25" hidden="false" customHeight="true" outlineLevel="0" collapsed="false">
      <c r="A17" s="24" t="n">
        <v>16</v>
      </c>
      <c r="B17" s="55" t="s">
        <v>116</v>
      </c>
      <c r="C17" s="1" t="s">
        <v>15</v>
      </c>
      <c r="D17" s="1" t="s">
        <v>43</v>
      </c>
      <c r="E17" s="1" t="n">
        <f aca="false">'연도별 상수'!$A$46</f>
        <v>2026</v>
      </c>
      <c r="F17" s="1" t="n">
        <f aca="false">ROUND((I17*0.65)+(J17*0.7)+(K17*0.65)+(L17*0.75)+(M17*0.65)+(N17*0.8)+(O17*0.7),0)</f>
        <v>1</v>
      </c>
      <c r="G17" s="56" t="n">
        <f aca="false">SUM(I17:O17)</f>
        <v>1</v>
      </c>
      <c r="H17" s="57" t="n">
        <f aca="false">SUM(Q17:W17)</f>
        <v>66</v>
      </c>
      <c r="K17" s="7" t="n">
        <v>1</v>
      </c>
      <c r="S17" s="7" t="n">
        <v>66</v>
      </c>
      <c r="X17" s="58"/>
    </row>
    <row r="18" customFormat="false" ht="26.25" hidden="false" customHeight="true" outlineLevel="0" collapsed="false">
      <c r="A18" s="24" t="n">
        <v>17</v>
      </c>
      <c r="B18" s="55" t="s">
        <v>146</v>
      </c>
      <c r="C18" s="1" t="s">
        <v>14</v>
      </c>
      <c r="D18" s="1" t="s">
        <v>62</v>
      </c>
      <c r="E18" s="1" t="n">
        <f aca="false">'연도별 상수'!$A$46</f>
        <v>2026</v>
      </c>
      <c r="F18" s="1" t="n">
        <f aca="false">ROUND((I18*0.65)+(J18*0.7)+(K18*0.65)+(L18*0.75)+(M18*0.65)+(N18*0.8)+(O18*0.7),0)</f>
        <v>1</v>
      </c>
      <c r="G18" s="56" t="n">
        <f aca="false">SUM(I18:O18)</f>
        <v>1</v>
      </c>
      <c r="H18" s="57" t="n">
        <f aca="false">SUM(Q18:W18)</f>
        <v>74</v>
      </c>
      <c r="J18" s="7" t="n">
        <v>1</v>
      </c>
      <c r="R18" s="7" t="n">
        <v>74</v>
      </c>
      <c r="X18" s="58"/>
    </row>
    <row r="19" customFormat="false" ht="26.25" hidden="false" customHeight="true" outlineLevel="0" collapsed="false">
      <c r="A19" s="24" t="n">
        <v>18</v>
      </c>
      <c r="B19" s="55" t="s">
        <v>95</v>
      </c>
      <c r="C19" s="1" t="s">
        <v>144</v>
      </c>
      <c r="D19" s="1" t="s">
        <v>59</v>
      </c>
      <c r="E19" s="1" t="n">
        <f aca="false">'연도별 상수'!$A$46</f>
        <v>2026</v>
      </c>
      <c r="F19" s="1" t="n">
        <f aca="false">ROUND((I19*0.65)+(J19*0.7)+(K19*0.65)+(L19*0.75)+(M19*0.65)+(N19*0.8)+(O19*0.7),0)</f>
        <v>1</v>
      </c>
      <c r="G19" s="56" t="n">
        <f aca="false">SUM(I19:O19)</f>
        <v>1</v>
      </c>
      <c r="H19" s="57" t="n">
        <f aca="false">SUM(Q19:W19)</f>
        <v>98.3333333333333</v>
      </c>
      <c r="O19" s="7" t="n">
        <v>1</v>
      </c>
      <c r="W19" s="7" t="n">
        <f aca="false">98+1/3</f>
        <v>98.3333333333333</v>
      </c>
      <c r="X19" s="58"/>
    </row>
    <row r="20" customFormat="false" ht="26.25" hidden="false" customHeight="true" outlineLevel="0" collapsed="false">
      <c r="A20" s="24" t="n">
        <v>19</v>
      </c>
      <c r="B20" s="55" t="s">
        <v>85</v>
      </c>
      <c r="C20" s="1" t="s">
        <v>141</v>
      </c>
      <c r="D20" s="1" t="s">
        <v>76</v>
      </c>
      <c r="E20" s="1" t="n">
        <f aca="false">'연도별 상수'!$A$46</f>
        <v>2026</v>
      </c>
      <c r="F20" s="1" t="n">
        <f aca="false">ROUND((I20*0.65)+(J20*0.7)+(K20*0.65)+(L20*0.75)+(M20*0.65)+(N20*0.8)+(O20*0.7),0)</f>
        <v>1</v>
      </c>
      <c r="G20" s="56" t="n">
        <f aca="false">SUM(I20:O20)</f>
        <v>1</v>
      </c>
      <c r="H20" s="57" t="n">
        <f aca="false">SUM(Q20:W20)</f>
        <v>107</v>
      </c>
      <c r="N20" s="7" t="n">
        <v>1</v>
      </c>
      <c r="V20" s="7" t="n">
        <v>107</v>
      </c>
      <c r="X20" s="58"/>
    </row>
    <row r="21" customFormat="false" ht="26.25" hidden="false" customHeight="true" outlineLevel="0" collapsed="false">
      <c r="A21" s="24" t="n">
        <v>20</v>
      </c>
      <c r="B21" s="55" t="s">
        <v>147</v>
      </c>
      <c r="C21" s="1" t="s">
        <v>141</v>
      </c>
      <c r="D21" s="1" t="s">
        <v>76</v>
      </c>
      <c r="E21" s="1" t="n">
        <f aca="false">'연도별 상수'!$A$46</f>
        <v>2026</v>
      </c>
      <c r="F21" s="1" t="n">
        <f aca="false">ROUND((I21*0.65)+(J21*0.7)+(K21*0.65)+(L21*0.75)+(M21*0.65)+(N21*0.8)+(O21*0.7),0)</f>
        <v>1</v>
      </c>
      <c r="G21" s="56" t="n">
        <f aca="false">SUM(I21:O21)</f>
        <v>1</v>
      </c>
      <c r="H21" s="57" t="n">
        <f aca="false">SUM(Q21:W21)</f>
        <v>115.666666666667</v>
      </c>
      <c r="N21" s="7" t="n">
        <v>1</v>
      </c>
      <c r="V21" s="7" t="n">
        <f aca="false">115+2/3</f>
        <v>115.666666666667</v>
      </c>
      <c r="X21" s="58"/>
    </row>
    <row r="22" customFormat="false" ht="26.25" hidden="false" customHeight="true" outlineLevel="0" collapsed="false">
      <c r="A22" s="24" t="n">
        <v>21</v>
      </c>
      <c r="B22" s="55" t="s">
        <v>148</v>
      </c>
      <c r="C22" s="1" t="s">
        <v>145</v>
      </c>
      <c r="D22" s="1" t="s">
        <v>50</v>
      </c>
      <c r="E22" s="1" t="n">
        <f aca="false">'연도별 상수'!$A$46</f>
        <v>2026</v>
      </c>
      <c r="F22" s="1" t="n">
        <f aca="false">ROUND((I22*0.65)+(J22*0.7)+(K22*0.65)+(L22*0.75)+(M22*0.65)+(N22*0.8)+(O22*0.7),0)</f>
        <v>1</v>
      </c>
      <c r="G22" s="56" t="n">
        <f aca="false">SUM(I22:O22)</f>
        <v>1</v>
      </c>
      <c r="H22" s="57" t="n">
        <f aca="false">SUM(Q22:W22)</f>
        <v>147.666666666667</v>
      </c>
      <c r="I22" s="7" t="n">
        <v>1</v>
      </c>
      <c r="Q22" s="7" t="n">
        <f aca="false">147+2/3</f>
        <v>147.666666666667</v>
      </c>
      <c r="X22" s="58"/>
    </row>
    <row r="23" customFormat="false" ht="26.25" hidden="false" customHeight="true" outlineLevel="0" collapsed="false">
      <c r="A23" s="24" t="n">
        <v>22</v>
      </c>
      <c r="B23" s="55" t="s">
        <v>149</v>
      </c>
      <c r="C23" s="1" t="s">
        <v>145</v>
      </c>
      <c r="D23" s="1" t="s">
        <v>89</v>
      </c>
      <c r="E23" s="1" t="n">
        <f aca="false">'연도별 상수'!$A$46</f>
        <v>2026</v>
      </c>
      <c r="F23" s="1" t="n">
        <f aca="false">ROUND((I23*0.65)+(J23*0.7)+(K23*0.65)+(L23*0.75)+(M23*0.65)+(N23*0.8)+(O23*0.7),0)</f>
        <v>1</v>
      </c>
      <c r="G23" s="56" t="n">
        <f aca="false">SUM(I23:O23)</f>
        <v>1</v>
      </c>
      <c r="H23" s="57" t="n">
        <f aca="false">SUM(Q23:W23)</f>
        <v>159</v>
      </c>
      <c r="I23" s="7" t="n">
        <v>1</v>
      </c>
      <c r="Q23" s="7" t="n">
        <v>159</v>
      </c>
      <c r="X23" s="58"/>
    </row>
    <row r="24" customFormat="false" ht="26.25" hidden="false" customHeight="true" outlineLevel="0" collapsed="false">
      <c r="A24" s="24" t="n">
        <v>23</v>
      </c>
      <c r="B24" s="55" t="s">
        <v>108</v>
      </c>
      <c r="C24" s="1" t="s">
        <v>144</v>
      </c>
      <c r="D24" s="1" t="s">
        <v>47</v>
      </c>
      <c r="E24" s="1" t="n">
        <f aca="false">'연도별 상수'!$A$46</f>
        <v>2026</v>
      </c>
      <c r="F24" s="1" t="n">
        <f aca="false">ROUND((I24*0.65)+(J24*0.7)+(K24*0.65)+(L24*0.75)+(M24*0.65)+(N24*0.8)+(O24*0.7),0)</f>
        <v>1</v>
      </c>
      <c r="G24" s="56" t="n">
        <f aca="false">SUM(I24:O24)</f>
        <v>1</v>
      </c>
      <c r="H24" s="57" t="n">
        <f aca="false">SUM(Q24:W24)</f>
        <v>200</v>
      </c>
      <c r="M24" s="7" t="n">
        <v>0</v>
      </c>
      <c r="O24" s="7" t="n">
        <v>1</v>
      </c>
      <c r="U24" s="7" t="n">
        <f aca="false">81+1/3</f>
        <v>81.3333333333333</v>
      </c>
      <c r="W24" s="7" t="n">
        <f aca="false">118+2/3</f>
        <v>118.666666666667</v>
      </c>
      <c r="X24" s="58"/>
    </row>
    <row r="25" customFormat="false" ht="26.25" hidden="false" customHeight="true" outlineLevel="0" collapsed="false">
      <c r="A25" s="24" t="n">
        <v>24</v>
      </c>
      <c r="B25" s="55" t="s">
        <v>79</v>
      </c>
      <c r="C25" s="1" t="s">
        <v>145</v>
      </c>
      <c r="D25" s="1" t="s">
        <v>59</v>
      </c>
      <c r="E25" s="1" t="n">
        <f aca="false">'연도별 상수'!$A$46</f>
        <v>2026</v>
      </c>
      <c r="F25" s="1" t="n">
        <f aca="false">ROUND((I25*0.65)+(J25*0.7)+(K25*0.65)+(L25*0.75)+(M25*0.65)+(N25*0.8)+(O25*0.7),0)</f>
        <v>1</v>
      </c>
      <c r="G25" s="56" t="n">
        <f aca="false">SUM(I25:O25)</f>
        <v>1</v>
      </c>
      <c r="H25" s="57" t="n">
        <f aca="false">SUM(Q25:W25)</f>
        <v>266</v>
      </c>
      <c r="I25" s="7" t="n">
        <v>1</v>
      </c>
      <c r="Q25" s="7" t="n">
        <v>266</v>
      </c>
      <c r="X25" s="58"/>
    </row>
    <row r="26" customFormat="false" ht="26.25" hidden="false" customHeight="true" outlineLevel="0" collapsed="false">
      <c r="A26" s="24" t="n">
        <v>25</v>
      </c>
      <c r="B26" s="55" t="s">
        <v>93</v>
      </c>
      <c r="C26" s="1" t="s">
        <v>150</v>
      </c>
      <c r="D26" s="1" t="s">
        <v>50</v>
      </c>
      <c r="E26" s="1" t="n">
        <f aca="false">'연도별 상수'!$A$46</f>
        <v>2026</v>
      </c>
      <c r="F26" s="1" t="n">
        <f aca="false">ROUND((I26*0.65)+(J26*0.7)+(K26*0.65)+(L26*0.75)+(M26*0.65)+(N26*0.8)+(O26*0.7),0)</f>
        <v>1</v>
      </c>
      <c r="G26" s="56" t="n">
        <f aca="false">SUM(I26:O26)</f>
        <v>1</v>
      </c>
      <c r="H26" s="57" t="n">
        <f aca="false">SUM(Q26:W26)</f>
        <v>267.333333333333</v>
      </c>
      <c r="M26" s="7" t="n">
        <v>1</v>
      </c>
      <c r="U26" s="7" t="n">
        <f aca="false">267+1/3</f>
        <v>267.333333333333</v>
      </c>
      <c r="X26" s="58"/>
    </row>
    <row r="27" customFormat="false" ht="26.25" hidden="false" customHeight="true" outlineLevel="0" collapsed="false">
      <c r="A27" s="24" t="n">
        <v>26</v>
      </c>
      <c r="B27" s="55" t="s">
        <v>151</v>
      </c>
      <c r="C27" s="1" t="s">
        <v>14</v>
      </c>
      <c r="D27" s="1" t="s">
        <v>76</v>
      </c>
      <c r="E27" s="1" t="n">
        <f aca="false">'연도별 상수'!$A$46</f>
        <v>2026</v>
      </c>
      <c r="F27" s="1" t="n">
        <f aca="false">ROUND((I27*0.65)+(J27*0.7)+(K27*0.65)+(L27*0.75)+(M27*0.65)+(N27*0.8)+(O27*0.7),0)</f>
        <v>0</v>
      </c>
      <c r="G27" s="56" t="n">
        <f aca="false">SUM(I27:O27)</f>
        <v>0</v>
      </c>
      <c r="H27" s="57" t="n">
        <f aca="false">SUM(Q27:W27)</f>
        <v>45.6666666666667</v>
      </c>
      <c r="J27" s="7" t="n">
        <v>0</v>
      </c>
      <c r="R27" s="7" t="n">
        <f aca="false">45+2/3</f>
        <v>45.6666666666667</v>
      </c>
      <c r="X27" s="58"/>
    </row>
    <row r="28" customFormat="false" ht="26.25" hidden="false" customHeight="true" outlineLevel="0" collapsed="false">
      <c r="A28" s="24" t="n">
        <v>27</v>
      </c>
      <c r="B28" s="55" t="s">
        <v>78</v>
      </c>
      <c r="C28" s="1" t="s">
        <v>144</v>
      </c>
      <c r="D28" s="1" t="s">
        <v>59</v>
      </c>
      <c r="E28" s="1" t="n">
        <f aca="false">'연도별 상수'!$A$46</f>
        <v>2026</v>
      </c>
      <c r="F28" s="1" t="n">
        <f aca="false">ROUND((I28*0.65)+(J28*0.7)+(K28*0.65)+(L28*0.75)+(M28*0.65)+(N28*0.8)+(O28*0.7),0)</f>
        <v>0</v>
      </c>
      <c r="G28" s="56" t="n">
        <f aca="false">SUM(I28:O28)</f>
        <v>0</v>
      </c>
      <c r="H28" s="57" t="n">
        <f aca="false">SUM(Q28:W28)</f>
        <v>107.333333333333</v>
      </c>
      <c r="O28" s="7" t="n">
        <v>0</v>
      </c>
      <c r="W28" s="7" t="n">
        <f aca="false">107+1/3</f>
        <v>107.333333333333</v>
      </c>
      <c r="X28" s="58"/>
    </row>
    <row r="29" customFormat="false" ht="26.25" hidden="false" customHeight="true" outlineLevel="0" collapsed="false">
      <c r="A29" s="24" t="n">
        <v>28</v>
      </c>
      <c r="B29" s="55" t="s">
        <v>152</v>
      </c>
      <c r="C29" s="1" t="s">
        <v>141</v>
      </c>
      <c r="D29" s="1" t="s">
        <v>62</v>
      </c>
      <c r="E29" s="1" t="n">
        <f aca="false">'연도별 상수'!$A$46</f>
        <v>2026</v>
      </c>
      <c r="F29" s="1" t="n">
        <f aca="false">ROUND((I29*0.65)+(J29*0.7)+(K29*0.65)+(L29*0.75)+(M29*0.65)+(N29*0.8)+(O29*0.7),0)</f>
        <v>0</v>
      </c>
      <c r="G29" s="56" t="n">
        <f aca="false">SUM(I29:O29)</f>
        <v>0</v>
      </c>
      <c r="H29" s="57" t="n">
        <f aca="false">SUM(Q29:W29)</f>
        <v>114</v>
      </c>
      <c r="N29" s="7" t="n">
        <v>0</v>
      </c>
      <c r="V29" s="7" t="n">
        <f aca="false">114</f>
        <v>114</v>
      </c>
      <c r="X29" s="58"/>
    </row>
    <row r="30" customFormat="false" ht="26.25" hidden="false" customHeight="true" outlineLevel="0" collapsed="false">
      <c r="A30" s="24" t="n">
        <v>29</v>
      </c>
      <c r="B30" s="55" t="s">
        <v>104</v>
      </c>
      <c r="C30" s="1" t="s">
        <v>145</v>
      </c>
      <c r="D30" s="1" t="s">
        <v>45</v>
      </c>
      <c r="E30" s="1" t="n">
        <f aca="false">'연도별 상수'!$A$46</f>
        <v>2026</v>
      </c>
      <c r="F30" s="1" t="n">
        <f aca="false">ROUND((I30*0.65)+(J30*0.7)+(K30*0.65)+(L30*0.75)+(M30*0.65)+(N30*0.8)+(O30*0.7),0)</f>
        <v>0</v>
      </c>
      <c r="G30" s="56" t="n">
        <f aca="false">SUM(I30:O30)</f>
        <v>0</v>
      </c>
      <c r="H30" s="57" t="n">
        <f aca="false">SUM(Q30:W30)</f>
        <v>120.666666666667</v>
      </c>
      <c r="I30" s="7" t="n">
        <v>0</v>
      </c>
      <c r="Q30" s="7" t="n">
        <f aca="false">120+2/3</f>
        <v>120.666666666667</v>
      </c>
      <c r="X30" s="58"/>
    </row>
    <row r="31" customFormat="false" ht="26.25" hidden="false" customHeight="true" outlineLevel="0" collapsed="false">
      <c r="A31" s="24" t="n">
        <v>30</v>
      </c>
      <c r="B31" s="55" t="s">
        <v>87</v>
      </c>
      <c r="C31" s="1" t="s">
        <v>144</v>
      </c>
      <c r="D31" s="1" t="s">
        <v>45</v>
      </c>
      <c r="E31" s="1" t="n">
        <f aca="false">'연도별 상수'!$A$46</f>
        <v>2026</v>
      </c>
      <c r="F31" s="1" t="n">
        <f aca="false">ROUND((I31*0.65)+(J31*0.7)+(K31*0.65)+(L31*0.75)+(M31*0.65)+(N31*0.8)+(O31*0.7),0)</f>
        <v>0</v>
      </c>
      <c r="G31" s="56" t="n">
        <f aca="false">SUM(I31:O31)</f>
        <v>0</v>
      </c>
      <c r="H31" s="57" t="n">
        <f aca="false">SUM(Q31:W31)</f>
        <v>160</v>
      </c>
      <c r="O31" s="7" t="n">
        <v>0</v>
      </c>
      <c r="W31" s="7" t="n">
        <v>160</v>
      </c>
      <c r="X31" s="58"/>
    </row>
    <row r="32" customFormat="false" ht="26.25" hidden="false" customHeight="true" outlineLevel="0" collapsed="false">
      <c r="A32" s="24" t="n">
        <v>31</v>
      </c>
      <c r="B32" s="55" t="s">
        <v>106</v>
      </c>
      <c r="C32" s="1" t="s">
        <v>15</v>
      </c>
      <c r="D32" s="1" t="s">
        <v>59</v>
      </c>
      <c r="E32" s="1" t="n">
        <f aca="false">'연도별 상수'!$A$46</f>
        <v>2026</v>
      </c>
      <c r="F32" s="1" t="n">
        <f aca="false">ROUND((I32*0.65)+(J32*0.7)+(K32*0.65)+(L32*0.75)+(M32*0.65)+(N32*0.8)+(O32*0.7),0)</f>
        <v>0</v>
      </c>
      <c r="G32" s="56" t="n">
        <f aca="false">SUM(I32:O32)</f>
        <v>0</v>
      </c>
      <c r="H32" s="57" t="n">
        <f aca="false">SUM(Q32:W32)</f>
        <v>172.333333333333</v>
      </c>
      <c r="K32" s="7" t="n">
        <v>0</v>
      </c>
      <c r="S32" s="7" t="n">
        <f aca="false">172+1/3</f>
        <v>172.333333333333</v>
      </c>
      <c r="X32" s="58"/>
    </row>
    <row r="33" customFormat="false" ht="26.25" hidden="false" customHeight="true" outlineLevel="0" collapsed="false">
      <c r="A33" s="24" t="n">
        <v>32</v>
      </c>
      <c r="B33" s="55" t="s">
        <v>107</v>
      </c>
      <c r="C33" s="1" t="s">
        <v>150</v>
      </c>
      <c r="D33" s="1" t="s">
        <v>43</v>
      </c>
      <c r="E33" s="1" t="n">
        <f aca="false">'연도별 상수'!$A$46</f>
        <v>2026</v>
      </c>
      <c r="F33" s="1" t="n">
        <f aca="false">ROUND((I33*0.65)+(J33*0.7)+(K33*0.65)+(L33*0.75)+(M33*0.65)+(N33*0.8)+(O33*0.7),0)</f>
        <v>0</v>
      </c>
      <c r="G33" s="56" t="n">
        <f aca="false">SUM(I33:O33)</f>
        <v>0</v>
      </c>
      <c r="H33" s="57" t="n">
        <f aca="false">SUM(Q33:W33)</f>
        <v>174.333333333333</v>
      </c>
      <c r="M33" s="7" t="n">
        <v>0</v>
      </c>
      <c r="U33" s="7" t="n">
        <f aca="false">174+1/3</f>
        <v>174.333333333333</v>
      </c>
      <c r="X33" s="58"/>
    </row>
    <row r="34" customFormat="false" ht="26.25" hidden="false" customHeight="true" outlineLevel="0" collapsed="false">
      <c r="A34" s="24" t="n">
        <v>33</v>
      </c>
      <c r="B34" s="55" t="s">
        <v>153</v>
      </c>
      <c r="C34" s="1" t="s">
        <v>144</v>
      </c>
      <c r="D34" s="1" t="s">
        <v>76</v>
      </c>
      <c r="E34" s="1" t="n">
        <f aca="false">'연도별 상수'!$A$46</f>
        <v>2026</v>
      </c>
      <c r="F34" s="1" t="n">
        <f aca="false">ROUND((I34*0.65)+(J34*0.7)+(K34*0.65)+(L34*0.75)+(M34*0.65)+(N34*0.8)+(O34*0.7),0)</f>
        <v>0</v>
      </c>
      <c r="G34" s="56" t="n">
        <f aca="false">SUM(I34:O34)</f>
        <v>0</v>
      </c>
      <c r="H34" s="57" t="n">
        <f aca="false">SUM(Q34:W34)</f>
        <v>179.333333333333</v>
      </c>
      <c r="O34" s="7" t="n">
        <v>0</v>
      </c>
      <c r="W34" s="7" t="n">
        <f aca="false">179+1/3</f>
        <v>179.333333333333</v>
      </c>
      <c r="X34" s="58"/>
    </row>
    <row r="35" customFormat="false" ht="26.25" hidden="false" customHeight="true" outlineLevel="0" collapsed="false">
      <c r="A35" s="24" t="n">
        <v>34</v>
      </c>
      <c r="B35" s="55" t="s">
        <v>48</v>
      </c>
      <c r="C35" s="1" t="s">
        <v>14</v>
      </c>
      <c r="D35" s="1" t="s">
        <v>45</v>
      </c>
      <c r="E35" s="1" t="n">
        <f aca="false">'연도별 상수'!$A$46</f>
        <v>2026</v>
      </c>
      <c r="F35" s="1" t="n">
        <f aca="false">ROUND((I35*0.65)+(J35*0.7)+(K35*0.65)+(L35*0.75)+(M35*0.65)+(N35*0.8)+(O35*0.7),0)</f>
        <v>0</v>
      </c>
      <c r="G35" s="56" t="n">
        <f aca="false">SUM(I35:O35)</f>
        <v>0</v>
      </c>
      <c r="H35" s="57" t="n">
        <f aca="false">SUM(Q35:W35)</f>
        <v>225</v>
      </c>
      <c r="J35" s="7" t="n">
        <v>0</v>
      </c>
      <c r="R35" s="7" t="n">
        <v>225</v>
      </c>
      <c r="X35" s="58"/>
    </row>
    <row r="36" customFormat="false" ht="26.25" hidden="false" customHeight="true" outlineLevel="0" collapsed="false">
      <c r="A36" s="24" t="n">
        <v>35</v>
      </c>
      <c r="B36" s="55" t="s">
        <v>66</v>
      </c>
      <c r="C36" s="1" t="s">
        <v>14</v>
      </c>
      <c r="D36" s="1" t="s">
        <v>59</v>
      </c>
      <c r="E36" s="1" t="n">
        <f aca="false">'연도별 상수'!$A$46</f>
        <v>2026</v>
      </c>
      <c r="F36" s="1" t="n">
        <f aca="false">ROUND((I36*0.65)+(J36*0.7)+(K36*0.65)+(L36*0.75)+(M36*0.65)+(N36*0.8)+(O36*0.7),0)</f>
        <v>0</v>
      </c>
      <c r="G36" s="56" t="n">
        <f aca="false">SUM(I36:O36)</f>
        <v>0</v>
      </c>
      <c r="H36" s="57" t="n">
        <f aca="false">SUM(Q36:W36)</f>
        <v>232.333333333333</v>
      </c>
      <c r="J36" s="7" t="n">
        <v>0</v>
      </c>
      <c r="R36" s="7" t="n">
        <f aca="false">232+1/3</f>
        <v>232.333333333333</v>
      </c>
      <c r="X36" s="58"/>
    </row>
    <row r="37" customFormat="false" ht="26.25" hidden="false" customHeight="true" outlineLevel="0" collapsed="false">
      <c r="A37" s="24" t="n">
        <v>36</v>
      </c>
      <c r="B37" s="55" t="s">
        <v>154</v>
      </c>
      <c r="C37" s="1" t="s">
        <v>142</v>
      </c>
      <c r="D37" s="1" t="s">
        <v>56</v>
      </c>
      <c r="E37" s="1" t="n">
        <f aca="false">'연도별 상수'!$A$46</f>
        <v>2026</v>
      </c>
      <c r="F37" s="1" t="n">
        <f aca="false">ROUND((I37*0.65)+(J37*0.7)+(K37*0.65)+(L37*0.75)+(M37*0.65)+(N37*0.8)+(O37*0.7),0)</f>
        <v>0</v>
      </c>
      <c r="G37" s="56" t="n">
        <f aca="false">SUM(I37:O37)</f>
        <v>0</v>
      </c>
      <c r="H37" s="57" t="n">
        <f aca="false">SUM(Q37:W37)</f>
        <v>252</v>
      </c>
      <c r="L37" s="7" t="n">
        <v>0</v>
      </c>
      <c r="T37" s="7" t="n">
        <v>252</v>
      </c>
      <c r="X37" s="58"/>
    </row>
    <row r="38" customFormat="false" ht="26.25" hidden="false" customHeight="true" outlineLevel="0" collapsed="false">
      <c r="A38" s="24" t="n">
        <v>37</v>
      </c>
      <c r="B38" s="55" t="s">
        <v>121</v>
      </c>
      <c r="C38" s="1" t="s">
        <v>15</v>
      </c>
      <c r="D38" s="1" t="s">
        <v>54</v>
      </c>
      <c r="E38" s="1" t="n">
        <f aca="false">'연도별 상수'!$A$46</f>
        <v>2026</v>
      </c>
      <c r="F38" s="1" t="n">
        <f aca="false">ROUND((I38*0.65)+(J38*0.7)+(K38*0.65)+(L38*0.75)+(M38*0.65)+(N38*0.8)+(O38*0.7),0)</f>
        <v>-1</v>
      </c>
      <c r="G38" s="56" t="n">
        <f aca="false">SUM(I38:O38)</f>
        <v>-1</v>
      </c>
      <c r="H38" s="57" t="n">
        <f aca="false">SUM(Q38:W38)</f>
        <v>74</v>
      </c>
      <c r="K38" s="7" t="n">
        <v>-1</v>
      </c>
      <c r="S38" s="7" t="n">
        <v>74</v>
      </c>
      <c r="X38" s="58"/>
    </row>
    <row r="39" customFormat="false" ht="26.25" hidden="false" customHeight="true" outlineLevel="0" collapsed="false">
      <c r="A39" s="24" t="n">
        <v>38</v>
      </c>
      <c r="B39" s="55" t="s">
        <v>155</v>
      </c>
      <c r="C39" s="1" t="s">
        <v>15</v>
      </c>
      <c r="D39" s="1" t="s">
        <v>76</v>
      </c>
      <c r="E39" s="1" t="n">
        <f aca="false">'연도별 상수'!$A$46</f>
        <v>2026</v>
      </c>
      <c r="F39" s="1" t="n">
        <f aca="false">ROUND((I39*0.65)+(J39*0.7)+(K39*0.65)+(L39*0.75)+(M39*0.65)+(N39*0.8)+(O39*0.7),0)</f>
        <v>-1</v>
      </c>
      <c r="G39" s="56" t="n">
        <f aca="false">SUM(I39:O39)</f>
        <v>-1</v>
      </c>
      <c r="H39" s="57" t="n">
        <f aca="false">SUM(Q39:W39)</f>
        <v>84</v>
      </c>
      <c r="K39" s="7" t="n">
        <v>-1</v>
      </c>
      <c r="S39" s="7" t="n">
        <v>84</v>
      </c>
      <c r="X39" s="58"/>
    </row>
    <row r="40" customFormat="false" ht="26.25" hidden="false" customHeight="true" outlineLevel="0" collapsed="false">
      <c r="A40" s="24" t="n">
        <v>39</v>
      </c>
      <c r="B40" s="55" t="s">
        <v>156</v>
      </c>
      <c r="C40" s="1" t="s">
        <v>14</v>
      </c>
      <c r="D40" s="1" t="s">
        <v>89</v>
      </c>
      <c r="E40" s="1" t="n">
        <f aca="false">'연도별 상수'!$A$46</f>
        <v>2026</v>
      </c>
      <c r="F40" s="1" t="n">
        <f aca="false">ROUND((I40*0.65)+(J40*0.7)+(K40*0.65)+(L40*0.75)+(M40*0.65)+(N40*0.8)+(O40*0.7),0)</f>
        <v>-1</v>
      </c>
      <c r="G40" s="56" t="n">
        <f aca="false">SUM(I40:O40)</f>
        <v>-1</v>
      </c>
      <c r="H40" s="57" t="n">
        <f aca="false">SUM(Q40:W40)</f>
        <v>90</v>
      </c>
      <c r="J40" s="7" t="n">
        <v>-1</v>
      </c>
      <c r="R40" s="7" t="n">
        <v>90</v>
      </c>
      <c r="X40" s="58"/>
    </row>
    <row r="41" customFormat="false" ht="26.25" hidden="false" customHeight="true" outlineLevel="0" collapsed="false">
      <c r="A41" s="24" t="n">
        <v>40</v>
      </c>
      <c r="B41" s="55" t="s">
        <v>157</v>
      </c>
      <c r="C41" s="1" t="s">
        <v>15</v>
      </c>
      <c r="D41" s="1" t="s">
        <v>56</v>
      </c>
      <c r="E41" s="1" t="n">
        <f aca="false">'연도별 상수'!$A$46</f>
        <v>2026</v>
      </c>
      <c r="F41" s="1" t="n">
        <f aca="false">ROUND((I41*0.65)+(J41*0.7)+(K41*0.65)+(L41*0.75)+(M41*0.65)+(N41*0.8)+(O41*0.7),0)</f>
        <v>-1</v>
      </c>
      <c r="G41" s="56" t="n">
        <f aca="false">SUM(I41:O41)</f>
        <v>-1</v>
      </c>
      <c r="H41" s="57" t="n">
        <f aca="false">SUM(Q41:W41)</f>
        <v>95</v>
      </c>
      <c r="K41" s="7" t="n">
        <v>-1</v>
      </c>
      <c r="S41" s="7" t="n">
        <v>95</v>
      </c>
      <c r="X41" s="58"/>
    </row>
    <row r="42" customFormat="false" ht="26.25" hidden="false" customHeight="true" outlineLevel="0" collapsed="false">
      <c r="A42" s="24" t="n">
        <v>41</v>
      </c>
      <c r="B42" s="55" t="s">
        <v>158</v>
      </c>
      <c r="C42" s="1" t="s">
        <v>150</v>
      </c>
      <c r="D42" s="1" t="s">
        <v>59</v>
      </c>
      <c r="E42" s="1" t="n">
        <f aca="false">'연도별 상수'!$A$46</f>
        <v>2026</v>
      </c>
      <c r="F42" s="1" t="n">
        <f aca="false">ROUND((I42*0.65)+(J42*0.7)+(K42*0.65)+(L42*0.75)+(M42*0.65)+(N42*0.8)+(O42*0.7),0)</f>
        <v>-1</v>
      </c>
      <c r="G42" s="56" t="n">
        <f aca="false">SUM(I42:O42)</f>
        <v>-1</v>
      </c>
      <c r="H42" s="57" t="n">
        <f aca="false">SUM(Q42:W42)</f>
        <v>97.6666666666667</v>
      </c>
      <c r="M42" s="7" t="n">
        <v>-1</v>
      </c>
      <c r="U42" s="7" t="n">
        <f aca="false">97+2/3</f>
        <v>97.6666666666667</v>
      </c>
      <c r="X42" s="58"/>
    </row>
    <row r="43" customFormat="false" ht="26.25" hidden="false" customHeight="true" outlineLevel="0" collapsed="false">
      <c r="A43" s="24" t="n">
        <v>42</v>
      </c>
      <c r="B43" s="55" t="s">
        <v>159</v>
      </c>
      <c r="C43" s="1" t="s">
        <v>141</v>
      </c>
      <c r="D43" s="1" t="s">
        <v>56</v>
      </c>
      <c r="E43" s="1" t="n">
        <f aca="false">'연도별 상수'!$A$46</f>
        <v>2026</v>
      </c>
      <c r="F43" s="1" t="n">
        <f aca="false">ROUND((I43*0.65)+(J43*0.7)+(K43*0.65)+(L43*0.75)+(M43*0.65)+(N43*0.8)+(O43*0.7),0)</f>
        <v>-1</v>
      </c>
      <c r="G43" s="56" t="n">
        <f aca="false">SUM(I43:O43)</f>
        <v>-1</v>
      </c>
      <c r="H43" s="57" t="n">
        <f aca="false">SUM(Q43:W43)</f>
        <v>98</v>
      </c>
      <c r="N43" s="7" t="n">
        <v>-1</v>
      </c>
      <c r="V43" s="7" t="n">
        <v>98</v>
      </c>
      <c r="X43" s="58"/>
    </row>
    <row r="44" customFormat="false" ht="26.25" hidden="false" customHeight="true" outlineLevel="0" collapsed="false">
      <c r="A44" s="24" t="n">
        <v>43</v>
      </c>
      <c r="B44" s="55" t="s">
        <v>160</v>
      </c>
      <c r="C44" s="1" t="s">
        <v>15</v>
      </c>
      <c r="D44" s="1" t="s">
        <v>45</v>
      </c>
      <c r="E44" s="1" t="n">
        <f aca="false">'연도별 상수'!$A$46</f>
        <v>2026</v>
      </c>
      <c r="F44" s="1" t="n">
        <f aca="false">ROUND((I44*0.65)+(J44*0.7)+(K44*0.65)+(L44*0.75)+(M44*0.65)+(N44*0.8)+(O44*0.7),0)</f>
        <v>-1</v>
      </c>
      <c r="G44" s="56" t="n">
        <f aca="false">SUM(I44:O44)</f>
        <v>-1</v>
      </c>
      <c r="H44" s="57" t="n">
        <f aca="false">SUM(Q44:W44)</f>
        <v>109</v>
      </c>
      <c r="K44" s="7" t="n">
        <v>-1</v>
      </c>
      <c r="S44" s="7" t="n">
        <f aca="false">109</f>
        <v>109</v>
      </c>
      <c r="X44" s="58"/>
    </row>
    <row r="45" customFormat="false" ht="26.25" hidden="false" customHeight="true" outlineLevel="0" collapsed="false">
      <c r="A45" s="24" t="n">
        <v>44</v>
      </c>
      <c r="B45" s="55" t="s">
        <v>161</v>
      </c>
      <c r="C45" s="1" t="s">
        <v>144</v>
      </c>
      <c r="D45" s="1" t="s">
        <v>56</v>
      </c>
      <c r="E45" s="1" t="n">
        <f aca="false">'연도별 상수'!$A$46</f>
        <v>2026</v>
      </c>
      <c r="F45" s="1" t="n">
        <f aca="false">ROUND((I45*0.65)+(J45*0.7)+(K45*0.65)+(L45*0.75)+(M45*0.65)+(N45*0.8)+(O45*0.7),0)</f>
        <v>-1</v>
      </c>
      <c r="G45" s="56" t="n">
        <f aca="false">SUM(I45:O45)</f>
        <v>-1</v>
      </c>
      <c r="H45" s="57" t="n">
        <f aca="false">SUM(Q45:W45)</f>
        <v>118</v>
      </c>
      <c r="O45" s="7" t="n">
        <v>-1</v>
      </c>
      <c r="W45" s="7" t="n">
        <v>118</v>
      </c>
      <c r="X45" s="58"/>
    </row>
    <row r="46" customFormat="false" ht="26.25" hidden="false" customHeight="true" outlineLevel="0" collapsed="false">
      <c r="A46" s="24" t="n">
        <v>45</v>
      </c>
      <c r="B46" s="55" t="s">
        <v>117</v>
      </c>
      <c r="C46" s="1" t="s">
        <v>14</v>
      </c>
      <c r="D46" s="1" t="s">
        <v>47</v>
      </c>
      <c r="E46" s="1" t="n">
        <f aca="false">'연도별 상수'!$A$46</f>
        <v>2026</v>
      </c>
      <c r="F46" s="1" t="n">
        <f aca="false">ROUND((I46*0.65)+(J46*0.7)+(K46*0.65)+(L46*0.75)+(M46*0.65)+(N46*0.8)+(O46*0.7),0)</f>
        <v>-1</v>
      </c>
      <c r="G46" s="56" t="n">
        <f aca="false">SUM(I46:O46)</f>
        <v>-1</v>
      </c>
      <c r="H46" s="57" t="n">
        <f aca="false">SUM(Q46:W46)</f>
        <v>123</v>
      </c>
      <c r="J46" s="7" t="n">
        <v>-1</v>
      </c>
      <c r="R46" s="7" t="n">
        <v>123</v>
      </c>
      <c r="X46" s="58"/>
    </row>
    <row r="47" customFormat="false" ht="26.25" hidden="false" customHeight="true" outlineLevel="0" collapsed="false">
      <c r="A47" s="24" t="n">
        <v>46</v>
      </c>
      <c r="B47" s="55" t="s">
        <v>162</v>
      </c>
      <c r="C47" s="1" t="s">
        <v>15</v>
      </c>
      <c r="D47" s="1" t="s">
        <v>89</v>
      </c>
      <c r="E47" s="1" t="n">
        <f aca="false">'연도별 상수'!$A$46</f>
        <v>2026</v>
      </c>
      <c r="F47" s="1" t="n">
        <f aca="false">ROUND((I47*0.65)+(J47*0.7)+(K47*0.65)+(L47*0.75)+(M47*0.65)+(N47*0.8)+(O47*0.7),0)</f>
        <v>-1</v>
      </c>
      <c r="G47" s="56" t="n">
        <f aca="false">SUM(I47:O47)</f>
        <v>-1</v>
      </c>
      <c r="H47" s="57" t="n">
        <f aca="false">SUM(Q47:W47)</f>
        <v>126</v>
      </c>
      <c r="K47" s="7" t="n">
        <v>-1</v>
      </c>
      <c r="S47" s="7" t="n">
        <v>126</v>
      </c>
      <c r="X47" s="58"/>
    </row>
    <row r="48" customFormat="false" ht="26.25" hidden="false" customHeight="true" outlineLevel="0" collapsed="false">
      <c r="A48" s="24" t="n">
        <v>47</v>
      </c>
      <c r="B48" s="55" t="s">
        <v>163</v>
      </c>
      <c r="C48" s="1" t="s">
        <v>145</v>
      </c>
      <c r="D48" s="1" t="s">
        <v>50</v>
      </c>
      <c r="E48" s="1" t="n">
        <f aca="false">'연도별 상수'!$A$46</f>
        <v>2026</v>
      </c>
      <c r="F48" s="1" t="n">
        <f aca="false">ROUND((I48*0.65)+(J48*0.7)+(K48*0.65)+(L48*0.75)+(M48*0.65)+(N48*0.8)+(O48*0.7),0)</f>
        <v>-1</v>
      </c>
      <c r="G48" s="56" t="n">
        <f aca="false">SUM(I48:O48)</f>
        <v>-1</v>
      </c>
      <c r="H48" s="57" t="n">
        <f aca="false">SUM(Q48:W48)</f>
        <v>132</v>
      </c>
      <c r="I48" s="7" t="n">
        <v>-1</v>
      </c>
      <c r="Q48" s="7" t="n">
        <v>132</v>
      </c>
      <c r="X48" s="58"/>
    </row>
    <row r="49" customFormat="false" ht="26.25" hidden="false" customHeight="true" outlineLevel="0" collapsed="false">
      <c r="A49" s="24" t="n">
        <v>48</v>
      </c>
      <c r="B49" s="55" t="s">
        <v>100</v>
      </c>
      <c r="C49" s="1" t="s">
        <v>150</v>
      </c>
      <c r="D49" s="1" t="s">
        <v>45</v>
      </c>
      <c r="E49" s="1" t="n">
        <f aca="false">'연도별 상수'!$A$46</f>
        <v>2026</v>
      </c>
      <c r="F49" s="1" t="n">
        <f aca="false">ROUND((I49*0.65)+(J49*0.7)+(K49*0.65)+(L49*0.75)+(M49*0.65)+(N49*0.8)+(O49*0.7),0)</f>
        <v>-1</v>
      </c>
      <c r="G49" s="56" t="n">
        <f aca="false">SUM(I49:O49)</f>
        <v>-1</v>
      </c>
      <c r="H49" s="57" t="n">
        <f aca="false">SUM(Q49:W49)</f>
        <v>140.333333333333</v>
      </c>
      <c r="M49" s="7" t="n">
        <v>-1</v>
      </c>
      <c r="U49" s="7" t="n">
        <f aca="false">140+1/3</f>
        <v>140.333333333333</v>
      </c>
      <c r="X49" s="58"/>
    </row>
    <row r="50" customFormat="false" ht="26.25" hidden="false" customHeight="true" outlineLevel="0" collapsed="false">
      <c r="A50" s="24" t="n">
        <v>49</v>
      </c>
      <c r="B50" s="55" t="s">
        <v>164</v>
      </c>
      <c r="C50" s="1" t="s">
        <v>150</v>
      </c>
      <c r="D50" s="1" t="s">
        <v>47</v>
      </c>
      <c r="E50" s="1" t="n">
        <f aca="false">'연도별 상수'!$A$46</f>
        <v>2026</v>
      </c>
      <c r="F50" s="1" t="n">
        <f aca="false">ROUND((I50*0.65)+(J50*0.7)+(K50*0.65)+(L50*0.75)+(M50*0.65)+(N50*0.8)+(O50*0.7),0)</f>
        <v>-1</v>
      </c>
      <c r="G50" s="56" t="n">
        <f aca="false">SUM(I50:O50)</f>
        <v>-1</v>
      </c>
      <c r="H50" s="57" t="n">
        <f aca="false">SUM(Q50:W50)</f>
        <v>155.333333333333</v>
      </c>
      <c r="M50" s="7" t="n">
        <v>-1</v>
      </c>
      <c r="U50" s="7" t="n">
        <f aca="false">155+1/3</f>
        <v>155.333333333333</v>
      </c>
      <c r="X50" s="58"/>
    </row>
    <row r="51" customFormat="false" ht="26.25" hidden="false" customHeight="true" outlineLevel="0" collapsed="false">
      <c r="A51" s="24" t="n">
        <v>50</v>
      </c>
      <c r="B51" s="55" t="s">
        <v>165</v>
      </c>
      <c r="C51" s="1" t="s">
        <v>141</v>
      </c>
      <c r="D51" s="1" t="s">
        <v>89</v>
      </c>
      <c r="E51" s="1" t="n">
        <f aca="false">'연도별 상수'!$A$46</f>
        <v>2026</v>
      </c>
      <c r="F51" s="1" t="n">
        <f aca="false">ROUND((I51*0.65)+(J51*0.7)+(K51*0.65)+(L51*0.75)+(M51*0.65)+(N51*0.8)+(O51*0.7),0)</f>
        <v>-1</v>
      </c>
      <c r="G51" s="56" t="n">
        <f aca="false">SUM(I51:O51)</f>
        <v>-1</v>
      </c>
      <c r="H51" s="57" t="n">
        <f aca="false">SUM(Q51:W51)</f>
        <v>157.666666666667</v>
      </c>
      <c r="N51" s="7" t="n">
        <v>-1</v>
      </c>
      <c r="V51" s="7" t="n">
        <f aca="false">157+2/3</f>
        <v>157.666666666667</v>
      </c>
      <c r="X51" s="58"/>
    </row>
    <row r="52" customFormat="false" ht="26.25" hidden="false" customHeight="true" outlineLevel="0" collapsed="false">
      <c r="A52" s="24" t="n">
        <v>51</v>
      </c>
      <c r="B52" s="55" t="s">
        <v>125</v>
      </c>
      <c r="C52" s="1" t="s">
        <v>145</v>
      </c>
      <c r="D52" s="1" t="s">
        <v>89</v>
      </c>
      <c r="E52" s="1" t="n">
        <f aca="false">'연도별 상수'!$A$46</f>
        <v>2026</v>
      </c>
      <c r="F52" s="1" t="n">
        <f aca="false">ROUND((I52*0.65)+(J52*0.7)+(K52*0.65)+(L52*0.75)+(M52*0.65)+(N52*0.8)+(O52*0.7),0)</f>
        <v>-1</v>
      </c>
      <c r="G52" s="56" t="n">
        <f aca="false">SUM(I52:O52)</f>
        <v>-1</v>
      </c>
      <c r="H52" s="57" t="n">
        <f aca="false">SUM(Q52:W52)</f>
        <v>179.666666666667</v>
      </c>
      <c r="I52" s="7" t="n">
        <v>0</v>
      </c>
      <c r="K52" s="7" t="n">
        <v>-1</v>
      </c>
      <c r="Q52" s="7" t="n">
        <f aca="false">107+2/3</f>
        <v>107.666666666667</v>
      </c>
      <c r="S52" s="7" t="n">
        <v>72</v>
      </c>
      <c r="X52" s="58"/>
    </row>
    <row r="53" customFormat="false" ht="26.25" hidden="false" customHeight="true" outlineLevel="0" collapsed="false">
      <c r="A53" s="24" t="n">
        <v>52</v>
      </c>
      <c r="B53" s="55" t="s">
        <v>166</v>
      </c>
      <c r="C53" s="1" t="s">
        <v>14</v>
      </c>
      <c r="D53" s="1" t="s">
        <v>76</v>
      </c>
      <c r="E53" s="1" t="n">
        <f aca="false">'연도별 상수'!$A$46</f>
        <v>2026</v>
      </c>
      <c r="F53" s="1" t="n">
        <f aca="false">ROUND((I53*0.65)+(J53*0.7)+(K53*0.65)+(L53*0.75)+(M53*0.65)+(N53*0.8)+(O53*0.7),0)</f>
        <v>-1</v>
      </c>
      <c r="G53" s="56" t="n">
        <f aca="false">SUM(I53:O53)</f>
        <v>-1</v>
      </c>
      <c r="H53" s="57" t="n">
        <f aca="false">SUM(Q53:W53)</f>
        <v>195</v>
      </c>
      <c r="J53" s="7" t="n">
        <v>-1</v>
      </c>
      <c r="R53" s="7" t="n">
        <v>195</v>
      </c>
      <c r="X53" s="58"/>
    </row>
    <row r="54" customFormat="false" ht="26.25" hidden="false" customHeight="true" outlineLevel="0" collapsed="false">
      <c r="A54" s="24" t="n">
        <v>53</v>
      </c>
      <c r="B54" s="55" t="s">
        <v>167</v>
      </c>
      <c r="C54" s="1" t="s">
        <v>145</v>
      </c>
      <c r="D54" s="1" t="s">
        <v>76</v>
      </c>
      <c r="E54" s="1" t="n">
        <f aca="false">'연도별 상수'!$A$46</f>
        <v>2026</v>
      </c>
      <c r="F54" s="1" t="n">
        <f aca="false">ROUND((I54*0.65)+(J54*0.7)+(K54*0.65)+(L54*0.75)+(M54*0.65)+(N54*0.8)+(O54*0.7),0)</f>
        <v>-1</v>
      </c>
      <c r="G54" s="56" t="n">
        <f aca="false">SUM(I54:O54)</f>
        <v>-1</v>
      </c>
      <c r="H54" s="57" t="n">
        <f aca="false">SUM(Q54:W54)</f>
        <v>238.333333333333</v>
      </c>
      <c r="I54" s="7" t="n">
        <v>-1</v>
      </c>
      <c r="Q54" s="7" t="n">
        <f aca="false">238+1/3</f>
        <v>238.333333333333</v>
      </c>
      <c r="X54" s="58"/>
    </row>
    <row r="55" customFormat="false" ht="26.25" hidden="false" customHeight="true" outlineLevel="0" collapsed="false">
      <c r="A55" s="24" t="n">
        <v>54</v>
      </c>
      <c r="B55" s="55" t="s">
        <v>49</v>
      </c>
      <c r="C55" s="1" t="s">
        <v>142</v>
      </c>
      <c r="D55" s="1" t="s">
        <v>50</v>
      </c>
      <c r="E55" s="1" t="n">
        <f aca="false">'연도별 상수'!$A$46</f>
        <v>2026</v>
      </c>
      <c r="F55" s="1" t="n">
        <f aca="false">ROUND((I55*0.65)+(J55*0.7)+(K55*0.65)+(L55*0.75)+(M55*0.65)+(N55*0.8)+(O55*0.7),0)</f>
        <v>-1</v>
      </c>
      <c r="G55" s="56" t="n">
        <f aca="false">SUM(I55:O55)</f>
        <v>-1</v>
      </c>
      <c r="H55" s="57" t="n">
        <f aca="false">SUM(Q55:W55)</f>
        <v>260</v>
      </c>
      <c r="L55" s="7" t="n">
        <v>-1</v>
      </c>
      <c r="T55" s="7" t="n">
        <v>260</v>
      </c>
      <c r="X55" s="58"/>
    </row>
    <row r="56" customFormat="false" ht="26.25" hidden="false" customHeight="true" outlineLevel="0" collapsed="false">
      <c r="A56" s="24" t="n">
        <v>55</v>
      </c>
      <c r="B56" s="55" t="s">
        <v>60</v>
      </c>
      <c r="C56" s="1" t="s">
        <v>150</v>
      </c>
      <c r="D56" s="1" t="s">
        <v>56</v>
      </c>
      <c r="E56" s="1" t="n">
        <f aca="false">'연도별 상수'!$A$46</f>
        <v>2026</v>
      </c>
      <c r="F56" s="1" t="n">
        <f aca="false">ROUND((I56*0.65)+(J56*0.7)+(K56*0.65)+(L56*0.75)+(M56*0.65)+(N56*0.8)+(O56*0.7),0)</f>
        <v>-1</v>
      </c>
      <c r="G56" s="56" t="n">
        <f aca="false">SUM(I56:O56)</f>
        <v>-1</v>
      </c>
      <c r="H56" s="57" t="n">
        <f aca="false">SUM(Q56:W56)</f>
        <v>269</v>
      </c>
      <c r="M56" s="7" t="n">
        <v>0</v>
      </c>
      <c r="N56" s="7" t="n">
        <v>-1</v>
      </c>
      <c r="U56" s="7" t="n">
        <v>206</v>
      </c>
      <c r="V56" s="7" t="n">
        <v>63</v>
      </c>
      <c r="X56" s="58"/>
    </row>
    <row r="57" customFormat="false" ht="26.25" hidden="false" customHeight="true" outlineLevel="0" collapsed="false">
      <c r="A57" s="24" t="n">
        <v>56</v>
      </c>
      <c r="B57" s="55" t="s">
        <v>168</v>
      </c>
      <c r="C57" s="1" t="s">
        <v>14</v>
      </c>
      <c r="D57" s="1" t="s">
        <v>50</v>
      </c>
      <c r="E57" s="1" t="n">
        <f aca="false">'연도별 상수'!$A$46</f>
        <v>2026</v>
      </c>
      <c r="F57" s="1" t="n">
        <f aca="false">ROUND((I57*0.65)+(J57*0.7)+(K57*0.65)+(L57*0.75)+(M57*0.65)+(N57*0.8)+(O57*0.7),0)</f>
        <v>-1</v>
      </c>
      <c r="G57" s="56" t="n">
        <f aca="false">SUM(I57:O57)</f>
        <v>-2</v>
      </c>
      <c r="H57" s="57" t="n">
        <f aca="false">SUM(Q57:W57)</f>
        <v>77</v>
      </c>
      <c r="J57" s="7" t="n">
        <v>-2</v>
      </c>
      <c r="R57" s="7" t="n">
        <v>77</v>
      </c>
      <c r="X57" s="58"/>
    </row>
    <row r="58" customFormat="false" ht="26.25" hidden="false" customHeight="true" outlineLevel="0" collapsed="false">
      <c r="A58" s="24" t="n">
        <v>57</v>
      </c>
      <c r="B58" s="55" t="s">
        <v>77</v>
      </c>
      <c r="C58" s="1" t="s">
        <v>150</v>
      </c>
      <c r="D58" s="1" t="s">
        <v>59</v>
      </c>
      <c r="E58" s="1" t="n">
        <f aca="false">'연도별 상수'!$A$46</f>
        <v>2026</v>
      </c>
      <c r="F58" s="1" t="n">
        <f aca="false">ROUND((I58*0.65)+(J58*0.7)+(K58*0.65)+(L58*0.75)+(M58*0.65)+(N58*0.8)+(O58*0.7),0)</f>
        <v>-1</v>
      </c>
      <c r="G58" s="56" t="n">
        <f aca="false">SUM(I58:O58)</f>
        <v>-2</v>
      </c>
      <c r="H58" s="57" t="n">
        <f aca="false">SUM(Q58:W58)</f>
        <v>92</v>
      </c>
      <c r="M58" s="7" t="n">
        <v>-2</v>
      </c>
      <c r="U58" s="7" t="n">
        <v>92</v>
      </c>
      <c r="X58" s="58"/>
    </row>
    <row r="59" customFormat="false" ht="26.25" hidden="false" customHeight="true" outlineLevel="0" collapsed="false">
      <c r="A59" s="24" t="n">
        <v>58</v>
      </c>
      <c r="B59" s="55" t="s">
        <v>123</v>
      </c>
      <c r="C59" s="1" t="s">
        <v>14</v>
      </c>
      <c r="D59" s="1" t="s">
        <v>89</v>
      </c>
      <c r="E59" s="1" t="n">
        <f aca="false">'연도별 상수'!$A$46</f>
        <v>2026</v>
      </c>
      <c r="F59" s="1" t="n">
        <f aca="false">ROUND((I59*0.65)+(J59*0.7)+(K59*0.65)+(L59*0.75)+(M59*0.65)+(N59*0.8)+(O59*0.7),0)</f>
        <v>-1</v>
      </c>
      <c r="G59" s="56" t="n">
        <f aca="false">SUM(I59:O59)</f>
        <v>-2</v>
      </c>
      <c r="H59" s="57" t="n">
        <f aca="false">SUM(Q59:W59)</f>
        <v>110</v>
      </c>
      <c r="J59" s="7" t="n">
        <v>-2</v>
      </c>
      <c r="R59" s="7" t="n">
        <v>110</v>
      </c>
      <c r="X59" s="58"/>
    </row>
    <row r="60" customFormat="false" ht="26.25" hidden="false" customHeight="true" outlineLevel="0" collapsed="false">
      <c r="A60" s="24" t="n">
        <v>59</v>
      </c>
      <c r="B60" s="55" t="s">
        <v>74</v>
      </c>
      <c r="C60" s="1" t="s">
        <v>144</v>
      </c>
      <c r="D60" s="1" t="s">
        <v>47</v>
      </c>
      <c r="E60" s="1" t="n">
        <f aca="false">'연도별 상수'!$A$46</f>
        <v>2026</v>
      </c>
      <c r="F60" s="1" t="n">
        <f aca="false">ROUND((I60*0.65)+(J60*0.7)+(K60*0.65)+(L60*0.75)+(M60*0.65)+(N60*0.8)+(O60*0.7),0)</f>
        <v>-1</v>
      </c>
      <c r="G60" s="56" t="n">
        <f aca="false">SUM(I60:O60)</f>
        <v>-2</v>
      </c>
      <c r="H60" s="57" t="n">
        <f aca="false">SUM(Q60:W60)</f>
        <v>137</v>
      </c>
      <c r="O60" s="7" t="n">
        <v>-2</v>
      </c>
      <c r="W60" s="7" t="n">
        <v>137</v>
      </c>
      <c r="X60" s="58"/>
    </row>
    <row r="61" customFormat="false" ht="26.25" hidden="false" customHeight="true" outlineLevel="0" collapsed="false">
      <c r="A61" s="24" t="n">
        <v>60</v>
      </c>
      <c r="B61" s="55" t="s">
        <v>169</v>
      </c>
      <c r="C61" s="1" t="s">
        <v>14</v>
      </c>
      <c r="D61" s="1" t="s">
        <v>62</v>
      </c>
      <c r="E61" s="1" t="n">
        <f aca="false">'연도별 상수'!$A$46</f>
        <v>2026</v>
      </c>
      <c r="F61" s="1" t="n">
        <f aca="false">ROUND((I61*0.65)+(J61*0.7)+(K61*0.65)+(L61*0.75)+(M61*0.65)+(N61*0.8)+(O61*0.7),0)</f>
        <v>-1</v>
      </c>
      <c r="G61" s="56" t="n">
        <f aca="false">SUM(I61:O61)</f>
        <v>-2</v>
      </c>
      <c r="H61" s="57" t="n">
        <f aca="false">SUM(Q61:W61)</f>
        <v>170</v>
      </c>
      <c r="J61" s="7" t="n">
        <v>-2</v>
      </c>
      <c r="R61" s="7" t="n">
        <v>170</v>
      </c>
      <c r="X61" s="58"/>
    </row>
    <row r="62" customFormat="false" ht="26.25" hidden="false" customHeight="true" outlineLevel="0" collapsed="false">
      <c r="A62" s="24" t="n">
        <v>61</v>
      </c>
      <c r="B62" s="55" t="s">
        <v>75</v>
      </c>
      <c r="C62" s="1" t="s">
        <v>150</v>
      </c>
      <c r="D62" s="1" t="s">
        <v>76</v>
      </c>
      <c r="E62" s="1" t="n">
        <f aca="false">'연도별 상수'!$A$46</f>
        <v>2026</v>
      </c>
      <c r="F62" s="1" t="n">
        <f aca="false">ROUND((I62*0.65)+(J62*0.7)+(K62*0.65)+(L62*0.75)+(M62*0.65)+(N62*0.8)+(O62*0.7),0)</f>
        <v>-1</v>
      </c>
      <c r="G62" s="56" t="n">
        <f aca="false">SUM(I62:O62)</f>
        <v>-2</v>
      </c>
      <c r="H62" s="57" t="n">
        <f aca="false">SUM(Q62:W62)</f>
        <v>189</v>
      </c>
      <c r="M62" s="7" t="n">
        <v>-2</v>
      </c>
      <c r="U62" s="7" t="n">
        <v>189</v>
      </c>
      <c r="X62" s="58"/>
    </row>
    <row r="63" customFormat="false" ht="26.25" hidden="false" customHeight="true" outlineLevel="0" collapsed="false">
      <c r="A63" s="24" t="n">
        <v>62</v>
      </c>
      <c r="B63" s="55" t="s">
        <v>103</v>
      </c>
      <c r="C63" s="1" t="s">
        <v>150</v>
      </c>
      <c r="D63" s="1" t="s">
        <v>54</v>
      </c>
      <c r="E63" s="1" t="n">
        <f aca="false">'연도별 상수'!$A$46</f>
        <v>2026</v>
      </c>
      <c r="F63" s="1" t="n">
        <f aca="false">ROUND((I63*0.65)+(J63*0.7)+(K63*0.65)+(L63*0.75)+(M63*0.65)+(N63*0.8)+(O63*0.7),0)</f>
        <v>-1</v>
      </c>
      <c r="G63" s="56" t="n">
        <f aca="false">SUM(I63:O63)</f>
        <v>-2</v>
      </c>
      <c r="H63" s="57" t="n">
        <f aca="false">SUM(Q63:W63)</f>
        <v>192</v>
      </c>
      <c r="M63" s="7" t="n">
        <v>-2</v>
      </c>
      <c r="U63" s="7" t="n">
        <v>192</v>
      </c>
      <c r="X63" s="58"/>
    </row>
    <row r="64" customFormat="false" ht="26.25" hidden="false" customHeight="true" outlineLevel="0" collapsed="false">
      <c r="A64" s="24" t="n">
        <v>63</v>
      </c>
      <c r="B64" s="55" t="s">
        <v>118</v>
      </c>
      <c r="C64" s="1" t="s">
        <v>145</v>
      </c>
      <c r="D64" s="1" t="s">
        <v>56</v>
      </c>
      <c r="E64" s="1" t="n">
        <f aca="false">'연도별 상수'!$A$46</f>
        <v>2026</v>
      </c>
      <c r="F64" s="1" t="n">
        <f aca="false">ROUND((I64*0.65)+(J64*0.7)+(K64*0.65)+(L64*0.75)+(M64*0.65)+(N64*0.8)+(O64*0.7),0)</f>
        <v>-1</v>
      </c>
      <c r="G64" s="56" t="n">
        <f aca="false">SUM(I64:O64)</f>
        <v>-2</v>
      </c>
      <c r="H64" s="57" t="n">
        <f aca="false">SUM(Q64:W64)</f>
        <v>209</v>
      </c>
      <c r="I64" s="7" t="n">
        <v>-2</v>
      </c>
      <c r="Q64" s="7" t="n">
        <v>209</v>
      </c>
      <c r="X64" s="58"/>
    </row>
    <row r="65" customFormat="false" ht="26.25" hidden="false" customHeight="true" outlineLevel="0" collapsed="false">
      <c r="A65" s="24" t="n">
        <v>64</v>
      </c>
      <c r="B65" s="55" t="s">
        <v>80</v>
      </c>
      <c r="C65" s="1" t="s">
        <v>144</v>
      </c>
      <c r="D65" s="1" t="s">
        <v>54</v>
      </c>
      <c r="E65" s="1" t="n">
        <f aca="false">'연도별 상수'!$A$46</f>
        <v>2026</v>
      </c>
      <c r="F65" s="1" t="n">
        <f aca="false">ROUND((I65*0.65)+(J65*0.7)+(K65*0.65)+(L65*0.75)+(M65*0.65)+(N65*0.8)+(O65*0.7),0)</f>
        <v>-1</v>
      </c>
      <c r="G65" s="56" t="n">
        <f aca="false">SUM(I65:O65)</f>
        <v>-2</v>
      </c>
      <c r="H65" s="57" t="n">
        <f aca="false">SUM(Q65:W65)</f>
        <v>220</v>
      </c>
      <c r="O65" s="7" t="n">
        <v>-2</v>
      </c>
      <c r="W65" s="7" t="n">
        <v>220</v>
      </c>
      <c r="X65" s="58"/>
    </row>
    <row r="66" customFormat="false" ht="26.25" hidden="false" customHeight="true" outlineLevel="0" collapsed="false">
      <c r="A66" s="24" t="n">
        <v>65</v>
      </c>
      <c r="B66" s="55" t="s">
        <v>46</v>
      </c>
      <c r="C66" s="1" t="s">
        <v>15</v>
      </c>
      <c r="D66" s="1" t="s">
        <v>47</v>
      </c>
      <c r="E66" s="1" t="n">
        <f aca="false">'연도별 상수'!$A$46</f>
        <v>2026</v>
      </c>
      <c r="F66" s="1" t="n">
        <f aca="false">ROUND((I66*0.65)+(J66*0.7)+(K66*0.65)+(L66*0.75)+(M66*0.65)+(N66*0.8)+(O66*0.7),0)</f>
        <v>-1</v>
      </c>
      <c r="G66" s="56" t="n">
        <f aca="false">SUM(I66:O66)</f>
        <v>-2</v>
      </c>
      <c r="H66" s="57" t="n">
        <f aca="false">SUM(Q66:W66)</f>
        <v>243.666666666667</v>
      </c>
      <c r="K66" s="7" t="n">
        <v>-2</v>
      </c>
      <c r="S66" s="7" t="n">
        <f aca="false">243+2/3</f>
        <v>243.666666666667</v>
      </c>
      <c r="X66" s="58"/>
    </row>
    <row r="67" customFormat="false" ht="26.25" hidden="false" customHeight="true" outlineLevel="0" collapsed="false">
      <c r="A67" s="24" t="n">
        <v>66</v>
      </c>
      <c r="B67" s="55" t="s">
        <v>96</v>
      </c>
      <c r="C67" s="1" t="s">
        <v>150</v>
      </c>
      <c r="D67" s="1" t="s">
        <v>62</v>
      </c>
      <c r="E67" s="1" t="n">
        <f aca="false">'연도별 상수'!$A$46</f>
        <v>2026</v>
      </c>
      <c r="F67" s="1" t="n">
        <f aca="false">ROUND((I67*0.65)+(J67*0.7)+(K67*0.65)+(L67*0.75)+(M67*0.65)+(N67*0.8)+(O67*0.7),0)</f>
        <v>-1</v>
      </c>
      <c r="G67" s="56" t="n">
        <f aca="false">SUM(I67:O67)</f>
        <v>-2</v>
      </c>
      <c r="H67" s="57" t="n">
        <f aca="false">SUM(Q67:W67)</f>
        <v>248</v>
      </c>
      <c r="M67" s="7" t="n">
        <v>-2</v>
      </c>
      <c r="U67" s="7" t="n">
        <v>248</v>
      </c>
      <c r="W67" s="59"/>
      <c r="X67" s="58"/>
    </row>
    <row r="68" customFormat="false" ht="26.25" hidden="false" customHeight="true" outlineLevel="0" collapsed="false">
      <c r="A68" s="24" t="n">
        <v>67</v>
      </c>
      <c r="B68" s="55" t="s">
        <v>52</v>
      </c>
      <c r="C68" s="1" t="s">
        <v>15</v>
      </c>
      <c r="D68" s="1" t="s">
        <v>50</v>
      </c>
      <c r="E68" s="1" t="n">
        <f aca="false">'연도별 상수'!$A$46</f>
        <v>2026</v>
      </c>
      <c r="F68" s="1" t="n">
        <f aca="false">ROUND((I68*0.65)+(J68*0.7)+(K68*0.65)+(L68*0.75)+(M68*0.65)+(N68*0.8)+(O68*0.7),0)</f>
        <v>-1</v>
      </c>
      <c r="G68" s="56" t="n">
        <f aca="false">SUM(I68:O68)</f>
        <v>-2</v>
      </c>
      <c r="H68" s="57" t="n">
        <f aca="false">SUM(Q68:W68)</f>
        <v>254</v>
      </c>
      <c r="K68" s="7" t="n">
        <v>-2</v>
      </c>
      <c r="S68" s="7" t="n">
        <v>254</v>
      </c>
      <c r="X68" s="58"/>
    </row>
    <row r="69" customFormat="false" ht="26.25" hidden="false" customHeight="true" outlineLevel="0" collapsed="false">
      <c r="A69" s="24" t="n">
        <v>68</v>
      </c>
      <c r="B69" s="55" t="s">
        <v>170</v>
      </c>
      <c r="C69" s="1" t="s">
        <v>142</v>
      </c>
      <c r="D69" s="1" t="s">
        <v>89</v>
      </c>
      <c r="E69" s="1" t="n">
        <f aca="false">'연도별 상수'!$A$46</f>
        <v>2026</v>
      </c>
      <c r="F69" s="1" t="n">
        <f aca="false">ROUND((I69*0.65)+(J69*0.7)+(K69*0.65)+(L69*0.75)+(M69*0.65)+(N69*0.8)+(O69*0.7),0)</f>
        <v>-2</v>
      </c>
      <c r="G69" s="56" t="n">
        <f aca="false">SUM(I69:O69)</f>
        <v>-2</v>
      </c>
      <c r="H69" s="57" t="n">
        <f aca="false">SUM(Q69:W69)</f>
        <v>104.666666666667</v>
      </c>
      <c r="L69" s="7" t="n">
        <v>-2</v>
      </c>
      <c r="T69" s="7" t="n">
        <f aca="false">104+2/3</f>
        <v>104.666666666667</v>
      </c>
      <c r="X69" s="58"/>
    </row>
    <row r="70" customFormat="false" ht="26.25" hidden="false" customHeight="true" outlineLevel="0" collapsed="false">
      <c r="A70" s="24" t="n">
        <v>69</v>
      </c>
      <c r="B70" s="55" t="s">
        <v>171</v>
      </c>
      <c r="C70" s="1" t="s">
        <v>141</v>
      </c>
      <c r="D70" s="1" t="s">
        <v>62</v>
      </c>
      <c r="E70" s="1" t="n">
        <f aca="false">'연도별 상수'!$A$46</f>
        <v>2026</v>
      </c>
      <c r="F70" s="1" t="n">
        <f aca="false">ROUND((I70*0.65)+(J70*0.7)+(K70*0.65)+(L70*0.75)+(M70*0.65)+(N70*0.8)+(O70*0.7),0)</f>
        <v>-2</v>
      </c>
      <c r="G70" s="56" t="n">
        <f aca="false">SUM(I70:O70)</f>
        <v>-2</v>
      </c>
      <c r="H70" s="57" t="n">
        <f aca="false">SUM(Q70:W70)</f>
        <v>122</v>
      </c>
      <c r="N70" s="7" t="n">
        <v>-2</v>
      </c>
      <c r="V70" s="7" t="n">
        <f aca="false">122</f>
        <v>122</v>
      </c>
      <c r="X70" s="58"/>
    </row>
    <row r="71" customFormat="false" ht="26.25" hidden="false" customHeight="true" outlineLevel="0" collapsed="false">
      <c r="A71" s="24" t="n">
        <v>70</v>
      </c>
      <c r="B71" s="55" t="s">
        <v>86</v>
      </c>
      <c r="C71" s="1" t="s">
        <v>142</v>
      </c>
      <c r="D71" s="1" t="s">
        <v>62</v>
      </c>
      <c r="E71" s="1" t="n">
        <f aca="false">'연도별 상수'!$A$46</f>
        <v>2026</v>
      </c>
      <c r="F71" s="1" t="n">
        <f aca="false">ROUND((I71*0.65)+(J71*0.7)+(K71*0.65)+(L71*0.75)+(M71*0.65)+(N71*0.8)+(O71*0.7),0)</f>
        <v>-2</v>
      </c>
      <c r="G71" s="56" t="n">
        <f aca="false">SUM(I71:O71)</f>
        <v>-2</v>
      </c>
      <c r="H71" s="57" t="n">
        <f aca="false">SUM(Q71:W71)</f>
        <v>189</v>
      </c>
      <c r="L71" s="7" t="n">
        <v>-2</v>
      </c>
      <c r="T71" s="7" t="n">
        <v>189</v>
      </c>
      <c r="X71" s="58"/>
    </row>
    <row r="72" customFormat="false" ht="26.25" hidden="false" customHeight="true" outlineLevel="0" collapsed="false">
      <c r="A72" s="24" t="n">
        <v>71</v>
      </c>
      <c r="B72" s="55" t="s">
        <v>90</v>
      </c>
      <c r="C72" s="1" t="s">
        <v>142</v>
      </c>
      <c r="D72" s="1" t="s">
        <v>43</v>
      </c>
      <c r="E72" s="1" t="n">
        <f aca="false">'연도별 상수'!$A$46</f>
        <v>2026</v>
      </c>
      <c r="F72" s="1" t="n">
        <f aca="false">ROUND((I72*0.65)+(J72*0.7)+(K72*0.65)+(L72*0.75)+(M72*0.65)+(N72*0.8)+(O72*0.7),0)</f>
        <v>-2</v>
      </c>
      <c r="G72" s="56" t="n">
        <f aca="false">SUM(I72:O72)</f>
        <v>-2</v>
      </c>
      <c r="H72" s="57" t="n">
        <f aca="false">SUM(Q72:W72)</f>
        <v>202</v>
      </c>
      <c r="L72" s="7" t="n">
        <v>-2</v>
      </c>
      <c r="T72" s="7" t="n">
        <v>202</v>
      </c>
      <c r="X72" s="58"/>
    </row>
    <row r="73" customFormat="false" ht="26.25" hidden="false" customHeight="true" outlineLevel="0" collapsed="false">
      <c r="A73" s="24" t="n">
        <v>72</v>
      </c>
      <c r="B73" s="55" t="s">
        <v>82</v>
      </c>
      <c r="C73" s="1" t="s">
        <v>142</v>
      </c>
      <c r="D73" s="1" t="s">
        <v>76</v>
      </c>
      <c r="E73" s="1" t="n">
        <f aca="false">'연도별 상수'!$A$46</f>
        <v>2026</v>
      </c>
      <c r="F73" s="1" t="n">
        <f aca="false">ROUND((I73*0.65)+(J73*0.7)+(K73*0.65)+(L73*0.75)+(M73*0.65)+(N73*0.8)+(O73*0.7),0)</f>
        <v>-2</v>
      </c>
      <c r="G73" s="56" t="n">
        <f aca="false">SUM(I73:O73)</f>
        <v>-2</v>
      </c>
      <c r="H73" s="57" t="n">
        <f aca="false">SUM(Q73:W73)</f>
        <v>236.333333333333</v>
      </c>
      <c r="L73" s="7" t="n">
        <v>-2</v>
      </c>
      <c r="T73" s="7" t="n">
        <f aca="false">236+1/3</f>
        <v>236.333333333333</v>
      </c>
      <c r="X73" s="58"/>
    </row>
    <row r="74" customFormat="false" ht="26.25" hidden="false" customHeight="true" outlineLevel="0" collapsed="false">
      <c r="A74" s="24" t="n">
        <v>73</v>
      </c>
      <c r="B74" s="55" t="s">
        <v>172</v>
      </c>
      <c r="C74" s="1" t="s">
        <v>144</v>
      </c>
      <c r="D74" s="1" t="s">
        <v>50</v>
      </c>
      <c r="E74" s="1" t="n">
        <f aca="false">'연도별 상수'!$A$46</f>
        <v>2026</v>
      </c>
      <c r="F74" s="1" t="n">
        <f aca="false">ROUND((I74*0.65)+(J74*0.7)+(K74*0.65)+(L74*0.75)+(M74*0.65)+(N74*0.8)+(O74*0.7),0)</f>
        <v>-2</v>
      </c>
      <c r="G74" s="56" t="n">
        <f aca="false">SUM(I74:O74)</f>
        <v>-3</v>
      </c>
      <c r="H74" s="57" t="n">
        <f aca="false">SUM(Q74:W74)</f>
        <v>120</v>
      </c>
      <c r="O74" s="7" t="n">
        <v>-3</v>
      </c>
      <c r="W74" s="7" t="n">
        <v>120</v>
      </c>
      <c r="X74" s="58"/>
    </row>
    <row r="75" customFormat="false" ht="26.25" hidden="false" customHeight="true" outlineLevel="0" collapsed="false">
      <c r="A75" s="24" t="n">
        <v>74</v>
      </c>
      <c r="B75" s="55" t="s">
        <v>173</v>
      </c>
      <c r="C75" s="1" t="s">
        <v>142</v>
      </c>
      <c r="D75" s="1" t="s">
        <v>59</v>
      </c>
      <c r="E75" s="1" t="n">
        <f aca="false">'연도별 상수'!$A$46</f>
        <v>2026</v>
      </c>
      <c r="F75" s="1" t="n">
        <f aca="false">ROUND((I75*0.65)+(J75*0.7)+(K75*0.65)+(L75*0.75)+(M75*0.65)+(N75*0.8)+(O75*0.7),0)</f>
        <v>-2</v>
      </c>
      <c r="G75" s="56" t="n">
        <f aca="false">SUM(I75:O75)</f>
        <v>-3</v>
      </c>
      <c r="H75" s="57" t="n">
        <f aca="false">SUM(Q75:W75)</f>
        <v>131</v>
      </c>
      <c r="L75" s="7" t="n">
        <v>-3</v>
      </c>
      <c r="T75" s="7" t="n">
        <f aca="false">131</f>
        <v>131</v>
      </c>
      <c r="X75" s="58"/>
    </row>
    <row r="76" customFormat="false" ht="26.25" hidden="false" customHeight="true" outlineLevel="0" collapsed="false">
      <c r="A76" s="24" t="n">
        <v>75</v>
      </c>
      <c r="B76" s="55" t="s">
        <v>174</v>
      </c>
      <c r="C76" s="1" t="s">
        <v>145</v>
      </c>
      <c r="D76" s="1" t="s">
        <v>54</v>
      </c>
      <c r="E76" s="1" t="n">
        <f aca="false">'연도별 상수'!$A$46</f>
        <v>2026</v>
      </c>
      <c r="F76" s="1" t="n">
        <f aca="false">ROUND((I76*0.65)+(J76*0.7)+(K76*0.65)+(L76*0.75)+(M76*0.65)+(N76*0.8)+(O76*0.7),0)</f>
        <v>-2</v>
      </c>
      <c r="G76" s="56" t="n">
        <f aca="false">SUM(I76:O76)</f>
        <v>-3</v>
      </c>
      <c r="H76" s="57" t="n">
        <f aca="false">SUM(Q76:W76)</f>
        <v>175</v>
      </c>
      <c r="I76" s="7" t="n">
        <v>-3</v>
      </c>
      <c r="Q76" s="7" t="n">
        <v>175</v>
      </c>
      <c r="X76" s="58"/>
    </row>
    <row r="77" customFormat="false" ht="26.25" hidden="false" customHeight="true" outlineLevel="0" collapsed="false">
      <c r="A77" s="24" t="n">
        <v>76</v>
      </c>
      <c r="B77" s="55" t="s">
        <v>115</v>
      </c>
      <c r="C77" s="1" t="s">
        <v>15</v>
      </c>
      <c r="D77" s="1" t="s">
        <v>43</v>
      </c>
      <c r="E77" s="1" t="n">
        <f aca="false">'연도별 상수'!$A$46</f>
        <v>2026</v>
      </c>
      <c r="F77" s="1" t="n">
        <f aca="false">ROUND((I77*0.65)+(J77*0.7)+(K77*0.65)+(L77*0.75)+(M77*0.65)+(N77*0.8)+(O77*0.7),0)</f>
        <v>-2</v>
      </c>
      <c r="G77" s="56" t="n">
        <f aca="false">SUM(I77:O77)</f>
        <v>-3</v>
      </c>
      <c r="H77" s="57" t="n">
        <f aca="false">SUM(Q77:W77)</f>
        <v>198</v>
      </c>
      <c r="K77" s="7" t="n">
        <v>-3</v>
      </c>
      <c r="S77" s="7" t="n">
        <v>198</v>
      </c>
      <c r="X77" s="58"/>
    </row>
    <row r="78" customFormat="false" ht="26.25" hidden="false" customHeight="true" outlineLevel="0" collapsed="false">
      <c r="A78" s="24" t="n">
        <v>77</v>
      </c>
      <c r="B78" s="55" t="s">
        <v>67</v>
      </c>
      <c r="C78" s="1" t="s">
        <v>14</v>
      </c>
      <c r="D78" s="1" t="s">
        <v>54</v>
      </c>
      <c r="E78" s="1" t="n">
        <f aca="false">'연도별 상수'!$A$46</f>
        <v>2026</v>
      </c>
      <c r="F78" s="1" t="n">
        <f aca="false">ROUND((I78*0.65)+(J78*0.7)+(K78*0.65)+(L78*0.75)+(M78*0.65)+(N78*0.8)+(O78*0.7),0)</f>
        <v>-2</v>
      </c>
      <c r="G78" s="56" t="n">
        <f aca="false">SUM(I78:O78)</f>
        <v>-3</v>
      </c>
      <c r="H78" s="57" t="n">
        <f aca="false">SUM(Q78:W78)</f>
        <v>224.333333333333</v>
      </c>
      <c r="J78" s="7" t="n">
        <v>-3</v>
      </c>
      <c r="R78" s="7" t="n">
        <f aca="false">224+1/3</f>
        <v>224.333333333333</v>
      </c>
      <c r="V78" s="60"/>
      <c r="X78" s="58"/>
    </row>
    <row r="79" customFormat="false" ht="26.25" hidden="false" customHeight="true" outlineLevel="0" collapsed="false">
      <c r="A79" s="24" t="n">
        <v>78</v>
      </c>
      <c r="B79" s="55" t="s">
        <v>175</v>
      </c>
      <c r="C79" s="1" t="s">
        <v>145</v>
      </c>
      <c r="D79" s="1" t="s">
        <v>62</v>
      </c>
      <c r="E79" s="1" t="n">
        <f aca="false">'연도별 상수'!$A$46</f>
        <v>2026</v>
      </c>
      <c r="F79" s="1" t="n">
        <f aca="false">ROUND((I79*0.65)+(J79*0.7)+(K79*0.65)+(L79*0.75)+(M79*0.65)+(N79*0.8)+(O79*0.7),0)</f>
        <v>-2</v>
      </c>
      <c r="G79" s="56" t="n">
        <f aca="false">SUM(I79:O79)</f>
        <v>-3</v>
      </c>
      <c r="H79" s="57" t="n">
        <f aca="false">SUM(Q79:W79)</f>
        <v>224.333333333333</v>
      </c>
      <c r="I79" s="7" t="n">
        <v>-3</v>
      </c>
      <c r="Q79" s="7" t="n">
        <f aca="false">224+1/3</f>
        <v>224.333333333333</v>
      </c>
      <c r="V79" s="60"/>
      <c r="X79" s="58"/>
    </row>
    <row r="80" customFormat="false" ht="26.25" hidden="false" customHeight="true" outlineLevel="0" collapsed="false">
      <c r="A80" s="24" t="n">
        <v>79</v>
      </c>
      <c r="B80" s="55" t="s">
        <v>110</v>
      </c>
      <c r="C80" s="1" t="s">
        <v>15</v>
      </c>
      <c r="D80" s="1" t="s">
        <v>76</v>
      </c>
      <c r="E80" s="1" t="n">
        <f aca="false">'연도별 상수'!$A$46</f>
        <v>2026</v>
      </c>
      <c r="F80" s="1" t="n">
        <f aca="false">ROUND((I80*0.65)+(J80*0.7)+(K80*0.65)+(L80*0.75)+(M80*0.65)+(N80*0.8)+(O80*0.7),0)</f>
        <v>-3</v>
      </c>
      <c r="G80" s="56" t="n">
        <f aca="false">SUM(I80:O80)</f>
        <v>-4</v>
      </c>
      <c r="H80" s="57" t="n">
        <f aca="false">SUM(Q80:W80)</f>
        <v>134</v>
      </c>
      <c r="K80" s="7" t="n">
        <v>-4</v>
      </c>
      <c r="S80" s="7" t="n">
        <v>134</v>
      </c>
      <c r="X80" s="58"/>
    </row>
    <row r="81" customFormat="false" ht="26.25" hidden="false" customHeight="true" outlineLevel="0" collapsed="false">
      <c r="A81" s="24" t="n">
        <v>80</v>
      </c>
      <c r="B81" s="55" t="s">
        <v>176</v>
      </c>
      <c r="C81" s="1" t="s">
        <v>141</v>
      </c>
      <c r="D81" s="1" t="s">
        <v>45</v>
      </c>
      <c r="E81" s="1" t="n">
        <f aca="false">'연도별 상수'!$A$46</f>
        <v>2026</v>
      </c>
      <c r="F81" s="1" t="n">
        <f aca="false">ROUND((I81*0.65)+(J81*0.7)+(K81*0.65)+(L81*0.75)+(M81*0.65)+(N81*0.8)+(O81*0.7),0)</f>
        <v>-3</v>
      </c>
      <c r="G81" s="56" t="n">
        <f aca="false">SUM(I81:O81)</f>
        <v>-4</v>
      </c>
      <c r="H81" s="57" t="n">
        <f aca="false">SUM(Q81:W81)</f>
        <v>200.333333333333</v>
      </c>
      <c r="N81" s="7" t="n">
        <v>-4</v>
      </c>
      <c r="V81" s="7" t="n">
        <f aca="false">200+1/3</f>
        <v>200.333333333333</v>
      </c>
      <c r="X81" s="58"/>
    </row>
    <row r="82" customFormat="false" ht="26.25" hidden="false" customHeight="true" outlineLevel="0" collapsed="false">
      <c r="A82" s="24" t="n">
        <v>81</v>
      </c>
      <c r="B82" s="55" t="s">
        <v>177</v>
      </c>
      <c r="C82" s="1" t="s">
        <v>142</v>
      </c>
      <c r="D82" s="1" t="s">
        <v>47</v>
      </c>
      <c r="E82" s="1" t="n">
        <f aca="false">'연도별 상수'!$A$46</f>
        <v>2026</v>
      </c>
      <c r="F82" s="1" t="n">
        <f aca="false">ROUND((I82*0.65)+(J82*0.7)+(K82*0.65)+(L82*0.75)+(M82*0.65)+(N82*0.8)+(O82*0.7),0)</f>
        <v>-3</v>
      </c>
      <c r="G82" s="56" t="n">
        <f aca="false">SUM(I82:O82)</f>
        <v>-4</v>
      </c>
      <c r="H82" s="57" t="n">
        <f aca="false">SUM(Q82:W82)</f>
        <v>230.333333333333</v>
      </c>
      <c r="J82" s="7" t="n">
        <v>-1</v>
      </c>
      <c r="L82" s="7" t="n">
        <v>-3</v>
      </c>
      <c r="R82" s="7" t="n">
        <v>65</v>
      </c>
      <c r="T82" s="7" t="n">
        <f aca="false">165+1/3</f>
        <v>165.333333333333</v>
      </c>
      <c r="X82" s="58"/>
    </row>
    <row r="83" customFormat="false" ht="26.25" hidden="false" customHeight="true" outlineLevel="0" collapsed="false">
      <c r="A83" s="24" t="n">
        <v>82</v>
      </c>
      <c r="B83" s="55" t="s">
        <v>61</v>
      </c>
      <c r="C83" s="1" t="s">
        <v>144</v>
      </c>
      <c r="D83" s="1" t="s">
        <v>62</v>
      </c>
      <c r="E83" s="1" t="n">
        <f aca="false">'연도별 상수'!$A$46</f>
        <v>2026</v>
      </c>
      <c r="F83" s="1" t="n">
        <f aca="false">ROUND((I83*0.65)+(J83*0.7)+(K83*0.65)+(L83*0.75)+(M83*0.65)+(N83*0.8)+(O83*0.7),0)</f>
        <v>-3</v>
      </c>
      <c r="G83" s="56" t="n">
        <f aca="false">SUM(I83:O83)</f>
        <v>-4</v>
      </c>
      <c r="H83" s="57" t="n">
        <f aca="false">SUM(Q83:W83)</f>
        <v>258</v>
      </c>
      <c r="O83" s="7" t="n">
        <v>-4</v>
      </c>
      <c r="W83" s="7" t="n">
        <v>258</v>
      </c>
      <c r="X83" s="58"/>
    </row>
    <row r="84" customFormat="false" ht="26.25" hidden="false" customHeight="true" outlineLevel="0" collapsed="false">
      <c r="A84" s="24" t="n">
        <v>83</v>
      </c>
      <c r="B84" s="55" t="s">
        <v>55</v>
      </c>
      <c r="C84" s="1" t="s">
        <v>144</v>
      </c>
      <c r="D84" s="1" t="s">
        <v>56</v>
      </c>
      <c r="E84" s="1" t="n">
        <f aca="false">'연도별 상수'!$A$46</f>
        <v>2026</v>
      </c>
      <c r="F84" s="1" t="n">
        <f aca="false">ROUND((I84*0.65)+(J84*0.7)+(K84*0.65)+(L84*0.75)+(M84*0.65)+(N84*0.8)+(O84*0.7),0)</f>
        <v>-3</v>
      </c>
      <c r="G84" s="56" t="n">
        <f aca="false">SUM(I84:O84)</f>
        <v>-4</v>
      </c>
      <c r="H84" s="57" t="n">
        <f aca="false">SUM(Q84:W84)</f>
        <v>268</v>
      </c>
      <c r="N84" s="7" t="n">
        <v>-3</v>
      </c>
      <c r="O84" s="7" t="n">
        <v>-1</v>
      </c>
      <c r="V84" s="7" t="n">
        <v>111</v>
      </c>
      <c r="W84" s="7" t="n">
        <v>157</v>
      </c>
      <c r="X84" s="58"/>
    </row>
  </sheetData>
  <conditionalFormatting sqref="G2:G284">
    <cfRule type="colorScale" priority="2">
      <colorScale>
        <cfvo type="min" val="0"/>
        <cfvo type="percentile" val="50"/>
        <cfvo type="max" val="0"/>
        <color rgb="FF5A8AC6"/>
        <color rgb="FFFFFFFF"/>
        <color rgb="FFF8696B"/>
      </colorScale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Q51"/>
  <sheetViews>
    <sheetView showFormulas="false" showGridLines="true" showRowColHeaders="true" showZeros="true" rightToLeft="false" tabSelected="false" showOutlineSymbols="true" defaultGridColor="true" view="normal" topLeftCell="A30" colorId="64" zoomScale="100" zoomScaleNormal="100" zoomScalePageLayoutView="100" workbookViewId="0">
      <selection pane="topLeft" activeCell="G2" activeCellId="0" sqref="G2"/>
    </sheetView>
  </sheetViews>
  <sheetFormatPr defaultColWidth="9.00390625" defaultRowHeight="15.75" customHeight="false" zeroHeight="false" outlineLevelRow="0" outlineLevelCol="0"/>
  <cols>
    <col collapsed="false" customWidth="false" hidden="false" outlineLevel="0" max="5" min="3" style="61" width="9"/>
    <col collapsed="false" customWidth="false" hidden="false" outlineLevel="0" max="9" min="9" style="62" width="9"/>
  </cols>
  <sheetData>
    <row r="1" customFormat="false" ht="15.75" hidden="false" customHeight="true" outlineLevel="0" collapsed="false">
      <c r="C1" s="63" t="s">
        <v>178</v>
      </c>
      <c r="D1" s="63" t="s">
        <v>179</v>
      </c>
      <c r="E1" s="63" t="s">
        <v>180</v>
      </c>
      <c r="F1" s="64" t="s">
        <v>181</v>
      </c>
      <c r="G1" s="64" t="s">
        <v>20</v>
      </c>
      <c r="H1" s="64" t="s">
        <v>21</v>
      </c>
      <c r="I1" s="64" t="s">
        <v>182</v>
      </c>
      <c r="J1" s="64" t="s">
        <v>23</v>
      </c>
      <c r="K1" s="64" t="s">
        <v>24</v>
      </c>
      <c r="L1" s="64" t="s">
        <v>28</v>
      </c>
      <c r="M1" s="64" t="s">
        <v>27</v>
      </c>
      <c r="N1" s="64" t="s">
        <v>29</v>
      </c>
      <c r="O1" s="64" t="s">
        <v>183</v>
      </c>
      <c r="P1" s="64" t="s">
        <v>184</v>
      </c>
      <c r="Q1" s="64" t="s">
        <v>185</v>
      </c>
    </row>
    <row r="2" customFormat="false" ht="15.75" hidden="false" customHeight="true" outlineLevel="0" collapsed="false">
      <c r="C2" s="28" t="b">
        <f aca="false">'기본-타자'!B2=D2</f>
        <v>0</v>
      </c>
      <c r="D2" s="65" t="s">
        <v>73</v>
      </c>
      <c r="E2" s="66" t="s">
        <v>186</v>
      </c>
      <c r="F2" s="28" t="n">
        <v>0.342</v>
      </c>
      <c r="G2" s="28" t="n">
        <v>25</v>
      </c>
      <c r="H2" s="28" t="n">
        <v>0</v>
      </c>
      <c r="I2" s="28" t="n">
        <v>0</v>
      </c>
      <c r="J2" s="28" t="n">
        <v>45</v>
      </c>
      <c r="K2" s="28" t="n">
        <v>4</v>
      </c>
      <c r="L2" s="28" t="n">
        <v>0.594</v>
      </c>
      <c r="M2" s="28" t="n">
        <v>0.412</v>
      </c>
      <c r="N2" s="28" t="n">
        <v>1.006</v>
      </c>
      <c r="O2" s="28" t="n">
        <v>22</v>
      </c>
      <c r="P2" s="28" t="n">
        <v>0.462</v>
      </c>
      <c r="Q2" s="28" t="n">
        <v>0</v>
      </c>
    </row>
    <row r="3" customFormat="false" ht="15.75" hidden="false" customHeight="true" outlineLevel="0" collapsed="false">
      <c r="C3" s="28" t="b">
        <f aca="false">'기본-타자'!B3=D3</f>
        <v>0</v>
      </c>
      <c r="D3" s="65" t="s">
        <v>88</v>
      </c>
      <c r="E3" s="66" t="s">
        <v>187</v>
      </c>
      <c r="F3" s="28" t="n">
        <v>0.22</v>
      </c>
      <c r="G3" s="28" t="n">
        <v>19</v>
      </c>
      <c r="H3" s="28" t="n">
        <v>0</v>
      </c>
      <c r="I3" s="28" t="n">
        <v>1</v>
      </c>
      <c r="J3" s="28" t="n">
        <v>58</v>
      </c>
      <c r="K3" s="28" t="n">
        <v>3</v>
      </c>
      <c r="L3" s="28" t="n">
        <v>0.346</v>
      </c>
      <c r="M3" s="28" t="n">
        <v>0.298</v>
      </c>
      <c r="N3" s="28" t="n">
        <v>0.644</v>
      </c>
      <c r="O3" s="28" t="n">
        <v>9</v>
      </c>
      <c r="P3" s="28" t="n">
        <v>0.35</v>
      </c>
      <c r="Q3" s="28" t="n">
        <v>0.143</v>
      </c>
    </row>
    <row r="4" customFormat="false" ht="15.75" hidden="false" customHeight="true" outlineLevel="0" collapsed="false">
      <c r="C4" s="28" t="b">
        <f aca="false">'기본-타자'!B4=D4</f>
        <v>1</v>
      </c>
      <c r="D4" s="65" t="s">
        <v>46</v>
      </c>
      <c r="E4" s="28" t="s">
        <v>47</v>
      </c>
      <c r="F4" s="28" t="n">
        <v>0.265</v>
      </c>
      <c r="G4" s="28" t="n">
        <v>30</v>
      </c>
      <c r="H4" s="28" t="n">
        <v>5</v>
      </c>
      <c r="I4" s="28" t="n">
        <v>3</v>
      </c>
      <c r="J4" s="28" t="n">
        <v>37</v>
      </c>
      <c r="K4" s="28" t="n">
        <v>6</v>
      </c>
      <c r="L4" s="28" t="n">
        <v>0.536</v>
      </c>
      <c r="M4" s="28" t="n">
        <v>0.373</v>
      </c>
      <c r="N4" s="28" t="n">
        <v>0.909</v>
      </c>
      <c r="O4" s="28" t="n">
        <v>11</v>
      </c>
      <c r="P4" s="28" t="n">
        <v>0.34</v>
      </c>
      <c r="Q4" s="28" t="n">
        <v>0</v>
      </c>
    </row>
    <row r="5" customFormat="false" ht="15.75" hidden="false" customHeight="true" outlineLevel="0" collapsed="false">
      <c r="C5" s="28" t="b">
        <f aca="false">'기본-타자'!B5=D5</f>
        <v>0</v>
      </c>
      <c r="D5" s="65" t="s">
        <v>103</v>
      </c>
      <c r="E5" s="66" t="s">
        <v>188</v>
      </c>
      <c r="F5" s="28" t="n">
        <v>0.286</v>
      </c>
      <c r="G5" s="28" t="n">
        <v>22</v>
      </c>
      <c r="H5" s="28" t="n">
        <v>0</v>
      </c>
      <c r="I5" s="28" t="n">
        <v>0</v>
      </c>
      <c r="J5" s="28" t="n">
        <v>36</v>
      </c>
      <c r="K5" s="28" t="n">
        <v>1</v>
      </c>
      <c r="L5" s="28" t="n">
        <v>0.416</v>
      </c>
      <c r="M5" s="28" t="n">
        <v>0.373</v>
      </c>
      <c r="N5" s="28" t="n">
        <v>0.789</v>
      </c>
      <c r="O5" s="28" t="n">
        <v>9</v>
      </c>
      <c r="P5" s="28" t="n">
        <v>0.35</v>
      </c>
      <c r="Q5" s="28" t="n">
        <v>0.4</v>
      </c>
    </row>
    <row r="6" customFormat="false" ht="15.75" hidden="false" customHeight="true" outlineLevel="0" collapsed="false">
      <c r="C6" s="28" t="b">
        <f aca="false">'기본-타자'!B6=D6</f>
        <v>0</v>
      </c>
      <c r="D6" s="65" t="s">
        <v>81</v>
      </c>
      <c r="E6" s="28" t="s">
        <v>56</v>
      </c>
      <c r="F6" s="28" t="n">
        <v>0.307</v>
      </c>
      <c r="G6" s="28" t="n">
        <v>31</v>
      </c>
      <c r="H6" s="28" t="n">
        <v>4</v>
      </c>
      <c r="I6" s="28" t="n">
        <v>0</v>
      </c>
      <c r="J6" s="28" t="n">
        <v>20</v>
      </c>
      <c r="K6" s="28" t="n">
        <v>5</v>
      </c>
      <c r="L6" s="28" t="n">
        <v>0.331</v>
      </c>
      <c r="M6" s="28" t="n">
        <v>0.427</v>
      </c>
      <c r="N6" s="28" t="n">
        <v>0.758</v>
      </c>
      <c r="O6" s="28" t="n">
        <v>14</v>
      </c>
      <c r="P6" s="28" t="n">
        <v>0.346</v>
      </c>
      <c r="Q6" s="28" t="n">
        <v>0.5</v>
      </c>
    </row>
    <row r="7" customFormat="false" ht="15.75" hidden="false" customHeight="true" outlineLevel="0" collapsed="false">
      <c r="C7" s="28" t="b">
        <f aca="false">'기본-타자'!B7=D7</f>
        <v>0</v>
      </c>
      <c r="D7" s="65" t="s">
        <v>117</v>
      </c>
      <c r="E7" s="28" t="s">
        <v>47</v>
      </c>
      <c r="F7" s="28" t="n">
        <v>0.276</v>
      </c>
      <c r="G7" s="28" t="n">
        <v>31</v>
      </c>
      <c r="H7" s="28" t="n">
        <v>1</v>
      </c>
      <c r="I7" s="28" t="n">
        <v>1</v>
      </c>
      <c r="J7" s="28" t="n">
        <v>19</v>
      </c>
      <c r="K7" s="28" t="n">
        <v>4</v>
      </c>
      <c r="L7" s="28" t="n">
        <v>0.351</v>
      </c>
      <c r="M7" s="28" t="n">
        <v>0.381</v>
      </c>
      <c r="N7" s="28" t="n">
        <v>0.732</v>
      </c>
      <c r="O7" s="28" t="n">
        <v>15</v>
      </c>
      <c r="P7" s="28" t="n">
        <v>0.275</v>
      </c>
      <c r="Q7" s="28" t="n">
        <v>0.667</v>
      </c>
    </row>
    <row r="8" customFormat="false" ht="15.75" hidden="false" customHeight="true" outlineLevel="0" collapsed="false">
      <c r="C8" s="28" t="b">
        <f aca="false">'기본-타자'!B8=D8</f>
        <v>0</v>
      </c>
      <c r="D8" s="65" t="s">
        <v>124</v>
      </c>
      <c r="E8" s="28" t="s">
        <v>50</v>
      </c>
      <c r="F8" s="28" t="n">
        <v>0.184</v>
      </c>
      <c r="G8" s="28" t="n">
        <v>31</v>
      </c>
      <c r="H8" s="28" t="n">
        <v>1</v>
      </c>
      <c r="I8" s="28" t="n">
        <v>0</v>
      </c>
      <c r="J8" s="28" t="n">
        <v>53</v>
      </c>
      <c r="K8" s="28" t="n">
        <v>3</v>
      </c>
      <c r="L8" s="28" t="n">
        <v>0.336</v>
      </c>
      <c r="M8" s="28" t="n">
        <v>0.324</v>
      </c>
      <c r="N8" s="28" t="n">
        <v>0.66</v>
      </c>
      <c r="O8" s="28" t="n">
        <v>5</v>
      </c>
      <c r="P8" s="28" t="n">
        <v>0.279</v>
      </c>
      <c r="Q8" s="28" t="n">
        <v>0</v>
      </c>
    </row>
    <row r="9" customFormat="false" ht="15.75" hidden="false" customHeight="true" outlineLevel="0" collapsed="false">
      <c r="C9" s="28" t="b">
        <f aca="false">'기본-타자'!B9=D9</f>
        <v>0</v>
      </c>
      <c r="D9" s="65" t="s">
        <v>44</v>
      </c>
      <c r="E9" s="28" t="s">
        <v>45</v>
      </c>
      <c r="F9" s="28" t="n">
        <v>0.301</v>
      </c>
      <c r="G9" s="28" t="n">
        <v>19</v>
      </c>
      <c r="H9" s="28" t="n">
        <v>12</v>
      </c>
      <c r="I9" s="28" t="n">
        <v>0</v>
      </c>
      <c r="J9" s="28" t="n">
        <v>31</v>
      </c>
      <c r="K9" s="28" t="n">
        <v>0</v>
      </c>
      <c r="L9" s="28" t="n">
        <v>0.464</v>
      </c>
      <c r="M9" s="28" t="n">
        <v>0.391</v>
      </c>
      <c r="N9" s="28" t="n">
        <v>0.855</v>
      </c>
      <c r="O9" s="28" t="n">
        <v>17</v>
      </c>
      <c r="P9" s="28" t="n">
        <v>0.267</v>
      </c>
      <c r="Q9" s="28" t="n">
        <v>0</v>
      </c>
    </row>
    <row r="10" customFormat="false" ht="15.75" hidden="false" customHeight="true" outlineLevel="0" collapsed="false">
      <c r="C10" s="28" t="b">
        <f aca="false">'기본-타자'!B10=D10</f>
        <v>0</v>
      </c>
      <c r="D10" s="65" t="s">
        <v>58</v>
      </c>
      <c r="E10" s="66" t="s">
        <v>189</v>
      </c>
      <c r="F10" s="28" t="n">
        <v>0.287</v>
      </c>
      <c r="G10" s="28" t="n">
        <v>25</v>
      </c>
      <c r="H10" s="28" t="n">
        <v>2</v>
      </c>
      <c r="I10" s="28" t="n">
        <v>1</v>
      </c>
      <c r="J10" s="28" t="n">
        <v>11</v>
      </c>
      <c r="K10" s="28" t="n">
        <v>2</v>
      </c>
      <c r="L10" s="28" t="n">
        <v>0.341</v>
      </c>
      <c r="M10" s="28" t="n">
        <v>0.385</v>
      </c>
      <c r="N10" s="28" t="n">
        <v>0.726</v>
      </c>
      <c r="O10" s="28" t="n">
        <v>12</v>
      </c>
      <c r="P10" s="28" t="n">
        <v>0.294</v>
      </c>
      <c r="Q10" s="28" t="n">
        <v>0.286</v>
      </c>
    </row>
    <row r="11" customFormat="false" ht="15.75" hidden="false" customHeight="true" outlineLevel="0" collapsed="false">
      <c r="C11" s="28" t="b">
        <f aca="false">'기본-타자'!B11=D11</f>
        <v>0</v>
      </c>
      <c r="D11" s="65" t="s">
        <v>118</v>
      </c>
      <c r="E11" s="28" t="s">
        <v>56</v>
      </c>
      <c r="F11" s="28" t="n">
        <v>0.274</v>
      </c>
      <c r="G11" s="28" t="n">
        <v>21</v>
      </c>
      <c r="H11" s="28" t="n">
        <v>0</v>
      </c>
      <c r="I11" s="28" t="n">
        <v>0</v>
      </c>
      <c r="J11" s="28" t="n">
        <v>29</v>
      </c>
      <c r="K11" s="28" t="n">
        <v>9</v>
      </c>
      <c r="L11" s="28" t="n">
        <v>0.395</v>
      </c>
      <c r="M11" s="28" t="n">
        <v>0.333</v>
      </c>
      <c r="N11" s="28" t="n">
        <v>0.728</v>
      </c>
      <c r="O11" s="28" t="n">
        <v>20</v>
      </c>
      <c r="P11" s="28" t="n">
        <v>0.281</v>
      </c>
      <c r="Q11" s="28" t="n">
        <v>0</v>
      </c>
    </row>
    <row r="12" customFormat="false" ht="15.75" hidden="false" customHeight="true" outlineLevel="0" collapsed="false">
      <c r="C12" s="28" t="b">
        <f aca="false">'기본-타자'!B12=D12</f>
        <v>0</v>
      </c>
      <c r="D12" s="65" t="s">
        <v>65</v>
      </c>
      <c r="E12" s="28" t="s">
        <v>47</v>
      </c>
      <c r="F12" s="28" t="n">
        <v>0.278</v>
      </c>
      <c r="G12" s="28" t="n">
        <v>14</v>
      </c>
      <c r="H12" s="28" t="n">
        <v>3</v>
      </c>
      <c r="I12" s="28" t="n">
        <v>1</v>
      </c>
      <c r="J12" s="28" t="n">
        <v>57</v>
      </c>
      <c r="K12" s="28" t="n">
        <v>2</v>
      </c>
      <c r="L12" s="28" t="n">
        <v>0.463</v>
      </c>
      <c r="M12" s="28" t="n">
        <v>0.33</v>
      </c>
      <c r="N12" s="28" t="n">
        <v>0.793</v>
      </c>
      <c r="O12" s="28" t="n">
        <v>23</v>
      </c>
      <c r="P12" s="28" t="n">
        <v>0.254</v>
      </c>
      <c r="Q12" s="28" t="n">
        <v>0</v>
      </c>
    </row>
    <row r="13" customFormat="false" ht="15.75" hidden="false" customHeight="true" outlineLevel="0" collapsed="false">
      <c r="C13" s="28" t="b">
        <f aca="false">'기본-타자'!B13=D13</f>
        <v>0</v>
      </c>
      <c r="D13" s="65" t="s">
        <v>74</v>
      </c>
      <c r="E13" s="28" t="s">
        <v>47</v>
      </c>
      <c r="F13" s="28" t="n">
        <v>0.262</v>
      </c>
      <c r="G13" s="28" t="n">
        <v>24</v>
      </c>
      <c r="H13" s="28" t="n">
        <v>3</v>
      </c>
      <c r="I13" s="28" t="n">
        <v>0</v>
      </c>
      <c r="J13" s="28" t="n">
        <v>60</v>
      </c>
      <c r="K13" s="28" t="n">
        <v>2</v>
      </c>
      <c r="L13" s="28" t="n">
        <v>0.459</v>
      </c>
      <c r="M13" s="28" t="n">
        <v>0.358</v>
      </c>
      <c r="N13" s="28" t="n">
        <v>0.817</v>
      </c>
      <c r="O13" s="28" t="n">
        <v>12</v>
      </c>
      <c r="P13" s="28" t="n">
        <v>0.346</v>
      </c>
      <c r="Q13" s="28" t="n">
        <v>0</v>
      </c>
    </row>
    <row r="14" customFormat="false" ht="15.75" hidden="false" customHeight="true" outlineLevel="0" collapsed="false">
      <c r="C14" s="28" t="b">
        <f aca="false">'기본-타자'!B14=D14</f>
        <v>0</v>
      </c>
      <c r="D14" s="65" t="s">
        <v>63</v>
      </c>
      <c r="E14" s="66" t="s">
        <v>186</v>
      </c>
      <c r="F14" s="28" t="n">
        <v>0.262</v>
      </c>
      <c r="G14" s="28" t="n">
        <v>20</v>
      </c>
      <c r="H14" s="28" t="n">
        <v>3</v>
      </c>
      <c r="I14" s="28" t="n">
        <v>0</v>
      </c>
      <c r="J14" s="28" t="n">
        <v>59</v>
      </c>
      <c r="K14" s="28" t="n">
        <v>4</v>
      </c>
      <c r="L14" s="28" t="n">
        <v>0.437</v>
      </c>
      <c r="M14" s="28" t="n">
        <v>0.341</v>
      </c>
      <c r="N14" s="28" t="n">
        <v>0.778</v>
      </c>
      <c r="O14" s="28" t="n">
        <v>13</v>
      </c>
      <c r="P14" s="28" t="n">
        <v>0.207</v>
      </c>
      <c r="Q14" s="28" t="n">
        <v>0</v>
      </c>
    </row>
    <row r="15" customFormat="false" ht="15.75" hidden="false" customHeight="true" outlineLevel="0" collapsed="false">
      <c r="C15" s="28" t="b">
        <f aca="false">'기본-타자'!B15=D15</f>
        <v>0</v>
      </c>
      <c r="D15" s="65" t="s">
        <v>104</v>
      </c>
      <c r="E15" s="28" t="s">
        <v>45</v>
      </c>
      <c r="F15" s="28" t="n">
        <v>0.26</v>
      </c>
      <c r="G15" s="28" t="n">
        <v>6</v>
      </c>
      <c r="H15" s="28" t="n">
        <v>10</v>
      </c>
      <c r="I15" s="28" t="n">
        <v>0</v>
      </c>
      <c r="J15" s="28" t="n">
        <v>38</v>
      </c>
      <c r="K15" s="28" t="n">
        <v>3</v>
      </c>
      <c r="L15" s="28" t="n">
        <v>0.447</v>
      </c>
      <c r="M15" s="28" t="n">
        <v>0.329</v>
      </c>
      <c r="N15" s="28" t="n">
        <v>0.776</v>
      </c>
      <c r="O15" s="28" t="n">
        <v>8</v>
      </c>
      <c r="P15" s="28" t="n">
        <v>0.326</v>
      </c>
      <c r="Q15" s="28" t="n">
        <v>0</v>
      </c>
    </row>
    <row r="16" customFormat="false" ht="15.75" hidden="false" customHeight="true" outlineLevel="0" collapsed="false">
      <c r="C16" s="28" t="b">
        <f aca="false">'기본-타자'!B16=D16</f>
        <v>0</v>
      </c>
      <c r="D16" s="65" t="s">
        <v>79</v>
      </c>
      <c r="E16" s="66" t="s">
        <v>189</v>
      </c>
      <c r="F16" s="28" t="n">
        <v>0.293</v>
      </c>
      <c r="G16" s="28" t="n">
        <v>28</v>
      </c>
      <c r="H16" s="28" t="n">
        <v>0</v>
      </c>
      <c r="I16" s="28" t="n">
        <v>1</v>
      </c>
      <c r="J16" s="28" t="n">
        <v>35</v>
      </c>
      <c r="K16" s="28" t="n">
        <v>7</v>
      </c>
      <c r="L16" s="28" t="n">
        <v>0.449</v>
      </c>
      <c r="M16" s="28" t="n">
        <v>0.373</v>
      </c>
      <c r="N16" s="28" t="n">
        <v>0.822</v>
      </c>
      <c r="O16" s="28" t="n">
        <v>17</v>
      </c>
      <c r="P16" s="28" t="n">
        <v>0.292</v>
      </c>
      <c r="Q16" s="28" t="n">
        <v>0</v>
      </c>
    </row>
    <row r="17" customFormat="false" ht="15.75" hidden="false" customHeight="true" outlineLevel="0" collapsed="false">
      <c r="C17" s="28" t="b">
        <f aca="false">'기본-타자'!B17=D17</f>
        <v>0</v>
      </c>
      <c r="D17" s="65" t="s">
        <v>75</v>
      </c>
      <c r="E17" s="66" t="s">
        <v>190</v>
      </c>
      <c r="F17" s="28" t="n">
        <v>0.351</v>
      </c>
      <c r="G17" s="28" t="n">
        <v>22</v>
      </c>
      <c r="H17" s="28" t="n">
        <v>2</v>
      </c>
      <c r="I17" s="28" t="n">
        <v>5</v>
      </c>
      <c r="J17" s="28" t="n">
        <v>28</v>
      </c>
      <c r="K17" s="28" t="n">
        <v>2</v>
      </c>
      <c r="L17" s="28" t="n">
        <v>0.546</v>
      </c>
      <c r="M17" s="28" t="n">
        <v>0.416</v>
      </c>
      <c r="N17" s="28" t="n">
        <v>0.962</v>
      </c>
      <c r="O17" s="28" t="n">
        <v>21</v>
      </c>
      <c r="P17" s="28" t="n">
        <v>0.412</v>
      </c>
      <c r="Q17" s="28" t="n">
        <v>0</v>
      </c>
    </row>
    <row r="18" customFormat="false" ht="15.75" hidden="false" customHeight="true" outlineLevel="0" collapsed="false">
      <c r="C18" s="28" t="b">
        <f aca="false">'기본-타자'!B18=D18</f>
        <v>1</v>
      </c>
      <c r="D18" s="65" t="s">
        <v>66</v>
      </c>
      <c r="E18" s="66" t="s">
        <v>189</v>
      </c>
      <c r="F18" s="28" t="n">
        <v>0.31</v>
      </c>
      <c r="G18" s="28" t="n">
        <v>24</v>
      </c>
      <c r="H18" s="28" t="n">
        <v>4</v>
      </c>
      <c r="I18" s="28" t="n">
        <v>1</v>
      </c>
      <c r="J18" s="28" t="n">
        <v>29</v>
      </c>
      <c r="K18" s="28" t="n">
        <v>3</v>
      </c>
      <c r="L18" s="28" t="n">
        <v>0.466</v>
      </c>
      <c r="M18" s="28" t="n">
        <v>0.404</v>
      </c>
      <c r="N18" s="28" t="n">
        <v>0.87</v>
      </c>
      <c r="O18" s="28" t="n">
        <v>17</v>
      </c>
      <c r="P18" s="28" t="n">
        <v>0.318</v>
      </c>
      <c r="Q18" s="28" t="n">
        <v>0</v>
      </c>
    </row>
    <row r="19" customFormat="false" ht="15.75" hidden="false" customHeight="true" outlineLevel="0" collapsed="false">
      <c r="C19" s="28" t="b">
        <f aca="false">'기본-타자'!B19=D19</f>
        <v>0</v>
      </c>
      <c r="D19" s="65" t="s">
        <v>96</v>
      </c>
      <c r="E19" s="66" t="s">
        <v>186</v>
      </c>
      <c r="F19" s="28" t="n">
        <v>0.306</v>
      </c>
      <c r="G19" s="28" t="n">
        <v>34</v>
      </c>
      <c r="H19" s="28" t="n">
        <v>3</v>
      </c>
      <c r="I19" s="28" t="n">
        <v>0</v>
      </c>
      <c r="J19" s="28" t="n">
        <v>24</v>
      </c>
      <c r="K19" s="28" t="n">
        <v>8</v>
      </c>
      <c r="L19" s="28" t="n">
        <v>0.531</v>
      </c>
      <c r="M19" s="28" t="n">
        <v>0.413</v>
      </c>
      <c r="N19" s="28" t="n">
        <v>0.944</v>
      </c>
      <c r="O19" s="28" t="n">
        <v>15</v>
      </c>
      <c r="P19" s="28" t="n">
        <v>0.318</v>
      </c>
      <c r="Q19" s="28" t="n">
        <v>0</v>
      </c>
    </row>
    <row r="20" customFormat="false" ht="15.75" hidden="false" customHeight="true" outlineLevel="0" collapsed="false">
      <c r="C20" s="28" t="b">
        <f aca="false">'기본-타자'!B20=D20</f>
        <v>0</v>
      </c>
      <c r="D20" s="65" t="s">
        <v>87</v>
      </c>
      <c r="E20" s="28" t="s">
        <v>45</v>
      </c>
      <c r="F20" s="28" t="n">
        <v>0.301</v>
      </c>
      <c r="G20" s="28" t="n">
        <v>26</v>
      </c>
      <c r="H20" s="28" t="n">
        <v>0</v>
      </c>
      <c r="I20" s="28" t="n">
        <v>4</v>
      </c>
      <c r="J20" s="28" t="n">
        <v>41</v>
      </c>
      <c r="K20" s="28" t="n">
        <v>4</v>
      </c>
      <c r="L20" s="28" t="n">
        <v>0.524</v>
      </c>
      <c r="M20" s="28" t="n">
        <v>0.388</v>
      </c>
      <c r="N20" s="28" t="n">
        <v>0.912</v>
      </c>
      <c r="O20" s="28" t="n">
        <v>13</v>
      </c>
      <c r="P20" s="28" t="n">
        <v>0.25</v>
      </c>
      <c r="Q20" s="28" t="n">
        <v>0</v>
      </c>
    </row>
    <row r="21" customFormat="false" ht="15.75" hidden="false" customHeight="true" outlineLevel="0" collapsed="false">
      <c r="C21" s="28" t="b">
        <f aca="false">'기본-타자'!B21=D21</f>
        <v>0</v>
      </c>
      <c r="D21" s="65" t="s">
        <v>70</v>
      </c>
      <c r="E21" s="28" t="s">
        <v>43</v>
      </c>
      <c r="F21" s="28" t="n">
        <v>0.25</v>
      </c>
      <c r="G21" s="28" t="n">
        <v>24</v>
      </c>
      <c r="H21" s="28" t="n">
        <v>3</v>
      </c>
      <c r="I21" s="28" t="n">
        <v>2</v>
      </c>
      <c r="J21" s="28" t="n">
        <v>39</v>
      </c>
      <c r="K21" s="28" t="n">
        <v>4</v>
      </c>
      <c r="L21" s="28" t="n">
        <v>0.424</v>
      </c>
      <c r="M21" s="28" t="n">
        <v>0.373</v>
      </c>
      <c r="N21" s="28" t="n">
        <v>0.797</v>
      </c>
      <c r="O21" s="28" t="n">
        <v>6</v>
      </c>
      <c r="P21" s="28" t="n">
        <v>0.217</v>
      </c>
      <c r="Q21" s="28" t="n">
        <v>0</v>
      </c>
    </row>
    <row r="22" customFormat="false" ht="15.75" hidden="false" customHeight="true" outlineLevel="0" collapsed="false">
      <c r="C22" s="28" t="b">
        <f aca="false">'기본-타자'!B22=D22</f>
        <v>0</v>
      </c>
      <c r="D22" s="65" t="s">
        <v>48</v>
      </c>
      <c r="E22" s="28" t="s">
        <v>45</v>
      </c>
      <c r="F22" s="28" t="n">
        <v>0.301</v>
      </c>
      <c r="G22" s="28" t="n">
        <v>26</v>
      </c>
      <c r="H22" s="28" t="n">
        <v>6</v>
      </c>
      <c r="I22" s="28" t="n">
        <v>0</v>
      </c>
      <c r="J22" s="28" t="n">
        <v>25</v>
      </c>
      <c r="K22" s="28" t="n">
        <v>4</v>
      </c>
      <c r="L22" s="28" t="n">
        <v>0.403</v>
      </c>
      <c r="M22" s="28" t="n">
        <v>0.407</v>
      </c>
      <c r="N22" s="28" t="n">
        <v>0.81</v>
      </c>
      <c r="O22" s="28" t="n">
        <v>15</v>
      </c>
      <c r="P22" s="28" t="n">
        <v>0.449</v>
      </c>
      <c r="Q22" s="28" t="n">
        <v>0</v>
      </c>
    </row>
    <row r="23" customFormat="false" ht="15.75" hidden="false" customHeight="true" outlineLevel="0" collapsed="false">
      <c r="C23" s="28" t="b">
        <f aca="false">'기본-타자'!B23=D23</f>
        <v>0</v>
      </c>
      <c r="D23" s="65" t="s">
        <v>49</v>
      </c>
      <c r="E23" s="28" t="s">
        <v>50</v>
      </c>
      <c r="F23" s="28" t="n">
        <v>0.354</v>
      </c>
      <c r="G23" s="28" t="n">
        <v>39</v>
      </c>
      <c r="H23" s="28" t="n">
        <v>1</v>
      </c>
      <c r="I23" s="28" t="n">
        <v>0</v>
      </c>
      <c r="J23" s="28" t="n">
        <v>24</v>
      </c>
      <c r="K23" s="28" t="n">
        <v>2</v>
      </c>
      <c r="L23" s="28" t="n">
        <v>0.472</v>
      </c>
      <c r="M23" s="28" t="n">
        <v>0.46</v>
      </c>
      <c r="N23" s="28" t="n">
        <v>0.932</v>
      </c>
      <c r="O23" s="28" t="n">
        <v>20</v>
      </c>
      <c r="P23" s="28" t="n">
        <v>0.435</v>
      </c>
      <c r="Q23" s="28" t="n">
        <v>0</v>
      </c>
    </row>
    <row r="24" customFormat="false" ht="15.75" hidden="false" customHeight="true" outlineLevel="0" collapsed="false">
      <c r="C24" s="28" t="b">
        <f aca="false">'기본-타자'!B24=D24</f>
        <v>0</v>
      </c>
      <c r="D24" s="65" t="s">
        <v>108</v>
      </c>
      <c r="E24" s="28" t="s">
        <v>47</v>
      </c>
      <c r="F24" s="28" t="n">
        <v>0.309</v>
      </c>
      <c r="G24" s="28" t="n">
        <v>13</v>
      </c>
      <c r="H24" s="28" t="n">
        <v>0</v>
      </c>
      <c r="I24" s="28" t="n">
        <v>0</v>
      </c>
      <c r="J24" s="28" t="n">
        <v>37</v>
      </c>
      <c r="K24" s="28" t="n">
        <v>1</v>
      </c>
      <c r="L24" s="28" t="n">
        <v>0.483</v>
      </c>
      <c r="M24" s="28" t="n">
        <v>0.356</v>
      </c>
      <c r="N24" s="28" t="n">
        <v>0.839</v>
      </c>
      <c r="O24" s="28" t="n">
        <v>14</v>
      </c>
      <c r="P24" s="28" t="n">
        <v>0.372</v>
      </c>
      <c r="Q24" s="28" t="n">
        <v>0</v>
      </c>
    </row>
    <row r="25" customFormat="false" ht="15.75" hidden="false" customHeight="true" outlineLevel="0" collapsed="false">
      <c r="C25" s="28" t="b">
        <f aca="false">'기본-타자'!B25=D25</f>
        <v>0</v>
      </c>
      <c r="D25" s="65" t="s">
        <v>67</v>
      </c>
      <c r="E25" s="66" t="s">
        <v>188</v>
      </c>
      <c r="F25" s="28" t="n">
        <v>0.316</v>
      </c>
      <c r="G25" s="28" t="n">
        <v>9</v>
      </c>
      <c r="H25" s="28" t="n">
        <v>3</v>
      </c>
      <c r="I25" s="28" t="n">
        <v>0</v>
      </c>
      <c r="J25" s="28" t="n">
        <v>32</v>
      </c>
      <c r="K25" s="28" t="n">
        <v>4</v>
      </c>
      <c r="L25" s="28" t="n">
        <v>0.516</v>
      </c>
      <c r="M25" s="28" t="n">
        <v>0.365</v>
      </c>
      <c r="N25" s="28" t="n">
        <v>0.881</v>
      </c>
      <c r="O25" s="28" t="n">
        <v>15</v>
      </c>
      <c r="P25" s="28" t="n">
        <v>0.367</v>
      </c>
      <c r="Q25" s="28" t="n">
        <v>0</v>
      </c>
    </row>
    <row r="26" customFormat="false" ht="15.75" hidden="false" customHeight="true" outlineLevel="0" collapsed="false">
      <c r="C26" s="28" t="b">
        <f aca="false">'기본-타자'!B26=D26</f>
        <v>0</v>
      </c>
      <c r="D26" s="65" t="s">
        <v>53</v>
      </c>
      <c r="E26" s="66" t="s">
        <v>188</v>
      </c>
      <c r="F26" s="28" t="n">
        <v>0.267</v>
      </c>
      <c r="G26" s="28" t="n">
        <v>27</v>
      </c>
      <c r="H26" s="28" t="n">
        <v>2</v>
      </c>
      <c r="I26" s="28" t="n">
        <v>1</v>
      </c>
      <c r="J26" s="28" t="n">
        <v>36</v>
      </c>
      <c r="K26" s="28" t="n">
        <v>5</v>
      </c>
      <c r="L26" s="28" t="n">
        <v>0.371</v>
      </c>
      <c r="M26" s="28" t="n">
        <v>0.356</v>
      </c>
      <c r="N26" s="28" t="n">
        <v>0.727</v>
      </c>
      <c r="O26" s="28" t="n">
        <v>13</v>
      </c>
      <c r="P26" s="28" t="n">
        <v>0.229</v>
      </c>
      <c r="Q26" s="28" t="n">
        <v>0.5</v>
      </c>
    </row>
    <row r="27" customFormat="false" ht="15.75" hidden="false" customHeight="true" outlineLevel="0" collapsed="false">
      <c r="C27" s="28" t="b">
        <f aca="false">'기본-타자'!B27=D27</f>
        <v>0</v>
      </c>
      <c r="D27" s="65" t="s">
        <v>57</v>
      </c>
      <c r="E27" s="28" t="s">
        <v>43</v>
      </c>
      <c r="F27" s="28" t="n">
        <v>0.259</v>
      </c>
      <c r="G27" s="28" t="n">
        <v>14</v>
      </c>
      <c r="H27" s="28" t="n">
        <v>5</v>
      </c>
      <c r="I27" s="28" t="n">
        <v>0</v>
      </c>
      <c r="J27" s="28" t="n">
        <v>27</v>
      </c>
      <c r="K27" s="28" t="n">
        <v>0</v>
      </c>
      <c r="L27" s="28" t="n">
        <v>0.313</v>
      </c>
      <c r="M27" s="28" t="n">
        <v>0.325</v>
      </c>
      <c r="N27" s="28" t="n">
        <v>0.638</v>
      </c>
      <c r="O27" s="28" t="n">
        <v>9</v>
      </c>
      <c r="P27" s="28" t="n">
        <v>0.311</v>
      </c>
      <c r="Q27" s="28" t="n">
        <v>0</v>
      </c>
    </row>
    <row r="28" customFormat="false" ht="15.75" hidden="false" customHeight="true" outlineLevel="0" collapsed="false">
      <c r="C28" s="28" t="b">
        <f aca="false">'기본-타자'!B28=D28</f>
        <v>0</v>
      </c>
      <c r="D28" s="65" t="s">
        <v>99</v>
      </c>
      <c r="E28" s="28" t="s">
        <v>43</v>
      </c>
      <c r="F28" s="28" t="n">
        <v>0.236</v>
      </c>
      <c r="G28" s="28" t="n">
        <v>22</v>
      </c>
      <c r="H28" s="28" t="n">
        <v>1</v>
      </c>
      <c r="I28" s="28" t="n">
        <v>0</v>
      </c>
      <c r="J28" s="28" t="n">
        <v>25</v>
      </c>
      <c r="K28" s="28" t="n">
        <v>3</v>
      </c>
      <c r="L28" s="28" t="n">
        <v>0.248</v>
      </c>
      <c r="M28" s="28" t="n">
        <v>0.331</v>
      </c>
      <c r="N28" s="28" t="n">
        <v>0.579</v>
      </c>
      <c r="O28" s="28" t="n">
        <v>8</v>
      </c>
      <c r="P28" s="28" t="n">
        <v>0.257</v>
      </c>
      <c r="Q28" s="28" t="n">
        <v>0</v>
      </c>
    </row>
    <row r="29" customFormat="false" ht="15.75" hidden="false" customHeight="true" outlineLevel="0" collapsed="false">
      <c r="C29" s="28" t="b">
        <f aca="false">'기본-타자'!B29=D29</f>
        <v>0</v>
      </c>
      <c r="D29" s="65" t="s">
        <v>86</v>
      </c>
      <c r="E29" s="66" t="s">
        <v>186</v>
      </c>
      <c r="F29" s="28" t="n">
        <v>0.281</v>
      </c>
      <c r="G29" s="28" t="n">
        <v>21</v>
      </c>
      <c r="H29" s="28" t="n">
        <v>3</v>
      </c>
      <c r="I29" s="28" t="n">
        <v>0</v>
      </c>
      <c r="J29" s="28" t="n">
        <v>26</v>
      </c>
      <c r="K29" s="28" t="n">
        <v>1</v>
      </c>
      <c r="L29" s="28" t="n">
        <v>0.378</v>
      </c>
      <c r="M29" s="28" t="n">
        <v>0.39</v>
      </c>
      <c r="N29" s="28" t="n">
        <v>0.768</v>
      </c>
      <c r="O29" s="28" t="n">
        <v>10</v>
      </c>
      <c r="P29" s="28" t="n">
        <v>0.333</v>
      </c>
      <c r="Q29" s="28" t="n">
        <v>0</v>
      </c>
    </row>
    <row r="30" customFormat="false" ht="15.75" hidden="false" customHeight="true" outlineLevel="0" collapsed="false">
      <c r="C30" s="28" t="b">
        <f aca="false">'기본-타자'!B30=D30</f>
        <v>0</v>
      </c>
      <c r="D30" s="65" t="s">
        <v>123</v>
      </c>
      <c r="E30" s="66" t="s">
        <v>187</v>
      </c>
      <c r="F30" s="28" t="n">
        <v>0.296</v>
      </c>
      <c r="G30" s="28" t="n">
        <v>28</v>
      </c>
      <c r="H30" s="28" t="n">
        <v>1</v>
      </c>
      <c r="I30" s="28" t="n">
        <v>2</v>
      </c>
      <c r="J30" s="28" t="n">
        <v>32</v>
      </c>
      <c r="K30" s="28" t="n">
        <v>6</v>
      </c>
      <c r="L30" s="28" t="n">
        <v>0.404</v>
      </c>
      <c r="M30" s="28" t="n">
        <v>0.384</v>
      </c>
      <c r="N30" s="28" t="n">
        <v>0.788</v>
      </c>
      <c r="O30" s="28" t="n">
        <v>14</v>
      </c>
      <c r="P30" s="28" t="n">
        <v>0.286</v>
      </c>
      <c r="Q30" s="28" t="n">
        <v>1</v>
      </c>
    </row>
    <row r="31" customFormat="false" ht="15.75" hidden="false" customHeight="true" outlineLevel="0" collapsed="false">
      <c r="C31" s="28" t="b">
        <f aca="false">'기본-타자'!B31=D31</f>
        <v>0</v>
      </c>
      <c r="D31" s="65" t="s">
        <v>71</v>
      </c>
      <c r="E31" s="66" t="s">
        <v>188</v>
      </c>
      <c r="F31" s="28" t="n">
        <v>0.237</v>
      </c>
      <c r="G31" s="28" t="n">
        <v>20</v>
      </c>
      <c r="H31" s="28" t="n">
        <v>10</v>
      </c>
      <c r="I31" s="28" t="n">
        <v>0</v>
      </c>
      <c r="J31" s="28" t="n">
        <v>25</v>
      </c>
      <c r="K31" s="28" t="n">
        <v>5</v>
      </c>
      <c r="L31" s="28" t="n">
        <v>0.358</v>
      </c>
      <c r="M31" s="28" t="n">
        <v>0.343</v>
      </c>
      <c r="N31" s="28" t="n">
        <v>0.701</v>
      </c>
      <c r="O31" s="28" t="n">
        <v>10</v>
      </c>
      <c r="P31" s="28" t="n">
        <v>0.227</v>
      </c>
      <c r="Q31" s="28" t="n">
        <v>0.5</v>
      </c>
    </row>
    <row r="32" customFormat="false" ht="15.75" hidden="false" customHeight="true" outlineLevel="0" collapsed="false">
      <c r="C32" s="28" t="b">
        <f aca="false">'기본-타자'!B32=D32</f>
        <v>0</v>
      </c>
      <c r="D32" s="65" t="s">
        <v>93</v>
      </c>
      <c r="E32" s="28" t="s">
        <v>50</v>
      </c>
      <c r="F32" s="28" t="n">
        <v>0.27</v>
      </c>
      <c r="G32" s="28" t="n">
        <v>14</v>
      </c>
      <c r="H32" s="28" t="n">
        <v>4</v>
      </c>
      <c r="I32" s="28" t="n">
        <v>1</v>
      </c>
      <c r="J32" s="28" t="n">
        <v>42</v>
      </c>
      <c r="K32" s="28" t="n">
        <v>4</v>
      </c>
      <c r="L32" s="28" t="n">
        <v>0.408</v>
      </c>
      <c r="M32" s="28" t="n">
        <v>0.322</v>
      </c>
      <c r="N32" s="28" t="n">
        <v>0.73</v>
      </c>
      <c r="O32" s="28" t="n">
        <v>17</v>
      </c>
      <c r="P32" s="28" t="n">
        <v>0.333</v>
      </c>
      <c r="Q32" s="28" t="n">
        <v>0</v>
      </c>
    </row>
    <row r="33" customFormat="false" ht="15.75" hidden="false" customHeight="true" outlineLevel="0" collapsed="false">
      <c r="C33" s="28" t="b">
        <f aca="false">'기본-타자'!B33=D33</f>
        <v>0</v>
      </c>
      <c r="D33" s="65" t="s">
        <v>42</v>
      </c>
      <c r="E33" s="28" t="s">
        <v>43</v>
      </c>
      <c r="F33" s="28" t="n">
        <v>0.336</v>
      </c>
      <c r="G33" s="28" t="n">
        <v>26</v>
      </c>
      <c r="H33" s="28" t="n">
        <v>2</v>
      </c>
      <c r="I33" s="28" t="n">
        <v>2</v>
      </c>
      <c r="J33" s="28" t="n">
        <v>30</v>
      </c>
      <c r="K33" s="28" t="n">
        <v>5</v>
      </c>
      <c r="L33" s="28" t="n">
        <v>0.607</v>
      </c>
      <c r="M33" s="28" t="n">
        <v>0.413</v>
      </c>
      <c r="N33" s="28" t="n">
        <v>1.02</v>
      </c>
      <c r="O33" s="28" t="n">
        <v>18</v>
      </c>
      <c r="P33" s="28" t="n">
        <v>0.368</v>
      </c>
      <c r="Q33" s="28" t="n">
        <v>0</v>
      </c>
    </row>
    <row r="34" customFormat="false" ht="15.75" hidden="false" customHeight="true" outlineLevel="0" collapsed="false">
      <c r="C34" s="28" t="b">
        <f aca="false">'기본-타자'!B34=D34</f>
        <v>0</v>
      </c>
      <c r="D34" s="65" t="s">
        <v>90</v>
      </c>
      <c r="E34" s="28" t="s">
        <v>43</v>
      </c>
      <c r="F34" s="28" t="n">
        <v>0.27</v>
      </c>
      <c r="G34" s="28" t="n">
        <v>17</v>
      </c>
      <c r="H34" s="28" t="n">
        <v>2</v>
      </c>
      <c r="I34" s="28" t="n">
        <v>0</v>
      </c>
      <c r="J34" s="28" t="n">
        <v>33</v>
      </c>
      <c r="K34" s="28" t="n">
        <v>2</v>
      </c>
      <c r="L34" s="28" t="n">
        <v>0.401</v>
      </c>
      <c r="M34" s="28" t="n">
        <v>0.345</v>
      </c>
      <c r="N34" s="28" t="n">
        <v>0.746</v>
      </c>
      <c r="O34" s="28" t="n">
        <v>10</v>
      </c>
      <c r="P34" s="28" t="n">
        <v>0.292</v>
      </c>
      <c r="Q34" s="28" t="n">
        <v>0</v>
      </c>
    </row>
    <row r="35" customFormat="false" ht="15.75" hidden="false" customHeight="true" outlineLevel="0" collapsed="false">
      <c r="C35" s="28" t="b">
        <f aca="false">'기본-타자'!B35=D35</f>
        <v>0</v>
      </c>
      <c r="D35" s="65" t="s">
        <v>100</v>
      </c>
      <c r="E35" s="28" t="s">
        <v>45</v>
      </c>
      <c r="F35" s="28" t="n">
        <v>0.347</v>
      </c>
      <c r="G35" s="28" t="n">
        <v>10</v>
      </c>
      <c r="H35" s="28" t="n">
        <v>1</v>
      </c>
      <c r="I35" s="28" t="n">
        <v>0</v>
      </c>
      <c r="J35" s="28" t="n">
        <v>25</v>
      </c>
      <c r="K35" s="28" t="n">
        <v>8</v>
      </c>
      <c r="L35" s="28" t="n">
        <v>0.482</v>
      </c>
      <c r="M35" s="28" t="n">
        <v>0.387</v>
      </c>
      <c r="N35" s="28" t="n">
        <v>0.869</v>
      </c>
      <c r="O35" s="28" t="n">
        <v>19</v>
      </c>
      <c r="P35" s="28" t="n">
        <v>0.286</v>
      </c>
      <c r="Q35" s="28" t="n">
        <v>0</v>
      </c>
    </row>
    <row r="36" customFormat="false" ht="15.75" hidden="false" customHeight="true" outlineLevel="0" collapsed="false">
      <c r="C36" s="28" t="b">
        <f aca="false">'기본-타자'!B36=D36</f>
        <v>0</v>
      </c>
      <c r="D36" s="65" t="s">
        <v>120</v>
      </c>
      <c r="E36" s="28" t="s">
        <v>56</v>
      </c>
      <c r="F36" s="28" t="n">
        <v>0.206</v>
      </c>
      <c r="G36" s="28" t="n">
        <v>37</v>
      </c>
      <c r="H36" s="28" t="n">
        <v>1</v>
      </c>
      <c r="I36" s="28" t="n">
        <v>3</v>
      </c>
      <c r="J36" s="28" t="n">
        <v>49</v>
      </c>
      <c r="K36" s="28" t="n">
        <v>8</v>
      </c>
      <c r="L36" s="28" t="n">
        <v>0.419</v>
      </c>
      <c r="M36" s="28" t="n">
        <v>0.357</v>
      </c>
      <c r="N36" s="28" t="n">
        <v>0.776</v>
      </c>
      <c r="O36" s="28" t="n">
        <v>8</v>
      </c>
      <c r="P36" s="28" t="n">
        <v>0.266</v>
      </c>
      <c r="Q36" s="28" t="n">
        <v>0.167</v>
      </c>
    </row>
    <row r="37" customFormat="false" ht="15.75" hidden="false" customHeight="true" outlineLevel="0" collapsed="false">
      <c r="C37" s="28" t="b">
        <f aca="false">'기본-타자'!B37=D37</f>
        <v>0</v>
      </c>
      <c r="D37" s="65" t="s">
        <v>82</v>
      </c>
      <c r="E37" s="66" t="s">
        <v>190</v>
      </c>
      <c r="F37" s="28" t="n">
        <v>0.275</v>
      </c>
      <c r="G37" s="28" t="n">
        <v>12</v>
      </c>
      <c r="H37" s="28" t="n">
        <v>1</v>
      </c>
      <c r="I37" s="28" t="n">
        <v>0</v>
      </c>
      <c r="J37" s="28" t="n">
        <v>36</v>
      </c>
      <c r="K37" s="28" t="n">
        <v>4</v>
      </c>
      <c r="L37" s="28" t="n">
        <v>0.413</v>
      </c>
      <c r="M37" s="28" t="n">
        <v>0.328</v>
      </c>
      <c r="N37" s="28" t="n">
        <v>0.741</v>
      </c>
      <c r="O37" s="28" t="n">
        <v>14</v>
      </c>
      <c r="P37" s="28" t="n">
        <v>0.286</v>
      </c>
      <c r="Q37" s="28" t="n">
        <v>0</v>
      </c>
    </row>
    <row r="38" customFormat="false" ht="15.75" hidden="false" customHeight="true" outlineLevel="0" collapsed="false">
      <c r="C38" s="28" t="b">
        <f aca="false">'기본-타자'!B38=D38</f>
        <v>0</v>
      </c>
      <c r="D38" s="65" t="s">
        <v>106</v>
      </c>
      <c r="E38" s="66" t="s">
        <v>189</v>
      </c>
      <c r="F38" s="28" t="n">
        <v>0.26</v>
      </c>
      <c r="G38" s="28" t="n">
        <v>20</v>
      </c>
      <c r="H38" s="28" t="n">
        <v>9</v>
      </c>
      <c r="I38" s="28" t="n">
        <v>1</v>
      </c>
      <c r="J38" s="28" t="n">
        <v>42</v>
      </c>
      <c r="K38" s="28" t="n">
        <v>4</v>
      </c>
      <c r="L38" s="28" t="n">
        <v>0.418</v>
      </c>
      <c r="M38" s="28" t="n">
        <v>0.379</v>
      </c>
      <c r="N38" s="28" t="n">
        <v>0.797</v>
      </c>
      <c r="O38" s="28" t="n">
        <v>9</v>
      </c>
      <c r="P38" s="28" t="n">
        <v>0.294</v>
      </c>
      <c r="Q38" s="28" t="n">
        <v>0.5</v>
      </c>
    </row>
    <row r="39" customFormat="false" ht="15.75" hidden="false" customHeight="true" outlineLevel="0" collapsed="false">
      <c r="C39" s="28" t="b">
        <f aca="false">'기본-타자'!B39=D39</f>
        <v>0</v>
      </c>
      <c r="D39" s="65" t="s">
        <v>127</v>
      </c>
      <c r="E39" s="66" t="s">
        <v>190</v>
      </c>
      <c r="F39" s="28" t="n">
        <v>0.231</v>
      </c>
      <c r="G39" s="28" t="n">
        <v>13</v>
      </c>
      <c r="H39" s="28" t="n">
        <v>0</v>
      </c>
      <c r="I39" s="28" t="n">
        <v>0</v>
      </c>
      <c r="J39" s="28" t="n">
        <v>26</v>
      </c>
      <c r="K39" s="28" t="n">
        <v>4</v>
      </c>
      <c r="L39" s="28" t="n">
        <v>0.296</v>
      </c>
      <c r="M39" s="28" t="n">
        <v>0.283</v>
      </c>
      <c r="N39" s="28" t="n">
        <v>0.579</v>
      </c>
      <c r="O39" s="28" t="n">
        <v>9</v>
      </c>
      <c r="P39" s="28" t="n">
        <v>0.182</v>
      </c>
      <c r="Q39" s="28" t="n">
        <v>0.6</v>
      </c>
    </row>
    <row r="40" customFormat="false" ht="15.75" hidden="false" customHeight="true" outlineLevel="0" collapsed="false">
      <c r="C40" s="28" t="b">
        <f aca="false">'기본-타자'!B40=D40</f>
        <v>0</v>
      </c>
      <c r="D40" s="65" t="s">
        <v>72</v>
      </c>
      <c r="E40" s="66" t="s">
        <v>188</v>
      </c>
      <c r="F40" s="28" t="n">
        <v>0.257</v>
      </c>
      <c r="G40" s="28" t="n">
        <v>23</v>
      </c>
      <c r="H40" s="28" t="n">
        <v>3</v>
      </c>
      <c r="I40" s="28" t="n">
        <v>0</v>
      </c>
      <c r="J40" s="28" t="n">
        <v>33</v>
      </c>
      <c r="K40" s="28" t="n">
        <v>2</v>
      </c>
      <c r="L40" s="28" t="n">
        <v>0.366</v>
      </c>
      <c r="M40" s="28" t="n">
        <v>0.349</v>
      </c>
      <c r="N40" s="28" t="n">
        <v>0.715</v>
      </c>
      <c r="O40" s="28" t="n">
        <v>13</v>
      </c>
      <c r="P40" s="28" t="n">
        <v>0.318</v>
      </c>
      <c r="Q40" s="28" t="n">
        <v>0</v>
      </c>
    </row>
    <row r="41" customFormat="false" ht="15.75" hidden="false" customHeight="true" outlineLevel="0" collapsed="false">
      <c r="C41" s="28" t="b">
        <f aca="false">'기본-타자'!B41=D41</f>
        <v>0</v>
      </c>
      <c r="D41" s="65" t="s">
        <v>84</v>
      </c>
      <c r="E41" s="28" t="s">
        <v>50</v>
      </c>
      <c r="F41" s="28" t="n">
        <v>0.302</v>
      </c>
      <c r="G41" s="28" t="n">
        <v>19</v>
      </c>
      <c r="H41" s="28" t="n">
        <v>1</v>
      </c>
      <c r="I41" s="28" t="n">
        <v>0</v>
      </c>
      <c r="J41" s="28" t="n">
        <v>27</v>
      </c>
      <c r="K41" s="28" t="n">
        <v>3</v>
      </c>
      <c r="L41" s="28" t="n">
        <v>0.415</v>
      </c>
      <c r="M41" s="28" t="n">
        <v>0.374</v>
      </c>
      <c r="N41" s="28" t="n">
        <v>0.789</v>
      </c>
      <c r="O41" s="28" t="n">
        <v>15</v>
      </c>
      <c r="P41" s="28" t="n">
        <v>0.447</v>
      </c>
      <c r="Q41" s="28" t="n">
        <v>0.5</v>
      </c>
    </row>
    <row r="42" customFormat="false" ht="15.75" hidden="false" customHeight="true" outlineLevel="0" collapsed="false">
      <c r="C42" s="28" t="b">
        <f aca="false">'기본-타자'!B42=D42</f>
        <v>0</v>
      </c>
      <c r="D42" s="65" t="s">
        <v>115</v>
      </c>
      <c r="E42" s="28" t="s">
        <v>43</v>
      </c>
      <c r="F42" s="28" t="n">
        <v>0.268</v>
      </c>
      <c r="G42" s="28" t="n">
        <v>11</v>
      </c>
      <c r="H42" s="28" t="n">
        <v>2</v>
      </c>
      <c r="I42" s="28" t="n">
        <v>1</v>
      </c>
      <c r="J42" s="28" t="n">
        <v>25</v>
      </c>
      <c r="K42" s="28" t="n">
        <v>6</v>
      </c>
      <c r="L42" s="28" t="n">
        <v>0.359</v>
      </c>
      <c r="M42" s="28" t="n">
        <v>0.325</v>
      </c>
      <c r="N42" s="28" t="n">
        <v>0.684</v>
      </c>
      <c r="O42" s="28" t="n">
        <v>12</v>
      </c>
      <c r="P42" s="28" t="n">
        <v>0.205</v>
      </c>
      <c r="Q42" s="28" t="n">
        <v>0.2</v>
      </c>
    </row>
    <row r="43" customFormat="false" ht="15.75" hidden="false" customHeight="true" outlineLevel="0" collapsed="false">
      <c r="C43" s="28" t="b">
        <f aca="false">'기본-타자'!B43=D43</f>
        <v>0</v>
      </c>
      <c r="D43" s="65" t="s">
        <v>55</v>
      </c>
      <c r="E43" s="28" t="s">
        <v>56</v>
      </c>
      <c r="F43" s="28" t="n">
        <v>0.377</v>
      </c>
      <c r="G43" s="28" t="n">
        <v>29</v>
      </c>
      <c r="H43" s="28" t="n">
        <v>3</v>
      </c>
      <c r="I43" s="28" t="n">
        <v>0</v>
      </c>
      <c r="J43" s="28" t="n">
        <v>34</v>
      </c>
      <c r="K43" s="28" t="n">
        <v>2</v>
      </c>
      <c r="L43" s="28" t="n">
        <v>0.521</v>
      </c>
      <c r="M43" s="28" t="n">
        <v>0.452</v>
      </c>
      <c r="N43" s="28" t="n">
        <v>0.973</v>
      </c>
      <c r="O43" s="28" t="n">
        <v>24</v>
      </c>
      <c r="P43" s="28" t="n">
        <v>0.352</v>
      </c>
      <c r="Q43" s="28" t="n">
        <v>0</v>
      </c>
    </row>
    <row r="44" customFormat="false" ht="15.75" hidden="false" customHeight="true" outlineLevel="0" collapsed="false">
      <c r="C44" s="28" t="b">
        <f aca="false">'기본-타자'!B44=D44</f>
        <v>0</v>
      </c>
      <c r="D44" s="65" t="s">
        <v>52</v>
      </c>
      <c r="E44" s="28" t="s">
        <v>50</v>
      </c>
      <c r="F44" s="28" t="n">
        <v>0.276</v>
      </c>
      <c r="G44" s="28" t="n">
        <v>26</v>
      </c>
      <c r="H44" s="28" t="n">
        <v>3</v>
      </c>
      <c r="I44" s="28" t="n">
        <v>3</v>
      </c>
      <c r="J44" s="28" t="n">
        <v>42</v>
      </c>
      <c r="K44" s="28" t="n">
        <v>3</v>
      </c>
      <c r="L44" s="28" t="n">
        <v>0.571</v>
      </c>
      <c r="M44" s="28" t="n">
        <v>0.378</v>
      </c>
      <c r="N44" s="28" t="n">
        <v>0.949</v>
      </c>
      <c r="O44" s="28" t="n">
        <v>9</v>
      </c>
      <c r="P44" s="28" t="n">
        <v>0.267</v>
      </c>
      <c r="Q44" s="28" t="n">
        <v>0</v>
      </c>
    </row>
    <row r="45" customFormat="false" ht="15.75" hidden="false" customHeight="true" outlineLevel="0" collapsed="false">
      <c r="C45" s="28" t="b">
        <f aca="false">'기본-타자'!B45=D45</f>
        <v>0</v>
      </c>
      <c r="D45" s="65" t="s">
        <v>125</v>
      </c>
      <c r="E45" s="66" t="s">
        <v>187</v>
      </c>
      <c r="F45" s="28" t="n">
        <v>0.256</v>
      </c>
      <c r="G45" s="28" t="n">
        <v>16</v>
      </c>
      <c r="H45" s="28" t="n">
        <v>0</v>
      </c>
      <c r="I45" s="28" t="n">
        <v>1</v>
      </c>
      <c r="J45" s="28" t="n">
        <v>32</v>
      </c>
      <c r="K45" s="28" t="n">
        <v>6</v>
      </c>
      <c r="L45" s="28" t="n">
        <v>0.347</v>
      </c>
      <c r="M45" s="28" t="n">
        <v>0.314</v>
      </c>
      <c r="N45" s="28" t="n">
        <v>0.661</v>
      </c>
      <c r="O45" s="28" t="n">
        <v>12</v>
      </c>
      <c r="P45" s="28" t="n">
        <v>0.277</v>
      </c>
      <c r="Q45" s="28" t="n">
        <v>0.333</v>
      </c>
    </row>
    <row r="46" customFormat="false" ht="15.75" hidden="false" customHeight="true" outlineLevel="0" collapsed="false">
      <c r="C46" s="28" t="b">
        <f aca="false">'기본-타자'!B46=D46</f>
        <v>0</v>
      </c>
      <c r="D46" s="65" t="s">
        <v>68</v>
      </c>
      <c r="E46" s="28" t="s">
        <v>50</v>
      </c>
      <c r="F46" s="28" t="n">
        <v>0.219</v>
      </c>
      <c r="G46" s="28" t="n">
        <v>15</v>
      </c>
      <c r="H46" s="28" t="n">
        <v>2</v>
      </c>
      <c r="I46" s="28" t="n">
        <v>0</v>
      </c>
      <c r="J46" s="28" t="n">
        <v>30</v>
      </c>
      <c r="K46" s="28" t="n">
        <v>5</v>
      </c>
      <c r="L46" s="28" t="n">
        <v>0.388</v>
      </c>
      <c r="M46" s="28" t="n">
        <v>0.277</v>
      </c>
      <c r="N46" s="28" t="n">
        <v>0.665</v>
      </c>
      <c r="O46" s="28" t="n">
        <v>11</v>
      </c>
      <c r="P46" s="28" t="n">
        <v>0.218</v>
      </c>
      <c r="Q46" s="28" t="n">
        <v>0</v>
      </c>
    </row>
    <row r="47" customFormat="false" ht="15.75" hidden="false" customHeight="true" outlineLevel="0" collapsed="false">
      <c r="C47" s="28" t="b">
        <f aca="false">'기본-타자'!B47=D47</f>
        <v>0</v>
      </c>
      <c r="D47" s="65" t="s">
        <v>83</v>
      </c>
      <c r="E47" s="66" t="s">
        <v>189</v>
      </c>
      <c r="F47" s="28" t="n">
        <v>0.346</v>
      </c>
      <c r="G47" s="28" t="n">
        <v>39</v>
      </c>
      <c r="H47" s="28" t="n">
        <v>3</v>
      </c>
      <c r="I47" s="28" t="n">
        <v>2</v>
      </c>
      <c r="J47" s="28" t="n">
        <v>23</v>
      </c>
      <c r="K47" s="28" t="n">
        <v>7</v>
      </c>
      <c r="L47" s="28" t="n">
        <v>0.533</v>
      </c>
      <c r="M47" s="28" t="n">
        <v>0.463</v>
      </c>
      <c r="N47" s="28" t="n">
        <v>0.996</v>
      </c>
      <c r="O47" s="28" t="n">
        <v>17</v>
      </c>
      <c r="P47" s="28" t="n">
        <v>0.362</v>
      </c>
      <c r="Q47" s="28" t="n">
        <v>0</v>
      </c>
    </row>
    <row r="48" customFormat="false" ht="15.75" hidden="false" customHeight="true" outlineLevel="0" collapsed="false">
      <c r="C48" s="28" t="b">
        <f aca="false">'기본-타자'!B48=D48</f>
        <v>0</v>
      </c>
      <c r="D48" s="65" t="s">
        <v>80</v>
      </c>
      <c r="E48" s="66" t="s">
        <v>188</v>
      </c>
      <c r="F48" s="28" t="n">
        <v>0.292</v>
      </c>
      <c r="G48" s="28" t="n">
        <v>23</v>
      </c>
      <c r="H48" s="28" t="n">
        <v>3</v>
      </c>
      <c r="I48" s="28" t="n">
        <v>0</v>
      </c>
      <c r="J48" s="28" t="n">
        <v>40</v>
      </c>
      <c r="K48" s="28" t="n">
        <v>7</v>
      </c>
      <c r="L48" s="28" t="n">
        <v>0.505</v>
      </c>
      <c r="M48" s="28" t="n">
        <v>0.371</v>
      </c>
      <c r="N48" s="28" t="n">
        <v>0.876</v>
      </c>
      <c r="O48" s="28" t="n">
        <v>18</v>
      </c>
      <c r="P48" s="28" t="n">
        <v>0.262</v>
      </c>
      <c r="Q48" s="28" t="n">
        <v>1</v>
      </c>
    </row>
    <row r="49" customFormat="false" ht="15.75" hidden="false" customHeight="true" outlineLevel="0" collapsed="false">
      <c r="C49" s="28" t="b">
        <f aca="false">'기본-타자'!B49=D49</f>
        <v>0</v>
      </c>
      <c r="D49" s="65" t="s">
        <v>61</v>
      </c>
      <c r="E49" s="66" t="s">
        <v>186</v>
      </c>
      <c r="F49" s="28" t="n">
        <v>0.322</v>
      </c>
      <c r="G49" s="28" t="n">
        <v>33</v>
      </c>
      <c r="H49" s="28" t="n">
        <v>0</v>
      </c>
      <c r="I49" s="28" t="n">
        <v>1</v>
      </c>
      <c r="J49" s="28" t="n">
        <v>44</v>
      </c>
      <c r="K49" s="28" t="n">
        <v>5</v>
      </c>
      <c r="L49" s="28" t="n">
        <v>0.537</v>
      </c>
      <c r="M49" s="28" t="n">
        <v>0.411</v>
      </c>
      <c r="N49" s="28" t="n">
        <v>0.948</v>
      </c>
      <c r="O49" s="28" t="n">
        <v>18</v>
      </c>
      <c r="P49" s="28" t="n">
        <v>0.237</v>
      </c>
      <c r="Q49" s="28" t="n">
        <v>0</v>
      </c>
    </row>
    <row r="50" customFormat="false" ht="15.75" hidden="false" customHeight="true" outlineLevel="0" collapsed="false">
      <c r="C50" s="28" t="b">
        <f aca="false">'기본-타자'!B50=D50</f>
        <v>0</v>
      </c>
      <c r="D50" s="65" t="s">
        <v>97</v>
      </c>
      <c r="E50" s="28" t="s">
        <v>43</v>
      </c>
      <c r="F50" s="28" t="n">
        <v>0.23</v>
      </c>
      <c r="G50" s="28" t="n">
        <v>39</v>
      </c>
      <c r="H50" s="28" t="n">
        <v>5</v>
      </c>
      <c r="I50" s="28" t="n">
        <v>0</v>
      </c>
      <c r="J50" s="28" t="n">
        <v>48</v>
      </c>
      <c r="K50" s="28" t="n">
        <v>5</v>
      </c>
      <c r="L50" s="28" t="n">
        <v>0.273</v>
      </c>
      <c r="M50" s="28" t="n">
        <v>0.389</v>
      </c>
      <c r="N50" s="28" t="n">
        <v>0.662</v>
      </c>
      <c r="O50" s="28" t="n">
        <v>7</v>
      </c>
      <c r="P50" s="28" t="n">
        <v>0.235</v>
      </c>
      <c r="Q50" s="28" t="n">
        <v>0</v>
      </c>
    </row>
    <row r="51" customFormat="false" ht="15.75" hidden="false" customHeight="true" outlineLevel="0" collapsed="false">
      <c r="C51" s="28" t="b">
        <f aca="false">'기본-타자'!B51=D51</f>
        <v>0</v>
      </c>
      <c r="D51" s="65" t="s">
        <v>60</v>
      </c>
      <c r="E51" s="28" t="s">
        <v>56</v>
      </c>
      <c r="F51" s="28" t="n">
        <v>0.288</v>
      </c>
      <c r="G51" s="28" t="n">
        <v>23</v>
      </c>
      <c r="H51" s="28" t="n">
        <v>0</v>
      </c>
      <c r="I51" s="28" t="n">
        <v>0</v>
      </c>
      <c r="J51" s="28" t="n">
        <v>67</v>
      </c>
      <c r="K51" s="28" t="n">
        <v>2</v>
      </c>
      <c r="L51" s="28" t="n">
        <v>0.542</v>
      </c>
      <c r="M51" s="28" t="n">
        <v>0.351</v>
      </c>
      <c r="N51" s="28" t="n">
        <v>0.893</v>
      </c>
      <c r="O51" s="28" t="n">
        <v>18</v>
      </c>
      <c r="P51" s="28" t="n">
        <v>0.254</v>
      </c>
      <c r="Q51" s="28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K2" activeCellId="0" sqref="AK2"/>
    </sheetView>
  </sheetViews>
  <sheetFormatPr defaultColWidth="4.78125" defaultRowHeight="26.25" customHeight="true" zeroHeight="false" outlineLevelRow="0" outlineLevelCol="0"/>
  <cols>
    <col collapsed="false" customWidth="true" hidden="false" outlineLevel="0" max="1" min="1" style="10" width="4.07"/>
    <col collapsed="false" customWidth="true" hidden="false" outlineLevel="0" max="2" min="2" style="1" width="11.28"/>
    <col collapsed="false" customWidth="true" hidden="false" outlineLevel="0" max="3" min="3" style="1" width="3.78"/>
    <col collapsed="false" customWidth="true" hidden="false" outlineLevel="0" max="4" min="4" style="1" width="5.78"/>
    <col collapsed="false" customWidth="true" hidden="false" outlineLevel="0" max="5" min="5" style="32" width="6.17"/>
    <col collapsed="false" customWidth="true" hidden="false" outlineLevel="0" max="6" min="6" style="67" width="7.28"/>
    <col collapsed="false" customWidth="false" hidden="false" outlineLevel="0" max="9" min="7" style="7" width="4.78"/>
    <col collapsed="false" customWidth="true" hidden="false" outlineLevel="0" max="10" min="10" style="7" width="4.98"/>
    <col collapsed="false" customWidth="false" hidden="false" outlineLevel="0" max="12" min="11" style="7" width="4.78"/>
    <col collapsed="false" customWidth="true" hidden="false" outlineLevel="0" max="13" min="13" style="68" width="8.78"/>
    <col collapsed="false" customWidth="false" hidden="false" outlineLevel="0" max="24" min="14" style="7" width="4.78"/>
    <col collapsed="false" customWidth="true" hidden="false" outlineLevel="0" max="27" min="25" style="35" width="7.28"/>
    <col collapsed="false" customWidth="true" hidden="false" outlineLevel="0" max="28" min="28" style="69" width="5.28"/>
    <col collapsed="false" customWidth="true" hidden="false" outlineLevel="0" max="30" min="29" style="70" width="5.78"/>
    <col collapsed="false" customWidth="true" hidden="false" outlineLevel="0" max="31" min="31" style="7" width="6.28"/>
    <col collapsed="false" customWidth="true" hidden="false" outlineLevel="0" max="32" min="32" style="7" width="7.25"/>
    <col collapsed="false" customWidth="false" hidden="false" outlineLevel="0" max="35" min="33" style="7" width="4.78"/>
    <col collapsed="false" customWidth="false" hidden="false" outlineLevel="0" max="38" min="36" style="70" width="4.78"/>
    <col collapsed="false" customWidth="true" hidden="false" outlineLevel="0" max="39" min="39" style="71" width="6.64"/>
    <col collapsed="false" customWidth="true" hidden="false" outlineLevel="0" max="40" min="40" style="71" width="7.48"/>
    <col collapsed="false" customWidth="true" hidden="false" outlineLevel="0" max="41" min="41" style="7" width="7.09"/>
    <col collapsed="false" customWidth="false" hidden="false" outlineLevel="0" max="14537" min="42" style="7" width="4.78"/>
    <col collapsed="false" customWidth="true" hidden="false" outlineLevel="0" max="16384" min="14538" style="7" width="8.79"/>
  </cols>
  <sheetData>
    <row r="1" s="14" customFormat="true" ht="34.5" hidden="false" customHeight="true" outlineLevel="0" collapsed="false">
      <c r="A1" s="13" t="s">
        <v>0</v>
      </c>
      <c r="B1" s="14" t="s">
        <v>1</v>
      </c>
      <c r="C1" s="14" t="s">
        <v>2</v>
      </c>
      <c r="D1" s="14" t="s">
        <v>3</v>
      </c>
      <c r="E1" s="72" t="s">
        <v>4</v>
      </c>
      <c r="F1" s="73" t="s">
        <v>5</v>
      </c>
      <c r="G1" s="14" t="s">
        <v>9</v>
      </c>
      <c r="H1" s="14" t="s">
        <v>191</v>
      </c>
      <c r="I1" s="14" t="s">
        <v>192</v>
      </c>
      <c r="J1" s="14" t="s">
        <v>193</v>
      </c>
      <c r="K1" s="14" t="s">
        <v>194</v>
      </c>
      <c r="L1" s="14" t="s">
        <v>195</v>
      </c>
      <c r="M1" s="74" t="s">
        <v>140</v>
      </c>
      <c r="N1" s="14" t="s">
        <v>196</v>
      </c>
      <c r="O1" s="14" t="s">
        <v>197</v>
      </c>
      <c r="P1" s="14" t="s">
        <v>198</v>
      </c>
      <c r="Q1" s="14" t="s">
        <v>13</v>
      </c>
      <c r="R1" s="14" t="s">
        <v>14</v>
      </c>
      <c r="S1" s="14" t="s">
        <v>15</v>
      </c>
      <c r="T1" s="14" t="s">
        <v>16</v>
      </c>
      <c r="U1" s="14" t="s">
        <v>20</v>
      </c>
      <c r="V1" s="14" t="s">
        <v>21</v>
      </c>
      <c r="W1" s="14" t="s">
        <v>22</v>
      </c>
      <c r="X1" s="14" t="s">
        <v>23</v>
      </c>
      <c r="Y1" s="75" t="s">
        <v>199</v>
      </c>
      <c r="Z1" s="75" t="s">
        <v>200</v>
      </c>
      <c r="AA1" s="75" t="s">
        <v>201</v>
      </c>
      <c r="AB1" s="76" t="s">
        <v>202</v>
      </c>
      <c r="AC1" s="77" t="s">
        <v>203</v>
      </c>
      <c r="AD1" s="77" t="s">
        <v>204</v>
      </c>
      <c r="AE1" s="14" t="s">
        <v>33</v>
      </c>
      <c r="AF1" s="22" t="s">
        <v>41</v>
      </c>
      <c r="AG1" s="14" t="s">
        <v>205</v>
      </c>
      <c r="AH1" s="14" t="s">
        <v>206</v>
      </c>
      <c r="AI1" s="14" t="s">
        <v>207</v>
      </c>
      <c r="AJ1" s="77" t="s">
        <v>208</v>
      </c>
      <c r="AK1" s="78" t="s">
        <v>209</v>
      </c>
      <c r="AL1" s="78" t="s">
        <v>210</v>
      </c>
      <c r="AM1" s="21" t="s">
        <v>211</v>
      </c>
      <c r="AN1" s="21" t="s">
        <v>34</v>
      </c>
      <c r="AO1" s="21" t="s">
        <v>35</v>
      </c>
    </row>
    <row r="2" s="9" customFormat="true" ht="26.25" hidden="false" customHeight="true" outlineLevel="0" collapsed="false">
      <c r="A2" s="10" t="n">
        <v>0</v>
      </c>
      <c r="B2" s="55" t="s">
        <v>212</v>
      </c>
      <c r="C2" s="1" t="s">
        <v>213</v>
      </c>
      <c r="D2" s="79" t="s">
        <v>47</v>
      </c>
      <c r="E2" s="44" t="n">
        <f aca="false">'연도별 상수'!$A$46</f>
        <v>2026</v>
      </c>
      <c r="F2" s="45" t="n">
        <f aca="false">ROUND((((0.5+(('리그 투수'!$Q$46)-(AA2/0.92/AE2))/((((9*'리그 투수'!$Q$46)+((M2/G2)*(AA2/0.92/AE2))+((9-(M2/G2))*'리그 투수'!$Q$46))/18+2)*1.5))-0.38)/9*M2)*(0.5+(H2/330))+(((0.5+(('리그 투수'!$Q$46)-(Z2/0.92))/((((9*'리그 투수'!$Q$46)+((M2/G2)*(Z2/0.92))+((9-(M2/G2))*'리그 투수'!$Q$46))/18+2)*1.5))-0.38)/9*M2)*0.35+((((AC2^2)/((AC2^2)+(100^2))-0.38)/9*M2))*(0.08+(H2/140)),2)</f>
        <v>0.04</v>
      </c>
      <c r="G2" s="7" t="n">
        <v>18</v>
      </c>
      <c r="H2" s="7" t="n">
        <v>11</v>
      </c>
      <c r="I2" s="7" t="n">
        <v>6</v>
      </c>
      <c r="J2" s="7" t="n">
        <v>3</v>
      </c>
      <c r="K2" s="7" t="n">
        <v>0</v>
      </c>
      <c r="L2" s="7" t="n">
        <v>1</v>
      </c>
      <c r="M2" s="68" t="n">
        <v>68</v>
      </c>
      <c r="N2" s="7" t="n">
        <v>33</v>
      </c>
      <c r="O2" s="7" t="n">
        <v>38</v>
      </c>
      <c r="P2" s="7" t="n">
        <v>293</v>
      </c>
      <c r="Q2" s="7" t="n">
        <v>67</v>
      </c>
      <c r="R2" s="7" t="n">
        <v>6</v>
      </c>
      <c r="S2" s="7" t="n">
        <v>0</v>
      </c>
      <c r="T2" s="7" t="n">
        <v>12</v>
      </c>
      <c r="U2" s="7" t="n">
        <v>27</v>
      </c>
      <c r="V2" s="7" t="n">
        <v>3</v>
      </c>
      <c r="W2" s="7" t="n">
        <v>0</v>
      </c>
      <c r="X2" s="7" t="n">
        <v>50</v>
      </c>
      <c r="Y2" s="48" t="n">
        <f aca="false">9*N2/M2</f>
        <v>4.36764705882353</v>
      </c>
      <c r="Z2" s="48" t="n">
        <f aca="false">9*O2/M2</f>
        <v>5.02941176470588</v>
      </c>
      <c r="AA2" s="48" t="n">
        <f aca="false">('연도별 상수'!$Y$46*T2+'연도별 상수'!$Z$46*(U2+V2)+'연도별 상수'!$AA$46*X2)/M2+'연도별 상수'!$V$46</f>
        <v>5.72920781240998</v>
      </c>
      <c r="AB2" s="80" t="n">
        <f aca="false">ROUND((Q2+U2)/M2,2)</f>
        <v>1.38</v>
      </c>
      <c r="AC2" s="81" t="str">
        <f aca="false">TEXT(100*(2-(Y2/'리그 투수'!$P$46)*(1/AE2)),"0.0")</f>
        <v>100.8</v>
      </c>
      <c r="AD2" s="81" t="str">
        <f aca="false">TEXT(100*(2-(AA2/'리그 투수'!$Q$46)*(1/AE2)),"0.0")</f>
        <v>70.8</v>
      </c>
      <c r="AE2" s="9" t="n">
        <f aca="false">'연도별 상수'!$G$46*0.77+0.23</f>
        <v>0.93792953</v>
      </c>
      <c r="AF2" s="9" t="n">
        <v>0</v>
      </c>
      <c r="AG2" s="7" t="n">
        <v>201</v>
      </c>
      <c r="AH2" s="7" t="n">
        <v>40.8</v>
      </c>
      <c r="AI2" s="7" t="n">
        <v>48.4</v>
      </c>
      <c r="AJ2" s="70" t="n">
        <v>10.8</v>
      </c>
      <c r="AK2" s="70"/>
      <c r="AL2" s="70"/>
      <c r="AM2" s="7"/>
      <c r="AN2" s="7"/>
    </row>
    <row r="3" customFormat="false" ht="26.25" hidden="false" customHeight="true" outlineLevel="0" collapsed="false">
      <c r="A3" s="10" t="n">
        <v>1</v>
      </c>
      <c r="B3" s="55" t="s">
        <v>214</v>
      </c>
      <c r="C3" s="1" t="s">
        <v>213</v>
      </c>
      <c r="D3" s="79" t="s">
        <v>47</v>
      </c>
      <c r="E3" s="44" t="n">
        <f aca="false">'연도별 상수'!$A$46</f>
        <v>2026</v>
      </c>
      <c r="F3" s="45" t="n">
        <f aca="false">ROUND((((0.5+(('리그 투수'!$Q$46)-(AA3/0.92/AE3))/((((9*'리그 투수'!$Q$46)+((M3/G3)*(AA3/0.92/AE3))+((9-(M3/G3))*'리그 투수'!$Q$46))/18+2)*1.5))-0.38)/9*M3)*(0.5+(H3/330))+(((0.5+(('리그 투수'!$Q$46)-(Z3/0.92))/((((9*'리그 투수'!$Q$46)+((M3/G3)*(Z3/0.92))+((9-(M3/G3))*'리그 투수'!$Q$46))/18+2)*1.5))-0.38)/9*M3)*0.35+((((AC3^2)/((AC3^2)+(100^2))-0.38)/9*M3))*(0.08+(H3/140)),2)</f>
        <v>2.64</v>
      </c>
      <c r="G3" s="7" t="n">
        <v>14</v>
      </c>
      <c r="H3" s="7" t="n">
        <v>14</v>
      </c>
      <c r="I3" s="7" t="n">
        <v>7</v>
      </c>
      <c r="J3" s="7" t="n">
        <v>5</v>
      </c>
      <c r="K3" s="7" t="n">
        <v>0</v>
      </c>
      <c r="L3" s="7" t="n">
        <v>0</v>
      </c>
      <c r="M3" s="68" t="n">
        <f aca="false">87+1/3</f>
        <v>87.3333333333333</v>
      </c>
      <c r="N3" s="7" t="n">
        <v>25</v>
      </c>
      <c r="O3" s="7" t="n">
        <v>26</v>
      </c>
      <c r="P3" s="7" t="n">
        <v>344</v>
      </c>
      <c r="Q3" s="7" t="n">
        <v>56</v>
      </c>
      <c r="R3" s="7" t="n">
        <v>6</v>
      </c>
      <c r="S3" s="7" t="n">
        <v>2</v>
      </c>
      <c r="T3" s="7" t="n">
        <v>6</v>
      </c>
      <c r="U3" s="7" t="n">
        <v>27</v>
      </c>
      <c r="V3" s="7" t="n">
        <v>5</v>
      </c>
      <c r="W3" s="7" t="n">
        <v>0</v>
      </c>
      <c r="X3" s="7" t="n">
        <v>92</v>
      </c>
      <c r="Y3" s="48" t="n">
        <f aca="false">9*N3/M3</f>
        <v>2.5763358778626</v>
      </c>
      <c r="Z3" s="48" t="n">
        <f aca="false">9*O3/M3</f>
        <v>2.6793893129771</v>
      </c>
      <c r="AA3" s="48" t="n">
        <f aca="false">('연도별 상수'!$Y$46*T3+'연도별 상수'!$Z$46*(U3+V3)+'연도별 상수'!$AA$46*X3)/M3+'연도별 상수'!$V$46</f>
        <v>3.4013901204477</v>
      </c>
      <c r="AB3" s="80" t="n">
        <f aca="false">ROUND((Q3+U3)/M3,2)</f>
        <v>0.95</v>
      </c>
      <c r="AC3" s="81" t="str">
        <f aca="false">TEXT(100*(2-(Y3/'리그 투수'!$P$46)*(1/AE3)),"0.0")</f>
        <v>141.5</v>
      </c>
      <c r="AD3" s="81" t="str">
        <f aca="false">TEXT(100*(2-(AA3/'리그 투수'!$Q$46)*(1/AE3)),"0.0")</f>
        <v>123.3</v>
      </c>
      <c r="AE3" s="9" t="n">
        <f aca="false">'연도별 상수'!$G$46*0.77+0.23</f>
        <v>0.93792953</v>
      </c>
      <c r="AF3" s="9" t="n">
        <v>1</v>
      </c>
      <c r="AG3" s="7" t="n">
        <v>209</v>
      </c>
      <c r="AH3" s="7" t="n">
        <v>44.5</v>
      </c>
      <c r="AI3" s="7" t="n">
        <v>43.2</v>
      </c>
      <c r="AJ3" s="70" t="n">
        <v>12.3</v>
      </c>
      <c r="AM3" s="7"/>
      <c r="AN3" s="7"/>
      <c r="AO3" s="9"/>
    </row>
    <row r="4" s="9" customFormat="true" ht="26.25" hidden="false" customHeight="true" outlineLevel="0" collapsed="false">
      <c r="A4" s="10" t="n">
        <v>2</v>
      </c>
      <c r="B4" s="55" t="s">
        <v>215</v>
      </c>
      <c r="C4" s="1" t="s">
        <v>213</v>
      </c>
      <c r="D4" s="79" t="s">
        <v>89</v>
      </c>
      <c r="E4" s="44" t="n">
        <f aca="false">'연도별 상수'!$A$46</f>
        <v>2026</v>
      </c>
      <c r="F4" s="45" t="n">
        <f aca="false">ROUND((((0.5+(('리그 투수'!$Q$46)-(AA4/0.92/AE4))/((((9*'리그 투수'!$Q$46)+((M4/G4)*(AA4/0.92/AE4))+((9-(M4/G4))*'리그 투수'!$Q$46))/18+2)*1.5))-0.38)/9*M4)*(0.5+(H4/330))+(((0.5+(('리그 투수'!$Q$46)-(Z4/0.92))/((((9*'리그 투수'!$Q$46)+((M4/G4)*(Z4/0.92))+((9-(M4/G4))*'리그 투수'!$Q$46))/18+2)*1.5))-0.38)/9*M4)*0.35+((((AC4^2)/((AC4^2)+(100^2))-0.38)/9*M4))*(0.08+(H4/140)),2)</f>
        <v>2.34</v>
      </c>
      <c r="G4" s="7" t="n">
        <v>14</v>
      </c>
      <c r="H4" s="7" t="n">
        <v>14</v>
      </c>
      <c r="I4" s="7" t="n">
        <v>7</v>
      </c>
      <c r="J4" s="7" t="n">
        <v>5</v>
      </c>
      <c r="K4" s="7" t="n">
        <v>0</v>
      </c>
      <c r="L4" s="7" t="n">
        <v>0</v>
      </c>
      <c r="M4" s="68" t="n">
        <v>92</v>
      </c>
      <c r="N4" s="7" t="n">
        <v>30</v>
      </c>
      <c r="O4" s="7" t="n">
        <v>31</v>
      </c>
      <c r="P4" s="7" t="n">
        <v>371</v>
      </c>
      <c r="Q4" s="7" t="n">
        <v>88</v>
      </c>
      <c r="R4" s="7" t="n">
        <v>14</v>
      </c>
      <c r="S4" s="7" t="n">
        <v>2</v>
      </c>
      <c r="T4" s="7" t="n">
        <v>11</v>
      </c>
      <c r="U4" s="7" t="n">
        <v>13</v>
      </c>
      <c r="V4" s="7" t="n">
        <v>2</v>
      </c>
      <c r="W4" s="7" t="n">
        <v>0</v>
      </c>
      <c r="X4" s="7" t="n">
        <v>81</v>
      </c>
      <c r="Y4" s="48" t="n">
        <f aca="false">9*N4/M4</f>
        <v>2.93478260869565</v>
      </c>
      <c r="Z4" s="48" t="n">
        <f aca="false">9*O4/M4</f>
        <v>3.03260869565217</v>
      </c>
      <c r="AA4" s="48" t="n">
        <f aca="false">('연도별 상수'!$Y$46*T4+'연도별 상수'!$Z$46*(U4+V4)+'연도별 상수'!$AA$46*X4)/M4+'연도별 상수'!$V$46</f>
        <v>3.79346612443044</v>
      </c>
      <c r="AB4" s="80" t="n">
        <f aca="false">ROUND((Q4+U4)/M4,2)</f>
        <v>1.1</v>
      </c>
      <c r="AC4" s="81" t="str">
        <f aca="false">TEXT(100*(2-(Y4/'리그 투수'!$P$46)*(1/AE4)),"0.0")</f>
        <v>134.0</v>
      </c>
      <c r="AD4" s="81" t="str">
        <f aca="false">TEXT(100*(2-(AA4/'리그 투수'!$Q$46)*(1/AE4)),"0.0")</f>
        <v>115.3</v>
      </c>
      <c r="AE4" s="9" t="n">
        <f aca="false">'연도별 상수'!$C$46*0.77+0.23</f>
        <v>0.94742979</v>
      </c>
      <c r="AF4" s="9" t="n">
        <v>1</v>
      </c>
      <c r="AG4" s="7" t="n">
        <v>262</v>
      </c>
      <c r="AH4" s="7" t="n">
        <v>42.9</v>
      </c>
      <c r="AI4" s="7" t="n">
        <v>41.1</v>
      </c>
      <c r="AJ4" s="70" t="n">
        <v>16</v>
      </c>
      <c r="AK4" s="70"/>
      <c r="AL4" s="70"/>
      <c r="AM4" s="7"/>
      <c r="AN4" s="7"/>
    </row>
    <row r="5" s="9" customFormat="true" ht="26.25" hidden="false" customHeight="true" outlineLevel="0" collapsed="false">
      <c r="A5" s="10" t="n">
        <v>3</v>
      </c>
      <c r="B5" s="55" t="s">
        <v>216</v>
      </c>
      <c r="C5" s="1" t="s">
        <v>213</v>
      </c>
      <c r="D5" s="79" t="s">
        <v>62</v>
      </c>
      <c r="E5" s="44" t="n">
        <f aca="false">'연도별 상수'!$A$46</f>
        <v>2026</v>
      </c>
      <c r="F5" s="45" t="n">
        <f aca="false">ROUND((((0.5+(('리그 투수'!$Q$46)-(AA5/0.92/AE5))/((((9*'리그 투수'!$Q$46)+((M5/G5)*(AA5/0.92/AE5))+((9-(M5/G5))*'리그 투수'!$Q$46))/18+2)*1.5))-0.38)/9*M5)*(0.5+(H5/330))+(((0.5+(('리그 투수'!$Q$46)-(Z5/0.92))/((((9*'리그 투수'!$Q$46)+((M5/G5)*(Z5/0.92))+((9-(M5/G5))*'리그 투수'!$Q$46))/18+2)*1.5))-0.38)/9*M5)*0.35+((((AC5^2)/((AC5^2)+(100^2))-0.38)/9*M5))*(0.08+(H5/140)),2)</f>
        <v>2.43</v>
      </c>
      <c r="G5" s="7" t="n">
        <v>13</v>
      </c>
      <c r="H5" s="7" t="n">
        <v>13</v>
      </c>
      <c r="I5" s="7" t="n">
        <v>8</v>
      </c>
      <c r="J5" s="7" t="n">
        <v>2</v>
      </c>
      <c r="K5" s="7" t="n">
        <v>0</v>
      </c>
      <c r="L5" s="7" t="n">
        <v>0</v>
      </c>
      <c r="M5" s="68" t="n">
        <f aca="false">75+2/3</f>
        <v>75.6666666666667</v>
      </c>
      <c r="N5" s="7" t="n">
        <v>23</v>
      </c>
      <c r="O5" s="7" t="n">
        <v>30</v>
      </c>
      <c r="P5" s="7" t="n">
        <v>306</v>
      </c>
      <c r="Q5" s="7" t="n">
        <v>71</v>
      </c>
      <c r="R5" s="7" t="n">
        <v>15</v>
      </c>
      <c r="S5" s="7" t="n">
        <v>1</v>
      </c>
      <c r="T5" s="7" t="n">
        <v>4</v>
      </c>
      <c r="U5" s="7" t="n">
        <v>10</v>
      </c>
      <c r="V5" s="7" t="n">
        <v>2</v>
      </c>
      <c r="W5" s="7" t="n">
        <v>1</v>
      </c>
      <c r="X5" s="7" t="n">
        <v>61</v>
      </c>
      <c r="Y5" s="48" t="n">
        <f aca="false">9*N5/M5</f>
        <v>2.73568281938326</v>
      </c>
      <c r="Z5" s="48" t="n">
        <f aca="false">9*O5/M5</f>
        <v>3.56828193832599</v>
      </c>
      <c r="AA5" s="48" t="n">
        <f aca="false">('연도별 상수'!$Y$46*T5+'연도별 상수'!$Z$46*(U5+V5)+'연도별 상수'!$AA$46*X5)/M5+'연도별 상수'!$V$46</f>
        <v>3.16446305988342</v>
      </c>
      <c r="AB5" s="80" t="n">
        <f aca="false">ROUND((Q5+U5)/M5,2)</f>
        <v>1.07</v>
      </c>
      <c r="AC5" s="81" t="str">
        <f aca="false">TEXT(100*(2-(Y5/'리그 투수'!$P$46)*(1/AE5)),"0.0")</f>
        <v>148.5</v>
      </c>
      <c r="AD5" s="81" t="str">
        <f aca="false">TEXT(100*(2-(AA5/'리그 투수'!$Q$46)*(1/AE5)),"0.0")</f>
        <v>140.9</v>
      </c>
      <c r="AE5" s="9" t="n">
        <f aca="false">'연도별 상수'!$F$46*0.77+0.23</f>
        <v>1.13149444</v>
      </c>
      <c r="AF5" s="9" t="n">
        <v>0</v>
      </c>
      <c r="AG5" s="7" t="n">
        <v>222</v>
      </c>
      <c r="AH5" s="7" t="n">
        <v>47.6</v>
      </c>
      <c r="AI5" s="7" t="n">
        <v>35.6</v>
      </c>
      <c r="AJ5" s="70" t="n">
        <v>16.7</v>
      </c>
      <c r="AK5" s="70"/>
      <c r="AL5" s="70"/>
      <c r="AM5" s="7"/>
      <c r="AN5" s="7"/>
    </row>
    <row r="6" s="9" customFormat="true" ht="26.25" hidden="false" customHeight="true" outlineLevel="0" collapsed="false">
      <c r="A6" s="10" t="n">
        <v>4</v>
      </c>
      <c r="B6" s="55" t="s">
        <v>217</v>
      </c>
      <c r="C6" s="1" t="s">
        <v>213</v>
      </c>
      <c r="D6" s="79" t="s">
        <v>54</v>
      </c>
      <c r="E6" s="44" t="n">
        <f aca="false">'연도별 상수'!$A$46</f>
        <v>2026</v>
      </c>
      <c r="F6" s="45" t="n">
        <f aca="false">ROUND((((0.5+(('리그 투수'!$Q$46)-(AA6/0.92/AE6))/((((9*'리그 투수'!$Q$46)+((M6/G6)*(AA6/0.92/AE6))+((9-(M6/G6))*'리그 투수'!$Q$46))/18+2)*1.5))-0.38)/9*M6)*(0.5+(H6/330))+(((0.5+(('리그 투수'!$Q$46)-(Z6/0.92))/((((9*'리그 투수'!$Q$46)+((M6/G6)*(Z6/0.92))+((9-(M6/G6))*'리그 투수'!$Q$46))/18+2)*1.5))-0.38)/9*M6)*0.35+((((AC6^2)/((AC6^2)+(100^2))-0.38)/9*M6))*(0.08+(H6/140)),2)</f>
        <v>2.11</v>
      </c>
      <c r="G6" s="7" t="n">
        <v>14</v>
      </c>
      <c r="H6" s="7" t="n">
        <v>14</v>
      </c>
      <c r="I6" s="7" t="n">
        <v>5</v>
      </c>
      <c r="J6" s="7" t="n">
        <v>3</v>
      </c>
      <c r="K6" s="7" t="n">
        <v>0</v>
      </c>
      <c r="L6" s="7" t="n">
        <v>0</v>
      </c>
      <c r="M6" s="68" t="n">
        <v>78</v>
      </c>
      <c r="N6" s="7" t="n">
        <v>27</v>
      </c>
      <c r="O6" s="7" t="n">
        <v>31</v>
      </c>
      <c r="P6" s="7" t="n">
        <v>338</v>
      </c>
      <c r="Q6" s="7" t="n">
        <v>78</v>
      </c>
      <c r="R6" s="7" t="n">
        <v>10</v>
      </c>
      <c r="S6" s="7" t="n">
        <v>1</v>
      </c>
      <c r="T6" s="7" t="n">
        <v>5</v>
      </c>
      <c r="U6" s="7" t="n">
        <v>26</v>
      </c>
      <c r="V6" s="7" t="n">
        <v>4</v>
      </c>
      <c r="W6" s="7" t="n">
        <v>0</v>
      </c>
      <c r="X6" s="7" t="n">
        <v>95</v>
      </c>
      <c r="Y6" s="48" t="n">
        <f aca="false">9*N6/M6</f>
        <v>3.11538461538462</v>
      </c>
      <c r="Z6" s="48" t="n">
        <f aca="false">9*O6/M6</f>
        <v>3.57692307692308</v>
      </c>
      <c r="AA6" s="48" t="n">
        <f aca="false">('연도별 상수'!$Y$46*T6+'연도별 상수'!$Z$46*(U6+V6)+'연도별 상수'!$AA$46*X6)/M6+'연도별 상수'!$V$46</f>
        <v>2.99315954694995</v>
      </c>
      <c r="AB6" s="80" t="n">
        <f aca="false">ROUND((Q6+U6)/M6,2)</f>
        <v>1.33</v>
      </c>
      <c r="AC6" s="81" t="str">
        <f aca="false">TEXT(100*(2-(Y6/'리그 투수'!$P$46)*(1/AE6)),"0.0")</f>
        <v>126.3</v>
      </c>
      <c r="AD6" s="81" t="str">
        <f aca="false">TEXT(100*(2-(AA6/'리그 투수'!$Q$46)*(1/AE6)),"0.0")</f>
        <v>129.8</v>
      </c>
      <c r="AE6" s="9" t="n">
        <f aca="false">'연도별 상수'!$B$46*0.77+0.23</f>
        <v>0.90131834</v>
      </c>
      <c r="AF6" s="9" t="n">
        <v>0</v>
      </c>
      <c r="AG6" s="7" t="n">
        <v>208</v>
      </c>
      <c r="AH6" s="7" t="n">
        <v>40.4</v>
      </c>
      <c r="AI6" s="7" t="n">
        <v>42.3</v>
      </c>
      <c r="AJ6" s="70" t="n">
        <v>17.4</v>
      </c>
      <c r="AK6" s="70"/>
      <c r="AL6" s="70"/>
      <c r="AM6" s="7"/>
      <c r="AN6" s="7"/>
    </row>
    <row r="7" s="9" customFormat="true" ht="26.25" hidden="false" customHeight="true" outlineLevel="0" collapsed="false">
      <c r="A7" s="10" t="n">
        <v>5</v>
      </c>
      <c r="B7" s="55" t="s">
        <v>218</v>
      </c>
      <c r="C7" s="1" t="s">
        <v>213</v>
      </c>
      <c r="D7" s="79" t="s">
        <v>47</v>
      </c>
      <c r="E7" s="44" t="n">
        <f aca="false">'연도별 상수'!$A$46</f>
        <v>2026</v>
      </c>
      <c r="F7" s="45" t="n">
        <f aca="false">ROUND((((0.5+(('리그 투수'!$Q$46)-(AA7/0.92/AE7))/((((9*'리그 투수'!$Q$46)+((M7/G7)*(AA7/0.92/AE7))+((9-(M7/G7))*'리그 투수'!$Q$46))/18+2)*1.5))-0.38)/9*M7)*(0.5+(H7/330))+(((0.5+(('리그 투수'!$Q$46)-(Z7/0.92))/((((9*'리그 투수'!$Q$46)+((M7/G7)*(Z7/0.92))+((9-(M7/G7))*'리그 투수'!$Q$46))/18+2)*1.5))-0.38)/9*M7)*0.35+((((AC7^2)/((AC7^2)+(100^2))-0.38)/9*M7))*(0.08+(H7/140)),2)</f>
        <v>2.05</v>
      </c>
      <c r="G7" s="7" t="n">
        <v>15</v>
      </c>
      <c r="H7" s="7" t="n">
        <v>15</v>
      </c>
      <c r="I7" s="7" t="n">
        <v>4</v>
      </c>
      <c r="J7" s="7" t="n">
        <v>4</v>
      </c>
      <c r="K7" s="7" t="n">
        <v>0</v>
      </c>
      <c r="L7" s="7" t="n">
        <v>0</v>
      </c>
      <c r="M7" s="68" t="n">
        <f aca="false">87+1/3</f>
        <v>87.3333333333333</v>
      </c>
      <c r="N7" s="7" t="n">
        <v>33</v>
      </c>
      <c r="O7" s="7" t="n">
        <v>33</v>
      </c>
      <c r="P7" s="7" t="n">
        <v>361</v>
      </c>
      <c r="Q7" s="7" t="n">
        <v>80</v>
      </c>
      <c r="R7" s="7" t="n">
        <v>15</v>
      </c>
      <c r="S7" s="7" t="n">
        <v>0</v>
      </c>
      <c r="T7" s="7" t="n">
        <v>4</v>
      </c>
      <c r="U7" s="7" t="n">
        <v>17</v>
      </c>
      <c r="V7" s="7" t="n">
        <v>10</v>
      </c>
      <c r="W7" s="7" t="n">
        <v>1</v>
      </c>
      <c r="X7" s="7" t="n">
        <v>66</v>
      </c>
      <c r="Y7" s="48" t="n">
        <f aca="false">9*N7/M7</f>
        <v>3.40076335877863</v>
      </c>
      <c r="Z7" s="48" t="n">
        <f aca="false">9*O7/M7</f>
        <v>3.40076335877863</v>
      </c>
      <c r="AA7" s="48" t="n">
        <f aca="false">('연도별 상수'!$Y$46*T7+'연도별 상수'!$Z$46*(U7+V7)+'연도별 상수'!$AA$46*X7)/M7+'연도별 상수'!$V$46</f>
        <v>3.68764966243243</v>
      </c>
      <c r="AB7" s="80" t="n">
        <f aca="false">ROUND((Q7+U7)/M7,2)</f>
        <v>1.11</v>
      </c>
      <c r="AC7" s="81" t="str">
        <f aca="false">TEXT(100*(2-(Y7/'리그 투수'!$P$46)*(1/AE7)),"0.0")</f>
        <v>122.7</v>
      </c>
      <c r="AD7" s="81" t="str">
        <f aca="false">TEXT(100*(2-(AA7/'리그 투수'!$Q$46)*(1/AE7)),"0.0")</f>
        <v>116.9</v>
      </c>
      <c r="AE7" s="9" t="n">
        <f aca="false">'연도별 상수'!$G$46*0.77+0.23</f>
        <v>0.93792953</v>
      </c>
      <c r="AF7" s="9" t="n">
        <v>1</v>
      </c>
      <c r="AG7" s="7" t="n">
        <v>261</v>
      </c>
      <c r="AH7" s="7" t="n">
        <v>53.4</v>
      </c>
      <c r="AI7" s="7" t="n">
        <v>32.1</v>
      </c>
      <c r="AJ7" s="70" t="n">
        <v>14.6</v>
      </c>
      <c r="AK7" s="70"/>
      <c r="AL7" s="70"/>
      <c r="AM7" s="7"/>
      <c r="AN7" s="7"/>
    </row>
    <row r="8" s="9" customFormat="true" ht="26.25" hidden="false" customHeight="true" outlineLevel="0" collapsed="false">
      <c r="A8" s="10" t="n">
        <v>6</v>
      </c>
      <c r="B8" s="55" t="s">
        <v>219</v>
      </c>
      <c r="C8" s="1" t="s">
        <v>213</v>
      </c>
      <c r="D8" s="79" t="s">
        <v>59</v>
      </c>
      <c r="E8" s="44" t="n">
        <f aca="false">'연도별 상수'!$A$46</f>
        <v>2026</v>
      </c>
      <c r="F8" s="45" t="n">
        <f aca="false">ROUND((((0.5+(('리그 투수'!$Q$46)-(AA8/0.92/AE8))/((((9*'리그 투수'!$Q$46)+((M8/G8)*(AA8/0.92/AE8))+((9-(M8/G8))*'리그 투수'!$Q$46))/18+2)*1.5))-0.38)/9*M8)*(0.5+(H8/330))+(((0.5+(('리그 투수'!$Q$46)-(Z8/0.92))/((((9*'리그 투수'!$Q$46)+((M8/G8)*(Z8/0.92))+((9-(M8/G8))*'리그 투수'!$Q$46))/18+2)*1.5))-0.38)/9*M8)*0.35+((((AC8^2)/((AC8^2)+(100^2))-0.38)/9*M8))*(0.08+(H8/140)),2)</f>
        <v>2</v>
      </c>
      <c r="G8" s="7" t="n">
        <v>14</v>
      </c>
      <c r="H8" s="7" t="n">
        <v>14</v>
      </c>
      <c r="I8" s="7" t="n">
        <v>3</v>
      </c>
      <c r="J8" s="7" t="n">
        <v>1</v>
      </c>
      <c r="K8" s="7" t="n">
        <v>0</v>
      </c>
      <c r="L8" s="7" t="n">
        <v>0</v>
      </c>
      <c r="M8" s="68" t="n">
        <v>88</v>
      </c>
      <c r="N8" s="7" t="n">
        <v>28</v>
      </c>
      <c r="O8" s="7" t="n">
        <v>36</v>
      </c>
      <c r="P8" s="7" t="n">
        <v>371</v>
      </c>
      <c r="Q8" s="7" t="n">
        <v>93</v>
      </c>
      <c r="R8" s="7" t="n">
        <v>7</v>
      </c>
      <c r="S8" s="7" t="n">
        <v>2</v>
      </c>
      <c r="T8" s="7" t="n">
        <v>8</v>
      </c>
      <c r="U8" s="7" t="n">
        <v>16</v>
      </c>
      <c r="V8" s="7" t="n">
        <v>3</v>
      </c>
      <c r="W8" s="7" t="n">
        <v>0</v>
      </c>
      <c r="X8" s="7" t="n">
        <v>57</v>
      </c>
      <c r="Y8" s="48" t="n">
        <f aca="false">9*N8/M8</f>
        <v>2.86363636363636</v>
      </c>
      <c r="Z8" s="48" t="n">
        <f aca="false">9*O8/M8</f>
        <v>3.68181818181818</v>
      </c>
      <c r="AA8" s="48" t="n">
        <f aca="false">('연도별 상수'!$Y$46*T8+'연도별 상수'!$Z$46*(U8+V8)+'연도별 상수'!$AA$46*X8)/M8+'연도별 상수'!$V$46</f>
        <v>4.20053134182174</v>
      </c>
      <c r="AB8" s="80" t="n">
        <f aca="false">ROUND((Q8+U8)/M8,2)</f>
        <v>1.24</v>
      </c>
      <c r="AC8" s="81" t="str">
        <f aca="false">TEXT(100*(2-(Y8/'리그 투수'!$P$46)*(1/AE8)),"0.0")</f>
        <v>141.5</v>
      </c>
      <c r="AD8" s="81" t="str">
        <f aca="false">TEXT(100*(2-(AA8/'리그 투수'!$Q$46)*(1/AE8)),"0.0")</f>
        <v>114.8</v>
      </c>
      <c r="AE8" s="9" t="n">
        <f aca="false">'연도별 상수'!$H$46*0.77+0.23</f>
        <v>1.04262412</v>
      </c>
      <c r="AF8" s="9" t="n">
        <v>1</v>
      </c>
      <c r="AG8" s="7" t="n">
        <v>283</v>
      </c>
      <c r="AH8" s="7" t="n">
        <v>52.9</v>
      </c>
      <c r="AI8" s="7" t="n">
        <v>39.3</v>
      </c>
      <c r="AJ8" s="70" t="n">
        <v>7.8</v>
      </c>
      <c r="AK8" s="70"/>
      <c r="AL8" s="70"/>
      <c r="AM8" s="7"/>
      <c r="AN8" s="7"/>
    </row>
    <row r="9" s="9" customFormat="true" ht="26.25" hidden="false" customHeight="true" outlineLevel="0" collapsed="false">
      <c r="A9" s="10" t="n">
        <v>7</v>
      </c>
      <c r="B9" s="55" t="s">
        <v>220</v>
      </c>
      <c r="C9" s="1" t="s">
        <v>213</v>
      </c>
      <c r="D9" s="79" t="s">
        <v>56</v>
      </c>
      <c r="E9" s="44" t="n">
        <f aca="false">'연도별 상수'!$A$46</f>
        <v>2026</v>
      </c>
      <c r="F9" s="45" t="n">
        <f aca="false">ROUND((((0.5+(('리그 투수'!$Q$46)-(AA9/0.92/AE9))/((((9*'리그 투수'!$Q$46)+((M9/G9)*(AA9/0.92/AE9))+((9-(M9/G9))*'리그 투수'!$Q$46))/18+2)*1.5))-0.38)/9*M9)*(0.5+(H9/330))+(((0.5+(('리그 투수'!$Q$46)-(Z9/0.92))/((((9*'리그 투수'!$Q$46)+((M9/G9)*(Z9/0.92))+((9-(M9/G9))*'리그 투수'!$Q$46))/18+2)*1.5))-0.38)/9*M9)*0.35+((((AC9^2)/((AC9^2)+(100^2))-0.38)/9*M9))*(0.08+(H9/140)),2)</f>
        <v>1.89</v>
      </c>
      <c r="G9" s="7" t="n">
        <v>11</v>
      </c>
      <c r="H9" s="7" t="n">
        <v>11</v>
      </c>
      <c r="I9" s="7" t="n">
        <v>7</v>
      </c>
      <c r="J9" s="7" t="n">
        <v>3</v>
      </c>
      <c r="K9" s="7" t="n">
        <v>0</v>
      </c>
      <c r="L9" s="7" t="n">
        <v>0</v>
      </c>
      <c r="M9" s="68" t="n">
        <f aca="false">62+2/3</f>
        <v>62.6666666666667</v>
      </c>
      <c r="N9" s="7" t="n">
        <v>22</v>
      </c>
      <c r="O9" s="7" t="n">
        <v>23</v>
      </c>
      <c r="P9" s="7" t="n">
        <v>268</v>
      </c>
      <c r="Q9" s="7" t="n">
        <v>68</v>
      </c>
      <c r="R9" s="7" t="n">
        <v>10</v>
      </c>
      <c r="S9" s="7" t="n">
        <v>1</v>
      </c>
      <c r="T9" s="7" t="n">
        <v>3</v>
      </c>
      <c r="U9" s="7" t="n">
        <v>15</v>
      </c>
      <c r="V9" s="7" t="n">
        <v>1</v>
      </c>
      <c r="W9" s="7" t="n">
        <v>0</v>
      </c>
      <c r="X9" s="7" t="n">
        <v>56</v>
      </c>
      <c r="Y9" s="48" t="n">
        <f aca="false">9*N9/M9</f>
        <v>3.15957446808511</v>
      </c>
      <c r="Z9" s="48" t="n">
        <f aca="false">9*O9/M9</f>
        <v>3.3031914893617</v>
      </c>
      <c r="AA9" s="48" t="n">
        <f aca="false">('연도별 상수'!$Y$46*T9+'연도별 상수'!$Z$46*(U9+V9)+'연도별 상수'!$AA$46*X9)/M9+'연도별 상수'!$V$46</f>
        <v>3.19547815033238</v>
      </c>
      <c r="AB9" s="80" t="n">
        <f aca="false">ROUND((Q9+U9)/M9,2)</f>
        <v>1.32</v>
      </c>
      <c r="AC9" s="81" t="str">
        <f aca="false">TEXT(100*(2-(Y9/'리그 투수'!$P$46)*(1/AE9)),"0.0")</f>
        <v>136.1</v>
      </c>
      <c r="AD9" s="81" t="str">
        <f aca="false">TEXT(100*(2-(AA9/'리그 투수'!$Q$46)*(1/AE9)),"0.0")</f>
        <v>135.9</v>
      </c>
      <c r="AE9" s="9" t="n">
        <f aca="false">'연도별 상수'!$E$46*0.77+0.23</f>
        <v>1.05378835</v>
      </c>
      <c r="AF9" s="9" t="n">
        <v>1</v>
      </c>
      <c r="AG9" s="7" t="n">
        <v>191</v>
      </c>
      <c r="AH9" s="7" t="n">
        <v>52</v>
      </c>
      <c r="AI9" s="7" t="n">
        <v>32.7</v>
      </c>
      <c r="AJ9" s="70" t="n">
        <v>15.3</v>
      </c>
      <c r="AK9" s="70"/>
      <c r="AL9" s="70"/>
      <c r="AM9" s="7"/>
      <c r="AN9" s="7"/>
    </row>
    <row r="10" s="9" customFormat="true" ht="26.25" hidden="false" customHeight="true" outlineLevel="0" collapsed="false">
      <c r="A10" s="10" t="n">
        <v>8</v>
      </c>
      <c r="B10" s="55" t="s">
        <v>221</v>
      </c>
      <c r="C10" s="1" t="s">
        <v>213</v>
      </c>
      <c r="D10" s="79" t="s">
        <v>43</v>
      </c>
      <c r="E10" s="44" t="n">
        <f aca="false">'연도별 상수'!$A$46</f>
        <v>2026</v>
      </c>
      <c r="F10" s="45" t="n">
        <f aca="false">ROUND((((0.5+(('리그 투수'!$Q$46)-(AA10/0.92/AE10))/((((9*'리그 투수'!$Q$46)+((M10/G10)*(AA10/0.92/AE10))+((9-(M10/G10))*'리그 투수'!$Q$46))/18+2)*1.5))-0.38)/9*M10)*(0.5+(H10/330))+(((0.5+(('리그 투수'!$Q$46)-(Z10/0.92))/((((9*'리그 투수'!$Q$46)+((M10/G10)*(Z10/0.92))+((9-(M10/G10))*'리그 투수'!$Q$46))/18+2)*1.5))-0.38)/9*M10)*0.35+((((AC10^2)/((AC10^2)+(100^2))-0.38)/9*M10))*(0.08+(H10/140)),2)</f>
        <v>1.65</v>
      </c>
      <c r="G10" s="7" t="n">
        <v>12</v>
      </c>
      <c r="H10" s="7" t="n">
        <v>12</v>
      </c>
      <c r="I10" s="7" t="n">
        <v>5</v>
      </c>
      <c r="J10" s="7" t="n">
        <v>2</v>
      </c>
      <c r="K10" s="7" t="n">
        <v>0</v>
      </c>
      <c r="L10" s="7" t="n">
        <v>0</v>
      </c>
      <c r="M10" s="68" t="n">
        <f aca="false">65+2/3</f>
        <v>65.6666666666667</v>
      </c>
      <c r="N10" s="7" t="n">
        <v>18</v>
      </c>
      <c r="O10" s="7" t="n">
        <v>22</v>
      </c>
      <c r="P10" s="7" t="n">
        <v>266</v>
      </c>
      <c r="Q10" s="7" t="n">
        <v>51</v>
      </c>
      <c r="R10" s="7" t="n">
        <v>9</v>
      </c>
      <c r="S10" s="7" t="n">
        <v>4</v>
      </c>
      <c r="T10" s="7" t="n">
        <v>4</v>
      </c>
      <c r="U10" s="7" t="n">
        <v>18</v>
      </c>
      <c r="V10" s="7" t="n">
        <v>1</v>
      </c>
      <c r="W10" s="7" t="n">
        <v>0</v>
      </c>
      <c r="X10" s="7" t="n">
        <v>54</v>
      </c>
      <c r="Y10" s="48" t="n">
        <f aca="false">9*N10/M10</f>
        <v>2.46700507614213</v>
      </c>
      <c r="Z10" s="48" t="n">
        <f aca="false">9*O10/M10</f>
        <v>3.01522842639594</v>
      </c>
      <c r="AA10" s="48" t="n">
        <f aca="false">('연도별 상수'!$Y$46*T10+'연도별 상수'!$Z$46*(U10+V10)+'연도별 상수'!$AA$46*X10)/M10+'연도별 상수'!$V$46</f>
        <v>3.63904657024814</v>
      </c>
      <c r="AB10" s="80" t="n">
        <f aca="false">ROUND((Q10+U10)/M10,2)</f>
        <v>1.05</v>
      </c>
      <c r="AC10" s="81" t="str">
        <f aca="false">TEXT(100*(2-(Y10/'리그 투수'!$P$46)*(1/AE10)),"0.0")</f>
        <v>141.7</v>
      </c>
      <c r="AD10" s="81" t="str">
        <f aca="false">TEXT(100*(2-(AA10/'리그 투수'!$Q$46)*(1/AE10)),"0.0")</f>
        <v>114.6</v>
      </c>
      <c r="AE10" s="9" t="n">
        <f aca="false">'연도별 상수'!$B$46*0.77+0.23</f>
        <v>0.90131834</v>
      </c>
      <c r="AF10" s="9" t="n">
        <v>1</v>
      </c>
      <c r="AG10" s="7" t="n">
        <v>188</v>
      </c>
      <c r="AH10" s="7" t="n">
        <v>41.5</v>
      </c>
      <c r="AI10" s="7" t="n">
        <v>48.7</v>
      </c>
      <c r="AJ10" s="70" t="n">
        <v>9.8</v>
      </c>
      <c r="AK10" s="70"/>
      <c r="AL10" s="70"/>
      <c r="AM10" s="7"/>
      <c r="AN10" s="7"/>
    </row>
    <row r="11" s="9" customFormat="true" ht="26.25" hidden="false" customHeight="true" outlineLevel="0" collapsed="false">
      <c r="A11" s="10" t="n">
        <v>9</v>
      </c>
      <c r="B11" s="55" t="s">
        <v>222</v>
      </c>
      <c r="C11" s="1" t="s">
        <v>213</v>
      </c>
      <c r="D11" s="79" t="s">
        <v>54</v>
      </c>
      <c r="E11" s="44" t="n">
        <f aca="false">'연도별 상수'!$A$46</f>
        <v>2026</v>
      </c>
      <c r="F11" s="45" t="n">
        <f aca="false">ROUND((((0.5+(('리그 투수'!$Q$46)-(AA11/0.92/AE11))/((((9*'리그 투수'!$Q$46)+((M11/G11)*(AA11/0.92/AE11))+((9-(M11/G11))*'리그 투수'!$Q$46))/18+2)*1.5))-0.38)/9*M11)*(0.5+(H11/330))+(((0.5+(('리그 투수'!$Q$46)-(Z11/0.92))/((((9*'리그 투수'!$Q$46)+((M11/G11)*(Z11/0.92))+((9-(M11/G11))*'리그 투수'!$Q$46))/18+2)*1.5))-0.38)/9*M11)*0.35+((((AC11^2)/((AC11^2)+(100^2))-0.38)/9*M11))*(0.08+(H11/140)),2)</f>
        <v>1.59</v>
      </c>
      <c r="G11" s="7" t="n">
        <v>13</v>
      </c>
      <c r="H11" s="7" t="n">
        <v>13</v>
      </c>
      <c r="I11" s="7" t="n">
        <v>6</v>
      </c>
      <c r="J11" s="7" t="n">
        <v>2</v>
      </c>
      <c r="K11" s="7" t="n">
        <v>0</v>
      </c>
      <c r="L11" s="7" t="n">
        <v>0</v>
      </c>
      <c r="M11" s="68" t="n">
        <f aca="false">74+2/3</f>
        <v>74.6666666666667</v>
      </c>
      <c r="N11" s="7" t="n">
        <v>23</v>
      </c>
      <c r="O11" s="7" t="n">
        <v>29</v>
      </c>
      <c r="P11" s="7" t="n">
        <v>315</v>
      </c>
      <c r="Q11" s="7" t="n">
        <v>58</v>
      </c>
      <c r="R11" s="7" t="n">
        <v>15</v>
      </c>
      <c r="S11" s="7" t="n">
        <v>0</v>
      </c>
      <c r="T11" s="7" t="n">
        <v>3</v>
      </c>
      <c r="U11" s="7" t="n">
        <v>34</v>
      </c>
      <c r="V11" s="7" t="n">
        <v>4</v>
      </c>
      <c r="W11" s="7" t="n">
        <v>0</v>
      </c>
      <c r="X11" s="7" t="n">
        <v>69</v>
      </c>
      <c r="Y11" s="48" t="n">
        <f aca="false">9*N11/M11</f>
        <v>2.77232142857143</v>
      </c>
      <c r="Z11" s="48" t="n">
        <f aca="false">9*O11/M11</f>
        <v>3.49553571428571</v>
      </c>
      <c r="AA11" s="48" t="n">
        <f aca="false">('연도별 상수'!$Y$46*T11+'연도별 상수'!$Z$46*(U11+V11)+'연도별 상수'!$AA$46*X11)/M11+'연도별 상수'!$V$46</f>
        <v>3.83847777039317</v>
      </c>
      <c r="AB11" s="80" t="n">
        <f aca="false">ROUND((Q11+U11)/M11,2)</f>
        <v>1.23</v>
      </c>
      <c r="AC11" s="81" t="str">
        <f aca="false">TEXT(100*(2-(Y11/'리그 투수'!$P$46)*(1/AE11)),"0.0")</f>
        <v>134.4</v>
      </c>
      <c r="AD11" s="81" t="str">
        <f aca="false">TEXT(100*(2-(AA11/'리그 투수'!$Q$46)*(1/AE11)),"0.0")</f>
        <v>109.9</v>
      </c>
      <c r="AE11" s="9" t="n">
        <f aca="false">'연도별 상수'!$B$46*0.77+0.23</f>
        <v>0.90131834</v>
      </c>
      <c r="AF11" s="9" t="n">
        <v>0</v>
      </c>
      <c r="AG11" s="7" t="n">
        <v>202</v>
      </c>
      <c r="AH11" s="7" t="n">
        <v>46.6</v>
      </c>
      <c r="AI11" s="7" t="n">
        <v>41.3</v>
      </c>
      <c r="AJ11" s="70" t="n">
        <v>12</v>
      </c>
      <c r="AK11" s="70"/>
      <c r="AL11" s="70"/>
      <c r="AM11" s="7"/>
      <c r="AN11" s="7"/>
    </row>
    <row r="12" customFormat="false" ht="26.25" hidden="false" customHeight="true" outlineLevel="0" collapsed="false">
      <c r="A12" s="10" t="n">
        <v>10</v>
      </c>
      <c r="B12" s="55" t="s">
        <v>223</v>
      </c>
      <c r="C12" s="1" t="s">
        <v>213</v>
      </c>
      <c r="D12" s="79" t="s">
        <v>54</v>
      </c>
      <c r="E12" s="44" t="n">
        <f aca="false">'연도별 상수'!$A$46</f>
        <v>2026</v>
      </c>
      <c r="F12" s="45" t="n">
        <f aca="false">ROUND((((0.5+(('리그 투수'!$Q$46)-(AA12/0.92/AE12))/((((9*'리그 투수'!$Q$46)+((M12/G12)*(AA12/0.92/AE12))+((9-(M12/G12))*'리그 투수'!$Q$46))/18+2)*1.5))-0.38)/9*M12)*(0.5+(H12/330))+(((0.5+(('리그 투수'!$Q$46)-(Z12/0.92))/((((9*'리그 투수'!$Q$46)+((M12/G12)*(Z12/0.92))+((9-(M12/G12))*'리그 투수'!$Q$46))/18+2)*1.5))-0.38)/9*M12)*0.35+((((AC12^2)/((AC12^2)+(100^2))-0.38)/9*M12))*(0.08+(H12/140)),2)</f>
        <v>1.57</v>
      </c>
      <c r="G12" s="7" t="n">
        <v>11</v>
      </c>
      <c r="H12" s="7" t="n">
        <v>11</v>
      </c>
      <c r="I12" s="7" t="n">
        <v>3</v>
      </c>
      <c r="J12" s="7" t="n">
        <v>6</v>
      </c>
      <c r="K12" s="7" t="n">
        <v>0</v>
      </c>
      <c r="L12" s="7" t="n">
        <v>0</v>
      </c>
      <c r="M12" s="68" t="n">
        <f aca="false">62+2/3</f>
        <v>62.6666666666667</v>
      </c>
      <c r="N12" s="7" t="n">
        <v>21</v>
      </c>
      <c r="O12" s="7" t="n">
        <v>24</v>
      </c>
      <c r="P12" s="7" t="n">
        <v>264</v>
      </c>
      <c r="Q12" s="7" t="n">
        <v>64</v>
      </c>
      <c r="R12" s="7" t="n">
        <v>15</v>
      </c>
      <c r="S12" s="7" t="n">
        <v>2</v>
      </c>
      <c r="T12" s="7" t="n">
        <v>2</v>
      </c>
      <c r="U12" s="7" t="n">
        <v>18</v>
      </c>
      <c r="V12" s="7" t="n">
        <v>1</v>
      </c>
      <c r="W12" s="7" t="n">
        <v>0</v>
      </c>
      <c r="X12" s="7" t="n">
        <v>54</v>
      </c>
      <c r="Y12" s="48" t="n">
        <f aca="false">9*N12/M12</f>
        <v>3.01595744680851</v>
      </c>
      <c r="Z12" s="48" t="n">
        <f aca="false">9*O12/M12</f>
        <v>3.4468085106383</v>
      </c>
      <c r="AA12" s="48" t="n">
        <f aca="false">('연도별 상수'!$Y$46*T12+'연도별 상수'!$Z$46*(U12+V12)+'연도별 상수'!$AA$46*X12)/M12+'연도별 상수'!$V$46</f>
        <v>3.23696751203451</v>
      </c>
      <c r="AB12" s="80" t="n">
        <f aca="false">ROUND((Q12+U12)/M12,2)</f>
        <v>1.31</v>
      </c>
      <c r="AC12" s="81" t="str">
        <f aca="false">TEXT(100*(2-(Y12/'리그 투수'!$P$46)*(1/AE12)),"0.0")</f>
        <v>128.7</v>
      </c>
      <c r="AD12" s="81" t="str">
        <f aca="false">TEXT(100*(2-(AA12/'리그 투수'!$Q$46)*(1/AE12)),"0.0")</f>
        <v>124.1</v>
      </c>
      <c r="AE12" s="9" t="n">
        <f aca="false">'연도별 상수'!$B$46*0.77+0.23</f>
        <v>0.90131834</v>
      </c>
      <c r="AF12" s="9" t="n">
        <v>1</v>
      </c>
      <c r="AG12" s="7" t="n">
        <v>183</v>
      </c>
      <c r="AH12" s="7" t="n">
        <v>53.4</v>
      </c>
      <c r="AI12" s="7" t="n">
        <v>34</v>
      </c>
      <c r="AJ12" s="70" t="n">
        <v>12.6</v>
      </c>
      <c r="AM12" s="7"/>
      <c r="AN12" s="7"/>
      <c r="AO12" s="9"/>
    </row>
    <row r="13" s="9" customFormat="true" ht="26.25" hidden="false" customHeight="true" outlineLevel="0" collapsed="false">
      <c r="A13" s="10" t="n">
        <v>11</v>
      </c>
      <c r="B13" s="55" t="s">
        <v>224</v>
      </c>
      <c r="C13" s="1" t="s">
        <v>213</v>
      </c>
      <c r="D13" s="79" t="s">
        <v>59</v>
      </c>
      <c r="E13" s="44" t="n">
        <f aca="false">'연도별 상수'!$A$46</f>
        <v>2026</v>
      </c>
      <c r="F13" s="45" t="n">
        <f aca="false">ROUND((((0.5+(('리그 투수'!$Q$46)-(AA13/0.92/AE13))/((((9*'리그 투수'!$Q$46)+((M13/G13)*(AA13/0.92/AE13))+((9-(M13/G13))*'리그 투수'!$Q$46))/18+2)*1.5))-0.38)/9*M13)*(0.5+(H13/330))+(((0.5+(('리그 투수'!$Q$46)-(Z13/0.92))/((((9*'리그 투수'!$Q$46)+((M13/G13)*(Z13/0.92))+((9-(M13/G13))*'리그 투수'!$Q$46))/18+2)*1.5))-0.38)/9*M13)*0.35+((((AC13^2)/((AC13^2)+(100^2))-0.38)/9*M13))*(0.08+(H13/140)),2)</f>
        <v>1.61</v>
      </c>
      <c r="G13" s="7" t="n">
        <v>11</v>
      </c>
      <c r="H13" s="7" t="n">
        <v>11</v>
      </c>
      <c r="I13" s="7" t="n">
        <v>3</v>
      </c>
      <c r="J13" s="7" t="n">
        <v>5</v>
      </c>
      <c r="K13" s="7" t="n">
        <v>0</v>
      </c>
      <c r="L13" s="7" t="n">
        <v>0</v>
      </c>
      <c r="M13" s="68" t="n">
        <v>63</v>
      </c>
      <c r="N13" s="7" t="n">
        <v>25</v>
      </c>
      <c r="O13" s="7" t="n">
        <v>26</v>
      </c>
      <c r="P13" s="7" t="n">
        <v>271</v>
      </c>
      <c r="Q13" s="7" t="n">
        <v>67</v>
      </c>
      <c r="R13" s="7" t="n">
        <v>12</v>
      </c>
      <c r="S13" s="7" t="n">
        <v>1</v>
      </c>
      <c r="T13" s="7" t="n">
        <v>3</v>
      </c>
      <c r="U13" s="7" t="n">
        <v>16</v>
      </c>
      <c r="V13" s="7" t="n">
        <v>4</v>
      </c>
      <c r="W13" s="7" t="n">
        <v>0</v>
      </c>
      <c r="X13" s="7" t="n">
        <v>54</v>
      </c>
      <c r="Y13" s="48" t="n">
        <f aca="false">9*N13/M13</f>
        <v>3.57142857142857</v>
      </c>
      <c r="Z13" s="48" t="n">
        <f aca="false">9*O13/M13</f>
        <v>3.71428571428571</v>
      </c>
      <c r="AA13" s="48" t="n">
        <f aca="false">('연도별 상수'!$Y$46*T13+'연도별 상수'!$Z$46*(U13+V13)+'연도별 상수'!$AA$46*X13)/M13+'연도별 상수'!$V$46</f>
        <v>3.48247578626619</v>
      </c>
      <c r="AB13" s="80" t="n">
        <f aca="false">ROUND((Q13+U13)/M13,2)</f>
        <v>1.32</v>
      </c>
      <c r="AC13" s="81" t="str">
        <f aca="false">TEXT(100*(2-(Y13/'리그 투수'!$P$46)*(1/AE13)),"0.0")</f>
        <v>127.0</v>
      </c>
      <c r="AD13" s="81" t="str">
        <f aca="false">TEXT(100*(2-(AA13/'리그 투수'!$Q$46)*(1/AE13)),"0.0")</f>
        <v>129.4</v>
      </c>
      <c r="AE13" s="9" t="n">
        <f aca="false">'연도별 상수'!$H$46*0.77+0.23</f>
        <v>1.04262412</v>
      </c>
      <c r="AF13" s="9" t="n">
        <v>0</v>
      </c>
      <c r="AG13" s="7" t="n">
        <v>189</v>
      </c>
      <c r="AH13" s="7" t="n">
        <v>48.2</v>
      </c>
      <c r="AI13" s="7" t="n">
        <v>41.6</v>
      </c>
      <c r="AJ13" s="70" t="n">
        <v>10.2</v>
      </c>
      <c r="AK13" s="70"/>
      <c r="AL13" s="70"/>
      <c r="AM13" s="7"/>
      <c r="AN13" s="7"/>
    </row>
    <row r="14" s="9" customFormat="true" ht="26.25" hidden="false" customHeight="true" outlineLevel="0" collapsed="false">
      <c r="A14" s="10" t="n">
        <v>12</v>
      </c>
      <c r="B14" s="55" t="s">
        <v>225</v>
      </c>
      <c r="C14" s="1" t="s">
        <v>213</v>
      </c>
      <c r="D14" s="79" t="s">
        <v>56</v>
      </c>
      <c r="E14" s="44" t="n">
        <f aca="false">'연도별 상수'!$A$46</f>
        <v>2026</v>
      </c>
      <c r="F14" s="45" t="n">
        <f aca="false">ROUND((((0.5+(('리그 투수'!$Q$46)-(AA14/0.92/AE14))/((((9*'리그 투수'!$Q$46)+((M14/G14)*(AA14/0.92/AE14))+((9-(M14/G14))*'리그 투수'!$Q$46))/18+2)*1.5))-0.38)/9*M14)*(0.5+(H14/330))+(((0.5+(('리그 투수'!$Q$46)-(Z14/0.92))/((((9*'리그 투수'!$Q$46)+((M14/G14)*(Z14/0.92))+((9-(M14/G14))*'리그 투수'!$Q$46))/18+2)*1.5))-0.38)/9*M14)*0.35+((((AC14^2)/((AC14^2)+(100^2))-0.38)/9*M14))*(0.08+(H14/140)),2)</f>
        <v>1.66</v>
      </c>
      <c r="G14" s="7" t="n">
        <v>13</v>
      </c>
      <c r="H14" s="7" t="n">
        <v>13</v>
      </c>
      <c r="I14" s="7" t="n">
        <v>5</v>
      </c>
      <c r="J14" s="7" t="n">
        <v>4</v>
      </c>
      <c r="K14" s="7" t="n">
        <v>0</v>
      </c>
      <c r="L14" s="7" t="n">
        <v>0</v>
      </c>
      <c r="M14" s="68" t="n">
        <v>74</v>
      </c>
      <c r="N14" s="7" t="n">
        <v>36</v>
      </c>
      <c r="O14" s="7" t="n">
        <v>37</v>
      </c>
      <c r="P14" s="7" t="n">
        <v>320</v>
      </c>
      <c r="Q14" s="7" t="n">
        <v>83</v>
      </c>
      <c r="R14" s="7" t="n">
        <v>15</v>
      </c>
      <c r="S14" s="7" t="n">
        <v>1</v>
      </c>
      <c r="T14" s="7" t="n">
        <v>8</v>
      </c>
      <c r="U14" s="7" t="n">
        <v>12</v>
      </c>
      <c r="V14" s="7" t="n">
        <v>6</v>
      </c>
      <c r="W14" s="7" t="n">
        <v>0</v>
      </c>
      <c r="X14" s="7" t="n">
        <v>81</v>
      </c>
      <c r="Y14" s="48" t="n">
        <f aca="false">9*N14/M14</f>
        <v>4.37837837837838</v>
      </c>
      <c r="Z14" s="48" t="n">
        <f aca="false">9*O14/M14</f>
        <v>4.5</v>
      </c>
      <c r="AA14" s="48" t="n">
        <f aca="false">('연도별 상수'!$Y$46*T14+'연도별 상수'!$Z$46*(U14+V14)+'연도별 상수'!$AA$46*X14)/M14+'연도별 상수'!$V$46</f>
        <v>3.37722053101093</v>
      </c>
      <c r="AB14" s="80" t="n">
        <f aca="false">ROUND((Q14+U14)/M14,2)</f>
        <v>1.28</v>
      </c>
      <c r="AC14" s="81" t="str">
        <f aca="false">TEXT(100*(2-(Y14/'리그 투수'!$P$46)*(1/AE14)),"0.0")</f>
        <v>111.5</v>
      </c>
      <c r="AD14" s="81" t="str">
        <f aca="false">TEXT(100*(2-(AA14/'리그 투수'!$Q$46)*(1/AE14)),"0.0")</f>
        <v>132.2</v>
      </c>
      <c r="AE14" s="9" t="n">
        <f aca="false">'연도별 상수'!$E$46*0.77+0.23</f>
        <v>1.05378835</v>
      </c>
      <c r="AF14" s="9" t="n">
        <v>0</v>
      </c>
      <c r="AG14" s="7" t="n">
        <v>209</v>
      </c>
      <c r="AH14" s="7" t="n">
        <v>52.5</v>
      </c>
      <c r="AI14" s="7" t="n">
        <v>29.9</v>
      </c>
      <c r="AJ14" s="70" t="n">
        <v>17.6</v>
      </c>
      <c r="AK14" s="70"/>
      <c r="AL14" s="70"/>
      <c r="AM14" s="7"/>
      <c r="AN14" s="7"/>
    </row>
    <row r="15" s="9" customFormat="true" ht="26.25" hidden="false" customHeight="true" outlineLevel="0" collapsed="false">
      <c r="A15" s="10" t="n">
        <v>13</v>
      </c>
      <c r="B15" s="55" t="s">
        <v>226</v>
      </c>
      <c r="C15" s="1" t="s">
        <v>213</v>
      </c>
      <c r="D15" s="79" t="s">
        <v>76</v>
      </c>
      <c r="E15" s="44" t="n">
        <f aca="false">'연도별 상수'!$A$46</f>
        <v>2026</v>
      </c>
      <c r="F15" s="45" t="n">
        <f aca="false">ROUND((((0.5+(('리그 투수'!$Q$46)-(AA15/0.92/AE15))/((((9*'리그 투수'!$Q$46)+((M15/G15)*(AA15/0.92/AE15))+((9-(M15/G15))*'리그 투수'!$Q$46))/18+2)*1.5))-0.38)/9*M15)*(0.5+(H15/330))+(((0.5+(('리그 투수'!$Q$46)-(Z15/0.92))/((((9*'리그 투수'!$Q$46)+((M15/G15)*(Z15/0.92))+((9-(M15/G15))*'리그 투수'!$Q$46))/18+2)*1.5))-0.38)/9*M15)*0.35+((((AC15^2)/((AC15^2)+(100^2))-0.38)/9*M15))*(0.08+(H15/140)),2)</f>
        <v>1.72</v>
      </c>
      <c r="G15" s="7" t="n">
        <v>14</v>
      </c>
      <c r="H15" s="7" t="n">
        <v>14</v>
      </c>
      <c r="I15" s="7" t="n">
        <v>4</v>
      </c>
      <c r="J15" s="7" t="n">
        <v>4</v>
      </c>
      <c r="K15" s="7" t="n">
        <v>0</v>
      </c>
      <c r="L15" s="7" t="n">
        <v>0</v>
      </c>
      <c r="M15" s="68" t="n">
        <v>74</v>
      </c>
      <c r="N15" s="7" t="n">
        <v>37</v>
      </c>
      <c r="O15" s="7" t="n">
        <v>39</v>
      </c>
      <c r="P15" s="7" t="n">
        <v>336</v>
      </c>
      <c r="Q15" s="7" t="n">
        <v>86</v>
      </c>
      <c r="R15" s="7" t="n">
        <v>16</v>
      </c>
      <c r="S15" s="7" t="n">
        <v>1</v>
      </c>
      <c r="T15" s="7" t="n">
        <v>5</v>
      </c>
      <c r="U15" s="7" t="n">
        <v>25</v>
      </c>
      <c r="V15" s="7" t="n">
        <v>8</v>
      </c>
      <c r="W15" s="7" t="n">
        <v>0</v>
      </c>
      <c r="X15" s="7" t="n">
        <v>85</v>
      </c>
      <c r="Y15" s="48" t="n">
        <f aca="false">9*N15/M15</f>
        <v>4.5</v>
      </c>
      <c r="Z15" s="48" t="n">
        <f aca="false">9*O15/M15</f>
        <v>4.74324324324324</v>
      </c>
      <c r="AA15" s="48" t="n">
        <f aca="false">('연도별 상수'!$Y$46*T15+'연도별 상수'!$Z$46*(U15+V15)+'연도별 상수'!$AA$46*X15)/M15+'연도별 상수'!$V$46</f>
        <v>3.40424755803796</v>
      </c>
      <c r="AB15" s="80" t="n">
        <f aca="false">ROUND((Q15+U15)/M15,2)</f>
        <v>1.5</v>
      </c>
      <c r="AC15" s="81" t="str">
        <f aca="false">TEXT(100*(2-(Y15/'리그 투수'!$P$46)*(1/AE15)),"0.0")</f>
        <v>114.8</v>
      </c>
      <c r="AD15" s="81" t="str">
        <f aca="false">TEXT(100*(2-(AA15/'리그 투수'!$Q$46)*(1/AE15)),"0.0")</f>
        <v>136.1</v>
      </c>
      <c r="AE15" s="9" t="n">
        <f aca="false">'연도별 상수'!$I$46*0.77+0.23</f>
        <v>1.12610521</v>
      </c>
      <c r="AF15" s="9" t="n">
        <v>1</v>
      </c>
      <c r="AG15" s="7" t="n">
        <v>206</v>
      </c>
      <c r="AH15" s="7" t="n">
        <v>44.5</v>
      </c>
      <c r="AI15" s="7" t="n">
        <v>32.1</v>
      </c>
      <c r="AJ15" s="70" t="n">
        <v>23.4</v>
      </c>
      <c r="AK15" s="70"/>
      <c r="AL15" s="70"/>
      <c r="AM15" s="7"/>
      <c r="AN15" s="7"/>
    </row>
    <row r="16" s="9" customFormat="true" ht="26.25" hidden="false" customHeight="true" outlineLevel="0" collapsed="false">
      <c r="A16" s="10" t="n">
        <v>14</v>
      </c>
      <c r="B16" s="55" t="s">
        <v>227</v>
      </c>
      <c r="C16" s="1" t="s">
        <v>213</v>
      </c>
      <c r="D16" s="79" t="s">
        <v>45</v>
      </c>
      <c r="E16" s="44" t="n">
        <f aca="false">'연도별 상수'!$A$46</f>
        <v>2026</v>
      </c>
      <c r="F16" s="45" t="n">
        <f aca="false">ROUND((((0.5+(('리그 투수'!$Q$46)-(AA16/0.92/AE16))/((((9*'리그 투수'!$Q$46)+((M16/G16)*(AA16/0.92/AE16))+((9-(M16/G16))*'리그 투수'!$Q$46))/18+2)*1.5))-0.38)/9*M16)*(0.5+(H16/330))+(((0.5+(('리그 투수'!$Q$46)-(Z16/0.92))/((((9*'리그 투수'!$Q$46)+((M16/G16)*(Z16/0.92))+((9-(M16/G16))*'리그 투수'!$Q$46))/18+2)*1.5))-0.38)/9*M16)*0.35+((((AC16^2)/((AC16^2)+(100^2))-0.38)/9*M16))*(0.08+(H16/140)),2)</f>
        <v>1.33</v>
      </c>
      <c r="G16" s="7" t="n">
        <v>13</v>
      </c>
      <c r="H16" s="7" t="n">
        <v>13</v>
      </c>
      <c r="I16" s="7" t="n">
        <v>7</v>
      </c>
      <c r="J16" s="7" t="n">
        <v>2</v>
      </c>
      <c r="K16" s="7" t="n">
        <v>0</v>
      </c>
      <c r="L16" s="7" t="n">
        <v>0</v>
      </c>
      <c r="M16" s="68" t="n">
        <f aca="false">74+1/3</f>
        <v>74.3333333333333</v>
      </c>
      <c r="N16" s="7" t="n">
        <v>29</v>
      </c>
      <c r="O16" s="7" t="n">
        <v>33</v>
      </c>
      <c r="P16" s="7" t="n">
        <v>314</v>
      </c>
      <c r="Q16" s="7" t="n">
        <v>69</v>
      </c>
      <c r="R16" s="7" t="n">
        <v>12</v>
      </c>
      <c r="S16" s="7" t="n">
        <v>2</v>
      </c>
      <c r="T16" s="7" t="n">
        <v>8</v>
      </c>
      <c r="U16" s="7" t="n">
        <v>22</v>
      </c>
      <c r="V16" s="7" t="n">
        <v>2</v>
      </c>
      <c r="W16" s="7" t="n">
        <v>1</v>
      </c>
      <c r="X16" s="7" t="n">
        <v>64</v>
      </c>
      <c r="Y16" s="48" t="n">
        <f aca="false">9*N16/M16</f>
        <v>3.51121076233184</v>
      </c>
      <c r="Z16" s="48" t="n">
        <f aca="false">9*O16/M16</f>
        <v>3.99551569506727</v>
      </c>
      <c r="AA16" s="48" t="n">
        <f aca="false">('연도별 상수'!$Y$46*T16+'연도별 상수'!$Z$46*(U16+V16)+'연도별 상수'!$AA$46*X16)/M16+'연도별 상수'!$V$46</f>
        <v>4.21022865123878</v>
      </c>
      <c r="AB16" s="80" t="n">
        <f aca="false">ROUND((Q16+U16)/M16,2)</f>
        <v>1.22</v>
      </c>
      <c r="AC16" s="81" t="str">
        <f aca="false">TEXT(100*(2-(Y16/'리그 투수'!$P$46)*(1/AE16)),"0.0")</f>
        <v>123.3</v>
      </c>
      <c r="AD16" s="81" t="str">
        <f aca="false">TEXT(100*(2-(AA16/'리그 투수'!$Q$46)*(1/AE16)),"0.0")</f>
        <v>108.8</v>
      </c>
      <c r="AE16" s="9" t="n">
        <f aca="false">'연도별 상수'!$J$46*0.77+0.23</f>
        <v>0.97573884</v>
      </c>
      <c r="AF16" s="9" t="n">
        <v>0</v>
      </c>
      <c r="AG16" s="7" t="n">
        <v>215</v>
      </c>
      <c r="AH16" s="7" t="n">
        <v>51.3</v>
      </c>
      <c r="AI16" s="7" t="n">
        <v>39.4</v>
      </c>
      <c r="AJ16" s="70" t="n">
        <v>9.3</v>
      </c>
      <c r="AK16" s="70"/>
      <c r="AL16" s="70"/>
      <c r="AM16" s="7"/>
      <c r="AN16" s="7"/>
    </row>
    <row r="17" s="9" customFormat="true" ht="26.25" hidden="false" customHeight="true" outlineLevel="0" collapsed="false">
      <c r="A17" s="10" t="n">
        <v>15</v>
      </c>
      <c r="B17" s="55" t="s">
        <v>228</v>
      </c>
      <c r="C17" s="1" t="s">
        <v>213</v>
      </c>
      <c r="D17" s="79" t="s">
        <v>43</v>
      </c>
      <c r="E17" s="44" t="n">
        <f aca="false">'연도별 상수'!$A$46</f>
        <v>2026</v>
      </c>
      <c r="F17" s="45" t="n">
        <f aca="false">ROUND((((0.5+(('리그 투수'!$Q$46)-(AA17/0.92/AE17))/((((9*'리그 투수'!$Q$46)+((M17/G17)*(AA17/0.92/AE17))+((9-(M17/G17))*'리그 투수'!$Q$46))/18+2)*1.5))-0.38)/9*M17)*(0.5+(H17/330))+(((0.5+(('리그 투수'!$Q$46)-(Z17/0.92))/((((9*'리그 투수'!$Q$46)+((M17/G17)*(Z17/0.92))+((9-(M17/G17))*'리그 투수'!$Q$46))/18+2)*1.5))-0.38)/9*M17)*0.35+((((AC17^2)/((AC17^2)+(100^2))-0.38)/9*M17))*(0.08+(H17/140)),2)</f>
        <v>1.18</v>
      </c>
      <c r="G17" s="7" t="n">
        <v>14</v>
      </c>
      <c r="H17" s="7" t="n">
        <v>14</v>
      </c>
      <c r="I17" s="7" t="n">
        <v>7</v>
      </c>
      <c r="J17" s="7" t="n">
        <v>1</v>
      </c>
      <c r="K17" s="7" t="n">
        <v>0</v>
      </c>
      <c r="L17" s="7" t="n">
        <v>0</v>
      </c>
      <c r="M17" s="68" t="n">
        <f aca="false">78+1/3</f>
        <v>78.3333333333333</v>
      </c>
      <c r="N17" s="7" t="n">
        <v>30</v>
      </c>
      <c r="O17" s="7" t="n">
        <v>31</v>
      </c>
      <c r="P17" s="7" t="n">
        <v>337</v>
      </c>
      <c r="Q17" s="7" t="n">
        <v>89</v>
      </c>
      <c r="R17" s="7" t="n">
        <v>13</v>
      </c>
      <c r="S17" s="7" t="n">
        <v>0</v>
      </c>
      <c r="T17" s="7" t="n">
        <v>5</v>
      </c>
      <c r="U17" s="7" t="n">
        <v>23</v>
      </c>
      <c r="V17" s="7" t="n">
        <v>2</v>
      </c>
      <c r="W17" s="7" t="n">
        <v>0</v>
      </c>
      <c r="X17" s="7" t="n">
        <v>40</v>
      </c>
      <c r="Y17" s="48" t="n">
        <f aca="false">9*N17/M17</f>
        <v>3.4468085106383</v>
      </c>
      <c r="Z17" s="48" t="n">
        <f aca="false">9*O17/M17</f>
        <v>3.56170212765958</v>
      </c>
      <c r="AA17" s="48" t="n">
        <f aca="false">('연도별 상수'!$Y$46*T17+'연도별 상수'!$Z$46*(U17+V17)+'연도별 상수'!$AA$46*X17)/M17+'연도별 상수'!$V$46</f>
        <v>4.54866963969408</v>
      </c>
      <c r="AB17" s="80" t="n">
        <f aca="false">ROUND((Q17+U17)/M17,2)</f>
        <v>1.43</v>
      </c>
      <c r="AC17" s="81" t="str">
        <f aca="false">TEXT(100*(2-(Y17/'리그 투수'!$P$46)*(1/AE17)),"0.0")</f>
        <v>118.5</v>
      </c>
      <c r="AD17" s="81" t="str">
        <f aca="false">TEXT(100*(2-(AA17/'리그 투수'!$Q$46)*(1/AE17)),"0.0")</f>
        <v>93.3</v>
      </c>
      <c r="AE17" s="9" t="n">
        <f aca="false">'연도별 상수'!$B$46*0.77+0.23</f>
        <v>0.90131834</v>
      </c>
      <c r="AF17" s="9" t="n">
        <v>0</v>
      </c>
      <c r="AG17" s="7" t="n">
        <v>264</v>
      </c>
      <c r="AH17" s="7" t="n">
        <v>42.6</v>
      </c>
      <c r="AI17" s="7" t="n">
        <v>43.4</v>
      </c>
      <c r="AJ17" s="70" t="n">
        <v>14</v>
      </c>
      <c r="AK17" s="70"/>
      <c r="AL17" s="70"/>
      <c r="AM17" s="7"/>
      <c r="AN17" s="7"/>
    </row>
    <row r="18" s="9" customFormat="true" ht="26.25" hidden="false" customHeight="true" outlineLevel="0" collapsed="false">
      <c r="A18" s="10" t="n">
        <v>16</v>
      </c>
      <c r="B18" s="55" t="s">
        <v>229</v>
      </c>
      <c r="C18" s="1" t="s">
        <v>213</v>
      </c>
      <c r="D18" s="79" t="s">
        <v>76</v>
      </c>
      <c r="E18" s="44" t="n">
        <f aca="false">'연도별 상수'!$A$46</f>
        <v>2026</v>
      </c>
      <c r="F18" s="45" t="n">
        <f aca="false">ROUND((((0.5+(('리그 투수'!$Q$46)-(AA18/0.92/AE18))/((((9*'리그 투수'!$Q$46)+((M18/G18)*(AA18/0.92/AE18))+((9-(M18/G18))*'리그 투수'!$Q$46))/18+2)*1.5))-0.38)/9*M18)*(0.5+(H18/330))+(((0.5+(('리그 투수'!$Q$46)-(Z18/0.92))/((((9*'리그 투수'!$Q$46)+((M18/G18)*(Z18/0.92))+((9-(M18/G18))*'리그 투수'!$Q$46))/18+2)*1.5))-0.38)/9*M18)*0.35+((((AC18^2)/((AC18^2)+(100^2))-0.38)/9*M18))*(0.08+(H18/140)),2)</f>
        <v>1.5</v>
      </c>
      <c r="G18" s="7" t="n">
        <v>13</v>
      </c>
      <c r="H18" s="7" t="n">
        <v>13</v>
      </c>
      <c r="I18" s="7" t="n">
        <v>4</v>
      </c>
      <c r="J18" s="7" t="n">
        <v>3</v>
      </c>
      <c r="K18" s="7" t="n">
        <v>0</v>
      </c>
      <c r="L18" s="7" t="n">
        <v>0</v>
      </c>
      <c r="M18" s="68" t="n">
        <f aca="false">75+2/3</f>
        <v>75.6666666666667</v>
      </c>
      <c r="N18" s="7" t="n">
        <v>28</v>
      </c>
      <c r="O18" s="7" t="n">
        <v>35</v>
      </c>
      <c r="P18" s="7" t="n">
        <v>321</v>
      </c>
      <c r="Q18" s="7" t="n">
        <v>69</v>
      </c>
      <c r="R18" s="7" t="n">
        <v>8</v>
      </c>
      <c r="S18" s="7" t="n">
        <v>0</v>
      </c>
      <c r="T18" s="7" t="n">
        <v>9</v>
      </c>
      <c r="U18" s="7" t="n">
        <v>22</v>
      </c>
      <c r="V18" s="7" t="n">
        <v>3</v>
      </c>
      <c r="W18" s="7" t="n">
        <v>0</v>
      </c>
      <c r="X18" s="7" t="n">
        <v>59</v>
      </c>
      <c r="Y18" s="48" t="n">
        <f aca="false">9*N18/M18</f>
        <v>3.33039647577093</v>
      </c>
      <c r="Z18" s="48" t="n">
        <f aca="false">9*O18/M18</f>
        <v>4.16299559471366</v>
      </c>
      <c r="AA18" s="48" t="n">
        <f aca="false">('연도별 상수'!$Y$46*T18+'연도별 상수'!$Z$46*(U18+V18)+'연도별 상수'!$AA$46*X18)/M18+'연도별 상수'!$V$46</f>
        <v>4.57327363257064</v>
      </c>
      <c r="AB18" s="80" t="n">
        <f aca="false">ROUND((Q18+U18)/M18,2)</f>
        <v>1.2</v>
      </c>
      <c r="AC18" s="81" t="str">
        <f aca="false">TEXT(100*(2-(Y18/'리그 투수'!$P$46)*(1/AE18)),"0.0")</f>
        <v>137.0</v>
      </c>
      <c r="AD18" s="81" t="str">
        <f aca="false">TEXT(100*(2-(AA18/'리그 투수'!$Q$46)*(1/AE18)),"0.0")</f>
        <v>114.1</v>
      </c>
      <c r="AE18" s="9" t="n">
        <f aca="false">'연도별 상수'!$I$46*0.77+0.23</f>
        <v>1.12610521</v>
      </c>
      <c r="AF18" s="9" t="n">
        <v>0</v>
      </c>
      <c r="AG18" s="7" t="n">
        <v>222</v>
      </c>
      <c r="AH18" s="7" t="n">
        <v>47.7</v>
      </c>
      <c r="AI18" s="7" t="n">
        <v>41.8</v>
      </c>
      <c r="AJ18" s="70" t="n">
        <v>10.5</v>
      </c>
      <c r="AK18" s="70"/>
      <c r="AL18" s="70"/>
      <c r="AM18" s="7"/>
      <c r="AN18" s="7"/>
    </row>
    <row r="19" s="9" customFormat="true" ht="26.25" hidden="false" customHeight="true" outlineLevel="0" collapsed="false">
      <c r="A19" s="10" t="n">
        <v>17</v>
      </c>
      <c r="B19" s="55" t="s">
        <v>230</v>
      </c>
      <c r="C19" s="1" t="s">
        <v>213</v>
      </c>
      <c r="D19" s="79" t="s">
        <v>43</v>
      </c>
      <c r="E19" s="44" t="n">
        <f aca="false">'연도별 상수'!$A$46</f>
        <v>2026</v>
      </c>
      <c r="F19" s="45" t="n">
        <f aca="false">ROUND((((0.5+(('리그 투수'!$Q$46)-(AA19/0.92/AE19))/((((9*'리그 투수'!$Q$46)+((M19/G19)*(AA19/0.92/AE19))+((9-(M19/G19))*'리그 투수'!$Q$46))/18+2)*1.5))-0.38)/9*M19)*(0.5+(H19/330))+(((0.5+(('리그 투수'!$Q$46)-(Z19/0.92))/((((9*'리그 투수'!$Q$46)+((M19/G19)*(Z19/0.92))+((9-(M19/G19))*'리그 투수'!$Q$46))/18+2)*1.5))-0.38)/9*M19)*0.35+((((AC19^2)/((AC19^2)+(100^2))-0.38)/9*M19))*(0.08+(H19/140)),2)</f>
        <v>1.12</v>
      </c>
      <c r="G19" s="7" t="n">
        <v>14</v>
      </c>
      <c r="H19" s="7" t="n">
        <v>14</v>
      </c>
      <c r="I19" s="7" t="n">
        <v>7</v>
      </c>
      <c r="J19" s="7" t="n">
        <v>5</v>
      </c>
      <c r="K19" s="7" t="n">
        <v>0</v>
      </c>
      <c r="L19" s="7" t="n">
        <v>0</v>
      </c>
      <c r="M19" s="68" t="n">
        <v>76</v>
      </c>
      <c r="N19" s="7" t="n">
        <v>34</v>
      </c>
      <c r="O19" s="7" t="n">
        <v>34</v>
      </c>
      <c r="P19" s="7" t="n">
        <v>326</v>
      </c>
      <c r="Q19" s="7" t="n">
        <v>73</v>
      </c>
      <c r="R19" s="7" t="n">
        <v>12</v>
      </c>
      <c r="S19" s="7" t="n">
        <v>0</v>
      </c>
      <c r="T19" s="7" t="n">
        <v>6</v>
      </c>
      <c r="U19" s="7" t="n">
        <v>20</v>
      </c>
      <c r="V19" s="7" t="n">
        <v>7</v>
      </c>
      <c r="W19" s="7" t="n">
        <v>0</v>
      </c>
      <c r="X19" s="7" t="n">
        <v>61</v>
      </c>
      <c r="Y19" s="48" t="n">
        <f aca="false">9*N19/M19</f>
        <v>4.02631578947368</v>
      </c>
      <c r="Z19" s="48" t="n">
        <f aca="false">9*O19/M19</f>
        <v>4.02631578947368</v>
      </c>
      <c r="AA19" s="48" t="n">
        <f aca="false">('연도별 상수'!$Y$46*T19+'연도별 상수'!$Z$46*(U19+V19)+'연도별 상수'!$AA$46*X19)/M19+'연도별 상수'!$V$46</f>
        <v>4.11566292076911</v>
      </c>
      <c r="AB19" s="80" t="n">
        <f aca="false">ROUND((Q19+U19)/M19,2)</f>
        <v>1.22</v>
      </c>
      <c r="AC19" s="81" t="str">
        <f aca="false">TEXT(100*(2-(Y19/'리그 투수'!$P$46)*(1/AE19)),"0.0")</f>
        <v>104.8</v>
      </c>
      <c r="AD19" s="81" t="str">
        <f aca="false">TEXT(100*(2-(AA19/'리그 투수'!$Q$46)*(1/AE19)),"0.0")</f>
        <v>103.4</v>
      </c>
      <c r="AE19" s="9" t="n">
        <f aca="false">'연도별 상수'!$B$46*0.77+0.23</f>
        <v>0.90131834</v>
      </c>
      <c r="AF19" s="9" t="n">
        <v>1</v>
      </c>
      <c r="AG19" s="7" t="n">
        <v>230</v>
      </c>
      <c r="AH19" s="7" t="n">
        <v>39.1</v>
      </c>
      <c r="AI19" s="7" t="n">
        <v>45</v>
      </c>
      <c r="AJ19" s="70" t="n">
        <v>16</v>
      </c>
      <c r="AK19" s="70"/>
      <c r="AL19" s="70"/>
      <c r="AM19" s="7"/>
      <c r="AN19" s="7"/>
    </row>
    <row r="20" s="9" customFormat="true" ht="26.25" hidden="false" customHeight="true" outlineLevel="0" collapsed="false">
      <c r="A20" s="10" t="n">
        <v>18</v>
      </c>
      <c r="B20" s="55" t="s">
        <v>231</v>
      </c>
      <c r="C20" s="1" t="s">
        <v>213</v>
      </c>
      <c r="D20" s="79" t="s">
        <v>59</v>
      </c>
      <c r="E20" s="44" t="n">
        <f aca="false">'연도별 상수'!$A$46</f>
        <v>2026</v>
      </c>
      <c r="F20" s="45" t="n">
        <f aca="false">ROUND((((0.5+(('리그 투수'!$Q$46)-(AA20/0.92/AE20))/((((9*'리그 투수'!$Q$46)+((M20/G20)*(AA20/0.92/AE20))+((9-(M20/G20))*'리그 투수'!$Q$46))/18+2)*1.5))-0.38)/9*M20)*(0.5+(H20/330))+(((0.5+(('리그 투수'!$Q$46)-(Z20/0.92))/((((9*'리그 투수'!$Q$46)+((M20/G20)*(Z20/0.92))+((9-(M20/G20))*'리그 투수'!$Q$46))/18+2)*1.5))-0.38)/9*M20)*0.35+((((AC20^2)/((AC20^2)+(100^2))-0.38)/9*M20))*(0.08+(H20/140)),2)</f>
        <v>1.21</v>
      </c>
      <c r="G20" s="7" t="n">
        <v>14</v>
      </c>
      <c r="H20" s="7" t="n">
        <v>14</v>
      </c>
      <c r="I20" s="7" t="n">
        <v>5</v>
      </c>
      <c r="J20" s="7" t="n">
        <v>3</v>
      </c>
      <c r="K20" s="7" t="n">
        <v>0</v>
      </c>
      <c r="L20" s="7" t="n">
        <v>0</v>
      </c>
      <c r="M20" s="68" t="n">
        <f aca="false">71+2/3</f>
        <v>71.6666666666667</v>
      </c>
      <c r="N20" s="7" t="n">
        <v>31</v>
      </c>
      <c r="O20" s="7" t="n">
        <v>34</v>
      </c>
      <c r="P20" s="7" t="n">
        <v>309</v>
      </c>
      <c r="Q20" s="7" t="n">
        <v>57</v>
      </c>
      <c r="R20" s="7" t="n">
        <v>15</v>
      </c>
      <c r="S20" s="7" t="n">
        <v>0</v>
      </c>
      <c r="T20" s="7" t="n">
        <v>6</v>
      </c>
      <c r="U20" s="7" t="n">
        <v>33</v>
      </c>
      <c r="V20" s="7" t="n">
        <v>9</v>
      </c>
      <c r="W20" s="7" t="n">
        <v>0</v>
      </c>
      <c r="X20" s="7" t="n">
        <v>70</v>
      </c>
      <c r="Y20" s="48" t="n">
        <f aca="false">9*N20/M20</f>
        <v>3.89302325581395</v>
      </c>
      <c r="Z20" s="48" t="n">
        <f aca="false">9*O20/M20</f>
        <v>4.26976744186046</v>
      </c>
      <c r="AA20" s="48" t="n">
        <f aca="false">('연도별 상수'!$Y$46*T20+'연도별 상수'!$Z$46*(U20+V20)+'연도별 상수'!$AA$46*X20)/M20+'연도별 상수'!$V$46</f>
        <v>4.47617087670546</v>
      </c>
      <c r="AB20" s="80" t="n">
        <f aca="false">ROUND((Q20+U20)/M20,2)</f>
        <v>1.26</v>
      </c>
      <c r="AC20" s="81" t="str">
        <f aca="false">TEXT(100*(2-(Y20/'리그 투수'!$P$46)*(1/AE20)),"0.0")</f>
        <v>120.4</v>
      </c>
      <c r="AD20" s="81" t="str">
        <f aca="false">TEXT(100*(2-(AA20/'리그 투수'!$Q$46)*(1/AE20)),"0.0")</f>
        <v>109.2</v>
      </c>
      <c r="AE20" s="9" t="n">
        <f aca="false">'연도별 상수'!$H$46*0.77+0.23</f>
        <v>1.04262412</v>
      </c>
      <c r="AF20" s="9" t="n">
        <v>1</v>
      </c>
      <c r="AG20" s="7" t="n">
        <v>186</v>
      </c>
      <c r="AH20" s="7" t="n">
        <v>51.8</v>
      </c>
      <c r="AI20" s="7" t="n">
        <v>41.6</v>
      </c>
      <c r="AJ20" s="70" t="n">
        <v>6.6</v>
      </c>
      <c r="AK20" s="70"/>
      <c r="AL20" s="70"/>
      <c r="AM20" s="7"/>
      <c r="AN20" s="7"/>
    </row>
    <row r="21" s="9" customFormat="true" ht="26.25" hidden="false" customHeight="true" outlineLevel="0" collapsed="false">
      <c r="A21" s="10" t="n">
        <v>19</v>
      </c>
      <c r="B21" s="55" t="s">
        <v>232</v>
      </c>
      <c r="C21" s="1" t="s">
        <v>213</v>
      </c>
      <c r="D21" s="79" t="s">
        <v>76</v>
      </c>
      <c r="E21" s="44" t="n">
        <f aca="false">'연도별 상수'!$A$46</f>
        <v>2026</v>
      </c>
      <c r="F21" s="45" t="n">
        <f aca="false">ROUND((((0.5+(('리그 투수'!$Q$46)-(AA21/0.92/AE21))/((((9*'리그 투수'!$Q$46)+((M21/G21)*(AA21/0.92/AE21))+((9-(M21/G21))*'리그 투수'!$Q$46))/18+2)*1.5))-0.38)/9*M21)*(0.5+(H21/330))+(((0.5+(('리그 투수'!$Q$46)-(Z21/0.92))/((((9*'리그 투수'!$Q$46)+((M21/G21)*(Z21/0.92))+((9-(M21/G21))*'리그 투수'!$Q$46))/18+2)*1.5))-0.38)/9*M21)*0.35+((((AC21^2)/((AC21^2)+(100^2))-0.38)/9*M21))*(0.08+(H21/140)),2)</f>
        <v>1.29</v>
      </c>
      <c r="G21" s="7" t="n">
        <v>13</v>
      </c>
      <c r="H21" s="7" t="n">
        <v>13</v>
      </c>
      <c r="I21" s="7" t="n">
        <v>3</v>
      </c>
      <c r="J21" s="7" t="n">
        <v>6</v>
      </c>
      <c r="K21" s="7" t="n">
        <v>0</v>
      </c>
      <c r="L21" s="7" t="n">
        <v>0</v>
      </c>
      <c r="M21" s="68" t="n">
        <f aca="false">74+2/3</f>
        <v>74.6666666666667</v>
      </c>
      <c r="N21" s="7" t="n">
        <v>32</v>
      </c>
      <c r="O21" s="7" t="n">
        <v>36</v>
      </c>
      <c r="P21" s="7" t="n">
        <v>325</v>
      </c>
      <c r="Q21" s="7" t="n">
        <v>82</v>
      </c>
      <c r="R21" s="7" t="n">
        <v>15</v>
      </c>
      <c r="S21" s="7" t="n">
        <v>0</v>
      </c>
      <c r="T21" s="7" t="n">
        <v>11</v>
      </c>
      <c r="U21" s="7" t="n">
        <v>23</v>
      </c>
      <c r="V21" s="7" t="n">
        <v>2</v>
      </c>
      <c r="W21" s="7" t="n">
        <v>1</v>
      </c>
      <c r="X21" s="7" t="n">
        <v>63</v>
      </c>
      <c r="Y21" s="48" t="n">
        <f aca="false">9*N21/M21</f>
        <v>3.85714285714286</v>
      </c>
      <c r="Z21" s="48" t="n">
        <f aca="false">9*O21/M21</f>
        <v>4.33928571428571</v>
      </c>
      <c r="AA21" s="48" t="n">
        <f aca="false">('연도별 상수'!$Y$46*T21+'연도별 상수'!$Z$46*(U21+V21)+'연도별 상수'!$AA$46*X21)/M21+'연도별 상수'!$V$46</f>
        <v>4.76794205610746</v>
      </c>
      <c r="AB21" s="80" t="n">
        <f aca="false">ROUND((Q21+U21)/M21,2)</f>
        <v>1.41</v>
      </c>
      <c r="AC21" s="81" t="str">
        <f aca="false">TEXT(100*(2-(Y21/'리그 투수'!$P$46)*(1/AE21)),"0.0")</f>
        <v>127.0</v>
      </c>
      <c r="AD21" s="81" t="str">
        <f aca="false">TEXT(100*(2-(AA21/'리그 투수'!$Q$46)*(1/AE21)),"0.0")</f>
        <v>110.5</v>
      </c>
      <c r="AE21" s="9" t="n">
        <f aca="false">'연도별 상수'!$I$46*0.77+0.23</f>
        <v>1.12610521</v>
      </c>
      <c r="AF21" s="9" t="n">
        <v>0</v>
      </c>
      <c r="AG21" s="7" t="n">
        <v>221</v>
      </c>
      <c r="AH21" s="7" t="n">
        <v>41.8</v>
      </c>
      <c r="AI21" s="7" t="n">
        <v>38</v>
      </c>
      <c r="AJ21" s="70" t="n">
        <v>20.3</v>
      </c>
      <c r="AK21" s="70"/>
      <c r="AL21" s="70"/>
      <c r="AM21" s="7"/>
      <c r="AN21" s="7"/>
    </row>
    <row r="22" s="9" customFormat="true" ht="26.25" hidden="false" customHeight="true" outlineLevel="0" collapsed="false">
      <c r="A22" s="10" t="n">
        <v>20</v>
      </c>
      <c r="B22" s="55" t="s">
        <v>233</v>
      </c>
      <c r="C22" s="1" t="s">
        <v>213</v>
      </c>
      <c r="D22" s="79" t="s">
        <v>59</v>
      </c>
      <c r="E22" s="44" t="n">
        <f aca="false">'연도별 상수'!$A$46</f>
        <v>2026</v>
      </c>
      <c r="F22" s="45" t="n">
        <f aca="false">ROUND((((0.5+(('리그 투수'!$Q$46)-(AA22/0.92/AE22))/((((9*'리그 투수'!$Q$46)+((M22/G22)*(AA22/0.92/AE22))+((9-(M22/G22))*'리그 투수'!$Q$46))/18+2)*1.5))-0.38)/9*M22)*(0.5+(H22/330))+(((0.5+(('리그 투수'!$Q$46)-(Z22/0.92))/((((9*'리그 투수'!$Q$46)+((M22/G22)*(Z22/0.92))+((9-(M22/G22))*'리그 투수'!$Q$46))/18+2)*1.5))-0.38)/9*M22)*0.35+((((AC22^2)/((AC22^2)+(100^2))-0.38)/9*M22))*(0.08+(H22/140)),2)</f>
        <v>1.03</v>
      </c>
      <c r="G22" s="7" t="n">
        <v>12</v>
      </c>
      <c r="H22" s="7" t="n">
        <v>12</v>
      </c>
      <c r="I22" s="7" t="n">
        <v>2</v>
      </c>
      <c r="J22" s="7" t="n">
        <v>3</v>
      </c>
      <c r="K22" s="7" t="n">
        <v>0</v>
      </c>
      <c r="L22" s="7" t="n">
        <v>0</v>
      </c>
      <c r="M22" s="68" t="n">
        <f aca="false">65+2/3</f>
        <v>65.6666666666667</v>
      </c>
      <c r="N22" s="7" t="n">
        <v>32</v>
      </c>
      <c r="O22" s="7" t="n">
        <v>34</v>
      </c>
      <c r="P22" s="7" t="n">
        <v>283</v>
      </c>
      <c r="Q22" s="7" t="n">
        <v>70</v>
      </c>
      <c r="R22" s="7" t="n">
        <v>8</v>
      </c>
      <c r="S22" s="7" t="n">
        <v>1</v>
      </c>
      <c r="T22" s="7" t="n">
        <v>5</v>
      </c>
      <c r="U22" s="7" t="n">
        <v>29</v>
      </c>
      <c r="V22" s="7" t="n">
        <v>2</v>
      </c>
      <c r="W22" s="7" t="n">
        <v>0</v>
      </c>
      <c r="X22" s="7" t="n">
        <v>59</v>
      </c>
      <c r="Y22" s="48" t="n">
        <f aca="false">9*N22/M22</f>
        <v>4.38578680203046</v>
      </c>
      <c r="Z22" s="48" t="n">
        <f aca="false">9*O22/M22</f>
        <v>4.65989847715736</v>
      </c>
      <c r="AA22" s="48" t="n">
        <f aca="false">('연도별 상수'!$Y$46*T22+'연도별 상수'!$Z$46*(U22+V22)+'연도별 상수'!$AA$46*X22)/M22+'연도별 상수'!$V$46</f>
        <v>4.21620393065423</v>
      </c>
      <c r="AB22" s="80" t="n">
        <f aca="false">ROUND((Q22+U22)/M22,2)</f>
        <v>1.51</v>
      </c>
      <c r="AC22" s="81" t="str">
        <f aca="false">TEXT(100*(2-(Y22/'리그 투수'!$P$46)*(1/AE22)),"0.0")</f>
        <v>110.4</v>
      </c>
      <c r="AD22" s="81" t="str">
        <f aca="false">TEXT(100*(2-(AA22/'리그 투수'!$Q$46)*(1/AE22)),"0.0")</f>
        <v>114.5</v>
      </c>
      <c r="AE22" s="9" t="n">
        <f aca="false">'연도별 상수'!$H$46*0.77+0.23</f>
        <v>1.04262412</v>
      </c>
      <c r="AF22" s="9" t="n">
        <v>0</v>
      </c>
      <c r="AG22" s="7" t="n">
        <v>185</v>
      </c>
      <c r="AH22" s="7" t="n">
        <v>49.2</v>
      </c>
      <c r="AI22" s="7" t="n">
        <v>39.9</v>
      </c>
      <c r="AJ22" s="70" t="n">
        <v>10.9</v>
      </c>
      <c r="AK22" s="70"/>
      <c r="AL22" s="70"/>
      <c r="AM22" s="7"/>
      <c r="AN22" s="7"/>
    </row>
    <row r="23" s="9" customFormat="true" ht="26.25" hidden="false" customHeight="true" outlineLevel="0" collapsed="false">
      <c r="A23" s="10" t="n">
        <v>21</v>
      </c>
      <c r="B23" s="55" t="s">
        <v>234</v>
      </c>
      <c r="C23" s="1" t="s">
        <v>213</v>
      </c>
      <c r="D23" s="79" t="s">
        <v>56</v>
      </c>
      <c r="E23" s="44" t="n">
        <f aca="false">'연도별 상수'!$A$46</f>
        <v>2026</v>
      </c>
      <c r="F23" s="45" t="n">
        <f aca="false">ROUND((((0.5+(('리그 투수'!$Q$46)-(AA23/0.92/AE23))/((((9*'리그 투수'!$Q$46)+((M23/G23)*(AA23/0.92/AE23))+((9-(M23/G23))*'리그 투수'!$Q$46))/18+2)*1.5))-0.38)/9*M23)*(0.5+(H23/330))+(((0.5+(('리그 투수'!$Q$46)-(Z23/0.92))/((((9*'리그 투수'!$Q$46)+((M23/G23)*(Z23/0.92))+((9-(M23/G23))*'리그 투수'!$Q$46))/18+2)*1.5))-0.38)/9*M23)*0.35+((((AC23^2)/((AC23^2)+(100^2))-0.38)/9*M23))*(0.08+(H23/140)),2)</f>
        <v>1.11</v>
      </c>
      <c r="G23" s="7" t="n">
        <v>14</v>
      </c>
      <c r="H23" s="7" t="n">
        <v>14</v>
      </c>
      <c r="I23" s="7" t="n">
        <v>6</v>
      </c>
      <c r="J23" s="7" t="n">
        <v>3</v>
      </c>
      <c r="K23" s="7" t="n">
        <v>0</v>
      </c>
      <c r="L23" s="7" t="n">
        <v>0</v>
      </c>
      <c r="M23" s="68" t="n">
        <f aca="false">81+1/3</f>
        <v>81.3333333333333</v>
      </c>
      <c r="N23" s="7" t="n">
        <v>38</v>
      </c>
      <c r="O23" s="7" t="n">
        <v>40</v>
      </c>
      <c r="P23" s="7" t="n">
        <v>354</v>
      </c>
      <c r="Q23" s="7" t="n">
        <v>73</v>
      </c>
      <c r="R23" s="7" t="n">
        <v>13</v>
      </c>
      <c r="S23" s="7" t="n">
        <v>4</v>
      </c>
      <c r="T23" s="7" t="n">
        <v>7</v>
      </c>
      <c r="U23" s="7" t="n">
        <v>33</v>
      </c>
      <c r="V23" s="7" t="n">
        <v>11</v>
      </c>
      <c r="W23" s="7" t="n">
        <v>1</v>
      </c>
      <c r="X23" s="7" t="n">
        <v>63</v>
      </c>
      <c r="Y23" s="48" t="n">
        <f aca="false">9*N23/M23</f>
        <v>4.20491803278689</v>
      </c>
      <c r="Z23" s="48" t="n">
        <f aca="false">9*O23/M23</f>
        <v>4.42622950819672</v>
      </c>
      <c r="AA23" s="48" t="n">
        <f aca="false">('연도별 상수'!$Y$46*T23+'연도별 상수'!$Z$46*(U23+V23)+'연도별 상수'!$AA$46*X23)/M23+'연도별 상수'!$V$46</f>
        <v>4.86549035821519</v>
      </c>
      <c r="AB23" s="80" t="n">
        <f aca="false">ROUND((Q23+U23)/M23,2)</f>
        <v>1.3</v>
      </c>
      <c r="AC23" s="81" t="str">
        <f aca="false">TEXT(100*(2-(Y23/'리그 투수'!$P$46)*(1/AE23)),"0.0")</f>
        <v>115.0</v>
      </c>
      <c r="AD23" s="81" t="str">
        <f aca="false">TEXT(100*(2-(AA23/'리그 투수'!$Q$46)*(1/AE23)),"0.0")</f>
        <v>102.4</v>
      </c>
      <c r="AE23" s="9" t="n">
        <f aca="false">'연도별 상수'!$E$46*0.77+0.23</f>
        <v>1.05378835</v>
      </c>
      <c r="AF23" s="9" t="n">
        <v>1</v>
      </c>
      <c r="AG23" s="7" t="n">
        <v>239</v>
      </c>
      <c r="AH23" s="7" t="n">
        <v>39.3</v>
      </c>
      <c r="AI23" s="7" t="n">
        <v>47.4</v>
      </c>
      <c r="AJ23" s="70" t="n">
        <v>13.4</v>
      </c>
      <c r="AK23" s="70"/>
      <c r="AL23" s="70"/>
      <c r="AM23" s="7"/>
      <c r="AN23" s="7"/>
    </row>
    <row r="24" s="9" customFormat="true" ht="26.25" hidden="false" customHeight="true" outlineLevel="0" collapsed="false">
      <c r="A24" s="10" t="n">
        <v>22</v>
      </c>
      <c r="B24" s="55" t="s">
        <v>235</v>
      </c>
      <c r="C24" s="1" t="s">
        <v>213</v>
      </c>
      <c r="D24" s="79" t="s">
        <v>62</v>
      </c>
      <c r="E24" s="44" t="n">
        <f aca="false">'연도별 상수'!$A$46</f>
        <v>2026</v>
      </c>
      <c r="F24" s="45" t="n">
        <f aca="false">ROUND((((0.5+(('리그 투수'!$Q$46)-(AA24/0.92/AE24))/((((9*'리그 투수'!$Q$46)+((M24/G24)*(AA24/0.92/AE24))+((9-(M24/G24))*'리그 투수'!$Q$46))/18+2)*1.5))-0.38)/9*M24)*(0.5+(H24/330))+(((0.5+(('리그 투수'!$Q$46)-(Z24/0.92))/((((9*'리그 투수'!$Q$46)+((M24/G24)*(Z24/0.92))+((9-(M24/G24))*'리그 투수'!$Q$46))/18+2)*1.5))-0.38)/9*M24)*0.35+((((AC24^2)/((AC24^2)+(100^2))-0.38)/9*M24))*(0.08+(H24/140)),2)</f>
        <v>1.21</v>
      </c>
      <c r="G24" s="7" t="n">
        <v>15</v>
      </c>
      <c r="H24" s="7" t="n">
        <v>15</v>
      </c>
      <c r="I24" s="7" t="n">
        <v>5</v>
      </c>
      <c r="J24" s="7" t="n">
        <v>3</v>
      </c>
      <c r="K24" s="7" t="n">
        <v>0</v>
      </c>
      <c r="L24" s="7" t="n">
        <v>0</v>
      </c>
      <c r="M24" s="68" t="n">
        <f aca="false">74+2/3</f>
        <v>74.6666666666667</v>
      </c>
      <c r="N24" s="7" t="n">
        <v>31</v>
      </c>
      <c r="O24" s="7" t="n">
        <v>41</v>
      </c>
      <c r="P24" s="7" t="n">
        <v>335</v>
      </c>
      <c r="Q24" s="7" t="n">
        <v>77</v>
      </c>
      <c r="R24" s="7" t="n">
        <v>12</v>
      </c>
      <c r="S24" s="7" t="n">
        <v>0</v>
      </c>
      <c r="T24" s="7" t="n">
        <v>6</v>
      </c>
      <c r="U24" s="7" t="n">
        <v>35</v>
      </c>
      <c r="V24" s="7" t="n">
        <v>6</v>
      </c>
      <c r="W24" s="7" t="n">
        <v>0</v>
      </c>
      <c r="X24" s="7" t="n">
        <v>63</v>
      </c>
      <c r="Y24" s="48" t="n">
        <f aca="false">9*N24/M24</f>
        <v>3.73660714285714</v>
      </c>
      <c r="Z24" s="48" t="n">
        <f aca="false">9*O24/M24</f>
        <v>4.94196428571429</v>
      </c>
      <c r="AA24" s="48" t="n">
        <f aca="false">('연도별 상수'!$Y$46*T24+'연도별 상수'!$Z$46*(U24+V24)+'연도별 상수'!$AA$46*X24)/M24+'연도별 상수'!$V$46</f>
        <v>4.65008491325032</v>
      </c>
      <c r="AB24" s="80" t="n">
        <f aca="false">ROUND((Q24+U24)/M24,2)</f>
        <v>1.5</v>
      </c>
      <c r="AC24" s="81" t="str">
        <f aca="false">TEXT(100*(2-(Y24/'리그 투수'!$P$46)*(1/AE24)),"0.0")</f>
        <v>129.6</v>
      </c>
      <c r="AD24" s="81" t="str">
        <f aca="false">TEXT(100*(2-(AA24/'리그 투수'!$Q$46)*(1/AE24)),"0.0")</f>
        <v>113.1</v>
      </c>
      <c r="AE24" s="9" t="n">
        <f aca="false">'연도별 상수'!$F$46*0.77+0.23</f>
        <v>1.13149444</v>
      </c>
      <c r="AF24" s="9" t="n">
        <v>1</v>
      </c>
      <c r="AG24" s="7" t="n">
        <v>224</v>
      </c>
      <c r="AH24" s="7" t="n">
        <v>56.3</v>
      </c>
      <c r="AI24" s="7" t="n">
        <v>30.7</v>
      </c>
      <c r="AJ24" s="70" t="n">
        <v>13</v>
      </c>
      <c r="AK24" s="70"/>
      <c r="AL24" s="70"/>
      <c r="AM24" s="7"/>
      <c r="AN24" s="7"/>
    </row>
    <row r="25" s="9" customFormat="true" ht="26.25" hidden="false" customHeight="true" outlineLevel="0" collapsed="false">
      <c r="A25" s="10" t="n">
        <v>23</v>
      </c>
      <c r="B25" s="55" t="s">
        <v>236</v>
      </c>
      <c r="C25" s="1" t="s">
        <v>213</v>
      </c>
      <c r="D25" s="79" t="s">
        <v>54</v>
      </c>
      <c r="E25" s="44" t="n">
        <f aca="false">'연도별 상수'!$A$46</f>
        <v>2026</v>
      </c>
      <c r="F25" s="45" t="n">
        <f aca="false">ROUND((((0.5+(('리그 투수'!$Q$46)-(AA25/0.92/AE25))/((((9*'리그 투수'!$Q$46)+((M25/G25)*(AA25/0.92/AE25))+((9-(M25/G25))*'리그 투수'!$Q$46))/18+2)*1.5))-0.38)/9*M25)*(0.5+(H25/330))+(((0.5+(('리그 투수'!$Q$46)-(Z25/0.92))/((((9*'리그 투수'!$Q$46)+((M25/G25)*(Z25/0.92))+((9-(M25/G25))*'리그 투수'!$Q$46))/18+2)*1.5))-0.38)/9*M25)*0.35+((((AC25^2)/((AC25^2)+(100^2))-0.38)/9*M25))*(0.08+(H25/140)),2)</f>
        <v>0.79</v>
      </c>
      <c r="G25" s="7" t="n">
        <v>14</v>
      </c>
      <c r="H25" s="7" t="n">
        <v>14</v>
      </c>
      <c r="I25" s="7" t="n">
        <v>3</v>
      </c>
      <c r="J25" s="7" t="n">
        <v>5</v>
      </c>
      <c r="K25" s="7" t="n">
        <v>0</v>
      </c>
      <c r="L25" s="7" t="n">
        <v>0</v>
      </c>
      <c r="M25" s="68" t="n">
        <v>75</v>
      </c>
      <c r="N25" s="7" t="n">
        <v>37</v>
      </c>
      <c r="O25" s="7" t="n">
        <v>40</v>
      </c>
      <c r="P25" s="7" t="n">
        <v>335</v>
      </c>
      <c r="Q25" s="7" t="n">
        <v>94</v>
      </c>
      <c r="R25" s="7" t="n">
        <v>19</v>
      </c>
      <c r="S25" s="7" t="n">
        <v>1</v>
      </c>
      <c r="T25" s="7" t="n">
        <v>9</v>
      </c>
      <c r="U25" s="7" t="n">
        <v>13</v>
      </c>
      <c r="V25" s="7" t="n">
        <v>5</v>
      </c>
      <c r="W25" s="7" t="n">
        <v>0</v>
      </c>
      <c r="X25" s="7" t="n">
        <v>64</v>
      </c>
      <c r="Y25" s="48" t="n">
        <f aca="false">9*N25/M25</f>
        <v>4.44</v>
      </c>
      <c r="Z25" s="48" t="n">
        <f aca="false">9*O25/M25</f>
        <v>4.8</v>
      </c>
      <c r="AA25" s="48" t="n">
        <f aca="false">('연도별 상수'!$Y$46*T25+'연도별 상수'!$Z$46*(U25+V25)+'연도별 상수'!$AA$46*X25)/M25+'연도별 상수'!$V$46</f>
        <v>4.11269800848841</v>
      </c>
      <c r="AB25" s="80" t="n">
        <f aca="false">ROUND((Q25+U25)/M25,2)</f>
        <v>1.43</v>
      </c>
      <c r="AC25" s="81" t="str">
        <f aca="false">TEXT(100*(2-(Y25/'리그 투수'!$P$46)*(1/AE25)),"0.0")</f>
        <v>95.0</v>
      </c>
      <c r="AD25" s="81" t="str">
        <f aca="false">TEXT(100*(2-(AA25/'리그 투수'!$Q$46)*(1/AE25)),"0.0")</f>
        <v>103.5</v>
      </c>
      <c r="AE25" s="9" t="n">
        <f aca="false">'연도별 상수'!$B$46*0.77+0.23</f>
        <v>0.90131834</v>
      </c>
      <c r="AF25" s="9" t="n">
        <v>1</v>
      </c>
      <c r="AG25" s="7" t="n">
        <v>242</v>
      </c>
      <c r="AH25" s="7" t="n">
        <v>53</v>
      </c>
      <c r="AI25" s="7" t="n">
        <v>32.8</v>
      </c>
      <c r="AJ25" s="70" t="n">
        <v>14.2</v>
      </c>
      <c r="AK25" s="70"/>
      <c r="AL25" s="70"/>
      <c r="AM25" s="7"/>
      <c r="AN25" s="7"/>
    </row>
    <row r="26" s="9" customFormat="true" ht="26.25" hidden="false" customHeight="true" outlineLevel="0" collapsed="false">
      <c r="A26" s="10" t="n">
        <v>24</v>
      </c>
      <c r="B26" s="55" t="s">
        <v>237</v>
      </c>
      <c r="C26" s="1" t="s">
        <v>213</v>
      </c>
      <c r="D26" s="79" t="s">
        <v>45</v>
      </c>
      <c r="E26" s="44" t="n">
        <f aca="false">'연도별 상수'!$A$46</f>
        <v>2026</v>
      </c>
      <c r="F26" s="45" t="n">
        <f aca="false">ROUND((((0.5+(('리그 투수'!$Q$46)-(AA26/0.92/AE26))/((((9*'리그 투수'!$Q$46)+((M26/G26)*(AA26/0.92/AE26))+((9-(M26/G26))*'리그 투수'!$Q$46))/18+2)*1.5))-0.38)/9*M26)*(0.5+(H26/330))+(((0.5+(('리그 투수'!$Q$46)-(Z26/0.92))/((((9*'리그 투수'!$Q$46)+((M26/G26)*(Z26/0.92))+((9-(M26/G26))*'리그 투수'!$Q$46))/18+2)*1.5))-0.38)/9*M26)*0.35+((((AC26^2)/((AC26^2)+(100^2))-0.38)/9*M26))*(0.08+(H26/140)),2)</f>
        <v>0.76</v>
      </c>
      <c r="G26" s="7" t="n">
        <v>13</v>
      </c>
      <c r="H26" s="7" t="n">
        <v>13</v>
      </c>
      <c r="I26" s="7" t="n">
        <v>5</v>
      </c>
      <c r="J26" s="7" t="n">
        <v>4</v>
      </c>
      <c r="K26" s="7" t="n">
        <v>0</v>
      </c>
      <c r="L26" s="7" t="n">
        <v>0</v>
      </c>
      <c r="M26" s="68" t="n">
        <f aca="false">68+1/3</f>
        <v>68.3333333333333</v>
      </c>
      <c r="N26" s="7" t="n">
        <v>34</v>
      </c>
      <c r="O26" s="7" t="n">
        <v>38</v>
      </c>
      <c r="P26" s="7" t="n">
        <v>293</v>
      </c>
      <c r="Q26" s="7" t="n">
        <v>65</v>
      </c>
      <c r="R26" s="7" t="n">
        <v>14</v>
      </c>
      <c r="S26" s="7" t="n">
        <v>1</v>
      </c>
      <c r="T26" s="7" t="n">
        <v>3</v>
      </c>
      <c r="U26" s="7" t="n">
        <v>29</v>
      </c>
      <c r="V26" s="7" t="n">
        <v>5</v>
      </c>
      <c r="W26" s="7" t="n">
        <v>0</v>
      </c>
      <c r="X26" s="7" t="n">
        <v>50</v>
      </c>
      <c r="Y26" s="48" t="n">
        <f aca="false">9*N26/M26</f>
        <v>4.47804878048781</v>
      </c>
      <c r="Z26" s="48" t="n">
        <f aca="false">9*O26/M26</f>
        <v>5.00487804878049</v>
      </c>
      <c r="AA26" s="48" t="n">
        <f aca="false">('연도별 상수'!$Y$46*T26+'연도별 상수'!$Z$46*(U26+V26)+'연도별 상수'!$AA$46*X26)/M26+'연도별 상수'!$V$46</f>
        <v>4.32778743938272</v>
      </c>
      <c r="AB26" s="80" t="n">
        <f aca="false">ROUND((Q26+U26)/M26,2)</f>
        <v>1.38</v>
      </c>
      <c r="AC26" s="81" t="str">
        <f aca="false">TEXT(100*(2-(Y26/'리그 투수'!$P$46)*(1/AE26)),"0.0")</f>
        <v>102.2</v>
      </c>
      <c r="AD26" s="81" t="str">
        <f aca="false">TEXT(100*(2-(AA26/'리그 투수'!$Q$46)*(1/AE26)),"0.0")</f>
        <v>106.2</v>
      </c>
      <c r="AE26" s="9" t="n">
        <f aca="false">'연도별 상수'!$J$46*0.77+0.23</f>
        <v>0.97573884</v>
      </c>
      <c r="AF26" s="9" t="n">
        <v>1</v>
      </c>
      <c r="AG26" s="7" t="n">
        <v>205</v>
      </c>
      <c r="AH26" s="7" t="n">
        <v>49.8</v>
      </c>
      <c r="AI26" s="7" t="n">
        <v>36.4</v>
      </c>
      <c r="AJ26" s="70" t="n">
        <v>13.9</v>
      </c>
      <c r="AK26" s="70"/>
      <c r="AL26" s="70"/>
      <c r="AM26" s="7"/>
      <c r="AN26" s="7"/>
    </row>
    <row r="27" s="9" customFormat="true" ht="26.25" hidden="false" customHeight="true" outlineLevel="0" collapsed="false">
      <c r="A27" s="10" t="n">
        <v>25</v>
      </c>
      <c r="B27" s="55" t="s">
        <v>238</v>
      </c>
      <c r="C27" s="1" t="s">
        <v>213</v>
      </c>
      <c r="D27" s="79" t="s">
        <v>62</v>
      </c>
      <c r="E27" s="44" t="n">
        <f aca="false">'연도별 상수'!$A$46</f>
        <v>2026</v>
      </c>
      <c r="F27" s="45" t="n">
        <f aca="false">ROUND((((0.5+(('리그 투수'!$Q$46)-(AA27/0.92/AE27))/((((9*'리그 투수'!$Q$46)+((M27/G27)*(AA27/0.92/AE27))+((9-(M27/G27))*'리그 투수'!$Q$46))/18+2)*1.5))-0.38)/9*M27)*(0.5+(H27/330))+(((0.5+(('리그 투수'!$Q$46)-(Z27/0.92))/((((9*'리그 투수'!$Q$46)+((M27/G27)*(Z27/0.92))+((9-(M27/G27))*'리그 투수'!$Q$46))/18+2)*1.5))-0.38)/9*M27)*0.35+((((AC27^2)/((AC27^2)+(100^2))-0.38)/9*M27))*(0.08+(H27/140)),2)</f>
        <v>1.06</v>
      </c>
      <c r="G27" s="7" t="n">
        <v>13</v>
      </c>
      <c r="H27" s="7" t="n">
        <v>13</v>
      </c>
      <c r="I27" s="7" t="n">
        <v>3</v>
      </c>
      <c r="J27" s="7" t="n">
        <v>4</v>
      </c>
      <c r="K27" s="7" t="n">
        <v>0</v>
      </c>
      <c r="L27" s="7" t="n">
        <v>0</v>
      </c>
      <c r="M27" s="68" t="n">
        <f aca="false">66+1/3</f>
        <v>66.3333333333333</v>
      </c>
      <c r="N27" s="7" t="n">
        <v>31</v>
      </c>
      <c r="O27" s="7" t="n">
        <v>34</v>
      </c>
      <c r="P27" s="7" t="n">
        <v>279</v>
      </c>
      <c r="Q27" s="7" t="n">
        <v>67</v>
      </c>
      <c r="R27" s="7" t="n">
        <v>11</v>
      </c>
      <c r="S27" s="7" t="n">
        <v>0</v>
      </c>
      <c r="T27" s="7" t="n">
        <v>6</v>
      </c>
      <c r="U27" s="7" t="n">
        <v>26</v>
      </c>
      <c r="V27" s="7" t="n">
        <v>1</v>
      </c>
      <c r="W27" s="7" t="n">
        <v>0</v>
      </c>
      <c r="X27" s="7" t="n">
        <v>45</v>
      </c>
      <c r="Y27" s="48" t="n">
        <f aca="false">9*N27/M27</f>
        <v>4.20603015075377</v>
      </c>
      <c r="Z27" s="48" t="n">
        <f aca="false">9*O27/M27</f>
        <v>4.61306532663317</v>
      </c>
      <c r="AA27" s="48" t="n">
        <f aca="false">('연도별 상수'!$Y$46*T27+'연도별 상수'!$Z$46*(U27+V27)+'연도별 상수'!$AA$46*X27)/M27+'연도별 상수'!$V$46</f>
        <v>4.72999114081672</v>
      </c>
      <c r="AB27" s="80" t="n">
        <f aca="false">ROUND((Q27+U27)/M27,2)</f>
        <v>1.4</v>
      </c>
      <c r="AC27" s="81" t="str">
        <f aca="false">TEXT(100*(2-(Y27/'리그 투수'!$P$46)*(1/AE27)),"0.0")</f>
        <v>120.8</v>
      </c>
      <c r="AD27" s="81" t="str">
        <f aca="false">TEXT(100*(2-(AA27/'리그 투수'!$Q$46)*(1/AE27)),"0.0")</f>
        <v>111.6</v>
      </c>
      <c r="AE27" s="9" t="n">
        <f aca="false">'연도별 상수'!$F$46*0.77+0.23</f>
        <v>1.13149444</v>
      </c>
      <c r="AF27" s="9" t="n">
        <v>1</v>
      </c>
      <c r="AG27" s="7" t="n">
        <v>199</v>
      </c>
      <c r="AH27" s="7" t="n">
        <v>43</v>
      </c>
      <c r="AI27" s="7" t="n">
        <v>44.4</v>
      </c>
      <c r="AJ27" s="70" t="n">
        <v>12.6</v>
      </c>
      <c r="AK27" s="70"/>
      <c r="AL27" s="70"/>
      <c r="AM27" s="7"/>
      <c r="AN27" s="7"/>
    </row>
    <row r="28" s="9" customFormat="true" ht="26.25" hidden="false" customHeight="true" outlineLevel="0" collapsed="false">
      <c r="A28" s="10" t="n">
        <v>26</v>
      </c>
      <c r="B28" s="55" t="s">
        <v>239</v>
      </c>
      <c r="C28" s="1" t="s">
        <v>213</v>
      </c>
      <c r="D28" s="79" t="s">
        <v>76</v>
      </c>
      <c r="E28" s="44" t="n">
        <f aca="false">'연도별 상수'!$A$46</f>
        <v>2026</v>
      </c>
      <c r="F28" s="45" t="n">
        <f aca="false">ROUND((((0.5+(('리그 투수'!$Q$46)-(AA28/0.92/AE28))/((((9*'리그 투수'!$Q$46)+((M28/G28)*(AA28/0.92/AE28))+((9-(M28/G28))*'리그 투수'!$Q$46))/18+2)*1.5))-0.38)/9*M28)*(0.5+(H28/330))+(((0.5+(('리그 투수'!$Q$46)-(Z28/0.92))/((((9*'리그 투수'!$Q$46)+((M28/G28)*(Z28/0.92))+((9-(M28/G28))*'리그 투수'!$Q$46))/18+2)*1.5))-0.38)/9*M28)*0.35+((((AC28^2)/((AC28^2)+(100^2))-0.38)/9*M28))*(0.08+(H28/140)),2)</f>
        <v>0.93</v>
      </c>
      <c r="G28" s="7" t="n">
        <v>13</v>
      </c>
      <c r="H28" s="7" t="n">
        <v>13</v>
      </c>
      <c r="I28" s="7" t="n">
        <v>2</v>
      </c>
      <c r="J28" s="7" t="n">
        <v>5</v>
      </c>
      <c r="K28" s="7" t="n">
        <v>0</v>
      </c>
      <c r="L28" s="7" t="n">
        <v>0</v>
      </c>
      <c r="M28" s="68" t="n">
        <f aca="false">70+2/3</f>
        <v>70.6666666666667</v>
      </c>
      <c r="N28" s="7" t="n">
        <v>38</v>
      </c>
      <c r="O28" s="7" t="n">
        <v>43</v>
      </c>
      <c r="P28" s="7" t="n">
        <v>321</v>
      </c>
      <c r="Q28" s="7" t="n">
        <v>79</v>
      </c>
      <c r="R28" s="7" t="n">
        <v>22</v>
      </c>
      <c r="S28" s="7" t="n">
        <v>1</v>
      </c>
      <c r="T28" s="7" t="n">
        <v>5</v>
      </c>
      <c r="U28" s="7" t="n">
        <v>31</v>
      </c>
      <c r="V28" s="7" t="n">
        <v>6</v>
      </c>
      <c r="W28" s="7" t="n">
        <v>0</v>
      </c>
      <c r="X28" s="7" t="n">
        <v>60</v>
      </c>
      <c r="Y28" s="48" t="n">
        <f aca="false">9*N28/M28</f>
        <v>4.83962264150943</v>
      </c>
      <c r="Z28" s="48" t="n">
        <f aca="false">9*O28/M28</f>
        <v>5.47641509433962</v>
      </c>
      <c r="AA28" s="48" t="n">
        <f aca="false">('연도별 상수'!$Y$46*T28+'연도별 상수'!$Z$46*(U28+V28)+'연도별 상수'!$AA$46*X28)/M28+'연도별 상수'!$V$46</f>
        <v>4.43991813427457</v>
      </c>
      <c r="AB28" s="80" t="n">
        <f aca="false">ROUND((Q28+U28)/M28,2)</f>
        <v>1.56</v>
      </c>
      <c r="AC28" s="81" t="str">
        <f aca="false">TEXT(100*(2-(Y28/'리그 투수'!$P$46)*(1/AE28)),"0.0")</f>
        <v>108.4</v>
      </c>
      <c r="AD28" s="81" t="str">
        <f aca="false">TEXT(100*(2-(AA28/'리그 투수'!$Q$46)*(1/AE28)),"0.0")</f>
        <v>116.6</v>
      </c>
      <c r="AE28" s="9" t="n">
        <f aca="false">'연도별 상수'!$I$46*0.77+0.23</f>
        <v>1.12610521</v>
      </c>
      <c r="AF28" s="9" t="n">
        <v>0</v>
      </c>
      <c r="AG28" s="7" t="n">
        <v>216</v>
      </c>
      <c r="AH28" s="7" t="n">
        <v>49.1</v>
      </c>
      <c r="AI28" s="7" t="n">
        <v>36.6</v>
      </c>
      <c r="AJ28" s="70" t="n">
        <v>14.3</v>
      </c>
      <c r="AK28" s="70"/>
      <c r="AL28" s="70"/>
      <c r="AM28" s="7"/>
      <c r="AN28" s="7"/>
    </row>
    <row r="29" s="9" customFormat="true" ht="26.25" hidden="false" customHeight="true" outlineLevel="0" collapsed="false">
      <c r="A29" s="10" t="n">
        <v>27</v>
      </c>
      <c r="B29" s="55" t="s">
        <v>240</v>
      </c>
      <c r="C29" s="1" t="s">
        <v>213</v>
      </c>
      <c r="D29" s="79" t="s">
        <v>76</v>
      </c>
      <c r="E29" s="44" t="n">
        <f aca="false">'연도별 상수'!$A$46</f>
        <v>2026</v>
      </c>
      <c r="F29" s="45" t="n">
        <f aca="false">ROUND((((0.5+(('리그 투수'!$Q$46)-(AA29/0.92/AE29))/((((9*'리그 투수'!$Q$46)+((M29/G29)*(AA29/0.92/AE29))+((9-(M29/G29))*'리그 투수'!$Q$46))/18+2)*1.5))-0.38)/9*M29)*(0.5+(H29/330))+(((0.5+(('리그 투수'!$Q$46)-(Z29/0.92))/((((9*'리그 투수'!$Q$46)+((M29/G29)*(Z29/0.92))+((9-(M29/G29))*'리그 투수'!$Q$46))/18+2)*1.5))-0.38)/9*M29)*0.35+((((AC29^2)/((AC29^2)+(100^2))-0.38)/9*M29))*(0.08+(H29/140)),2)</f>
        <v>0.89</v>
      </c>
      <c r="G29" s="7" t="n">
        <v>13</v>
      </c>
      <c r="H29" s="7" t="n">
        <v>13</v>
      </c>
      <c r="I29" s="7" t="n">
        <v>4</v>
      </c>
      <c r="J29" s="7" t="n">
        <v>5</v>
      </c>
      <c r="K29" s="7" t="n">
        <v>0</v>
      </c>
      <c r="L29" s="7" t="n">
        <v>0</v>
      </c>
      <c r="M29" s="68" t="n">
        <f aca="false">69+2/3</f>
        <v>69.6666666666667</v>
      </c>
      <c r="N29" s="7" t="n">
        <v>38</v>
      </c>
      <c r="O29" s="7" t="n">
        <v>40</v>
      </c>
      <c r="P29" s="7" t="n">
        <v>306</v>
      </c>
      <c r="Q29" s="7" t="n">
        <v>70</v>
      </c>
      <c r="R29" s="7" t="n">
        <v>11</v>
      </c>
      <c r="S29" s="7" t="n">
        <v>2</v>
      </c>
      <c r="T29" s="7" t="n">
        <v>12</v>
      </c>
      <c r="U29" s="7" t="n">
        <v>26</v>
      </c>
      <c r="V29" s="7" t="n">
        <v>3</v>
      </c>
      <c r="W29" s="7" t="n">
        <v>0</v>
      </c>
      <c r="X29" s="7" t="n">
        <v>77</v>
      </c>
      <c r="Y29" s="48" t="n">
        <f aca="false">9*N29/M29</f>
        <v>4.90909090909091</v>
      </c>
      <c r="Z29" s="48" t="n">
        <f aca="false">9*O29/M29</f>
        <v>5.16746411483254</v>
      </c>
      <c r="AA29" s="48" t="n">
        <f aca="false">('연도별 상수'!$Y$46*T29+'연도별 상수'!$Z$46*(U29+V29)+'연도별 상수'!$AA$46*X29)/M29+'연도별 상수'!$V$46</f>
        <v>4.67391650928586</v>
      </c>
      <c r="AB29" s="80" t="n">
        <f aca="false">ROUND((Q29+U29)/M29,2)</f>
        <v>1.38</v>
      </c>
      <c r="AC29" s="81" t="str">
        <f aca="false">TEXT(100*(2-(Y29/'리그 투수'!$P$46)*(1/AE29)),"0.0")</f>
        <v>107.1</v>
      </c>
      <c r="AD29" s="81" t="str">
        <f aca="false">TEXT(100*(2-(AA29/'리그 투수'!$Q$46)*(1/AE29)),"0.0")</f>
        <v>112.2</v>
      </c>
      <c r="AE29" s="9" t="n">
        <f aca="false">'연도별 상수'!$I$46*0.77+0.23</f>
        <v>1.12610521</v>
      </c>
      <c r="AF29" s="9" t="n">
        <v>1</v>
      </c>
      <c r="AG29" s="7" t="n">
        <v>186</v>
      </c>
      <c r="AH29" s="7" t="n">
        <v>44</v>
      </c>
      <c r="AI29" s="7" t="n">
        <v>41</v>
      </c>
      <c r="AJ29" s="70" t="n">
        <v>15</v>
      </c>
      <c r="AK29" s="70"/>
      <c r="AL29" s="70"/>
      <c r="AM29" s="7"/>
      <c r="AN29" s="7"/>
    </row>
    <row r="30" s="9" customFormat="true" ht="26.25" hidden="false" customHeight="true" outlineLevel="0" collapsed="false">
      <c r="A30" s="10" t="n">
        <v>28</v>
      </c>
      <c r="B30" s="55" t="s">
        <v>241</v>
      </c>
      <c r="C30" s="1" t="s">
        <v>213</v>
      </c>
      <c r="D30" s="79" t="s">
        <v>59</v>
      </c>
      <c r="E30" s="44" t="n">
        <f aca="false">'연도별 상수'!$A$46</f>
        <v>2026</v>
      </c>
      <c r="F30" s="45" t="n">
        <f aca="false">ROUND((((0.5+(('리그 투수'!$Q$46)-(AA30/0.92/AE30))/((((9*'리그 투수'!$Q$46)+((M30/G30)*(AA30/0.92/AE30))+((9-(M30/G30))*'리그 투수'!$Q$46))/18+2)*1.5))-0.38)/9*M30)*(0.5+(H30/330))+(((0.5+(('리그 투수'!$Q$46)-(Z30/0.92))/((((9*'리그 투수'!$Q$46)+((M30/G30)*(Z30/0.92))+((9-(M30/G30))*'리그 투수'!$Q$46))/18+2)*1.5))-0.38)/9*M30)*0.35+((((AC30^2)/((AC30^2)+(100^2))-0.38)/9*M30))*(0.08+(H30/140)),2)</f>
        <v>0.59</v>
      </c>
      <c r="G30" s="7" t="n">
        <v>12</v>
      </c>
      <c r="H30" s="7" t="n">
        <v>9</v>
      </c>
      <c r="I30" s="7" t="n">
        <v>5</v>
      </c>
      <c r="J30" s="7" t="n">
        <v>0</v>
      </c>
      <c r="K30" s="7" t="n">
        <v>0</v>
      </c>
      <c r="L30" s="7" t="n">
        <v>0</v>
      </c>
      <c r="M30" s="68" t="n">
        <f aca="false">49+2/3</f>
        <v>49.6666666666667</v>
      </c>
      <c r="N30" s="7" t="n">
        <v>25</v>
      </c>
      <c r="O30" s="7" t="n">
        <v>26</v>
      </c>
      <c r="P30" s="7" t="n">
        <v>216</v>
      </c>
      <c r="Q30" s="7" t="n">
        <v>52</v>
      </c>
      <c r="R30" s="7" t="n">
        <v>10</v>
      </c>
      <c r="S30" s="7" t="n">
        <v>0</v>
      </c>
      <c r="T30" s="7" t="n">
        <v>7</v>
      </c>
      <c r="U30" s="7" t="n">
        <v>14</v>
      </c>
      <c r="V30" s="7" t="n">
        <v>3</v>
      </c>
      <c r="W30" s="7" t="n">
        <v>0</v>
      </c>
      <c r="X30" s="7" t="n">
        <v>43</v>
      </c>
      <c r="Y30" s="48" t="n">
        <f aca="false">9*N30/M30</f>
        <v>4.53020134228188</v>
      </c>
      <c r="Z30" s="48" t="n">
        <f aca="false">9*O30/M30</f>
        <v>4.71140939597315</v>
      </c>
      <c r="AA30" s="48" t="n">
        <f aca="false">('연도별 상수'!$Y$46*T30+'연도별 상수'!$Z$46*(U30+V30)+'연도별 상수'!$AA$46*X30)/M30+'연도별 상수'!$V$46</f>
        <v>4.66017899282846</v>
      </c>
      <c r="AB30" s="80" t="n">
        <f aca="false">ROUND((Q30+U30)/M30,2)</f>
        <v>1.33</v>
      </c>
      <c r="AC30" s="81" t="str">
        <f aca="false">TEXT(100*(2-(Y30/'리그 투수'!$P$46)*(1/AE30)),"0.0")</f>
        <v>107.4</v>
      </c>
      <c r="AD30" s="81" t="str">
        <f aca="false">TEXT(100*(2-(AA30/'리그 투수'!$Q$46)*(1/AE30)),"0.0")</f>
        <v>105.5</v>
      </c>
      <c r="AE30" s="9" t="n">
        <f aca="false">'연도별 상수'!$H$46*0.77+0.23</f>
        <v>1.04262412</v>
      </c>
      <c r="AF30" s="9" t="n">
        <v>0</v>
      </c>
      <c r="AG30" s="7" t="n">
        <v>149</v>
      </c>
      <c r="AH30" s="7" t="n">
        <v>42.9</v>
      </c>
      <c r="AI30" s="7" t="n">
        <v>48.1</v>
      </c>
      <c r="AJ30" s="70" t="n">
        <v>9</v>
      </c>
      <c r="AK30" s="70"/>
      <c r="AL30" s="70"/>
      <c r="AM30" s="7"/>
      <c r="AN30" s="7"/>
    </row>
    <row r="31" s="9" customFormat="true" ht="26.25" hidden="false" customHeight="true" outlineLevel="0" collapsed="false">
      <c r="A31" s="10" t="n">
        <v>29</v>
      </c>
      <c r="B31" s="55" t="s">
        <v>242</v>
      </c>
      <c r="C31" s="1" t="s">
        <v>213</v>
      </c>
      <c r="D31" s="79" t="s">
        <v>89</v>
      </c>
      <c r="E31" s="44" t="n">
        <f aca="false">'연도별 상수'!$A$46</f>
        <v>2026</v>
      </c>
      <c r="F31" s="45" t="n">
        <f aca="false">ROUND((((0.5+(('리그 투수'!$Q$46)-(AA31/0.92/AE31))/((((9*'리그 투수'!$Q$46)+((M31/G31)*(AA31/0.92/AE31))+((9-(M31/G31))*'리그 투수'!$Q$46))/18+2)*1.5))-0.38)/9*M31)*(0.5+(H31/330))+(((0.5+(('리그 투수'!$Q$46)-(Z31/0.92))/((((9*'리그 투수'!$Q$46)+((M31/G31)*(Z31/0.92))+((9-(M31/G31))*'리그 투수'!$Q$46))/18+2)*1.5))-0.38)/9*M31)*0.35+((((AC31^2)/((AC31^2)+(100^2))-0.38)/9*M31))*(0.08+(H31/140)),2)</f>
        <v>0.58</v>
      </c>
      <c r="G31" s="7" t="n">
        <v>14</v>
      </c>
      <c r="H31" s="7" t="n">
        <v>9</v>
      </c>
      <c r="I31" s="7" t="n">
        <v>4</v>
      </c>
      <c r="J31" s="7" t="n">
        <v>5</v>
      </c>
      <c r="K31" s="7" t="n">
        <v>0</v>
      </c>
      <c r="L31" s="7" t="n">
        <v>0</v>
      </c>
      <c r="M31" s="68" t="n">
        <v>60</v>
      </c>
      <c r="N31" s="7" t="n">
        <v>34</v>
      </c>
      <c r="O31" s="7" t="n">
        <v>34</v>
      </c>
      <c r="P31" s="7" t="n">
        <v>272</v>
      </c>
      <c r="Q31" s="7" t="n">
        <v>78</v>
      </c>
      <c r="R31" s="7" t="n">
        <v>21</v>
      </c>
      <c r="S31" s="7" t="n">
        <v>2</v>
      </c>
      <c r="T31" s="7" t="n">
        <v>6</v>
      </c>
      <c r="U31" s="7" t="n">
        <v>16</v>
      </c>
      <c r="V31" s="7" t="n">
        <v>2</v>
      </c>
      <c r="W31" s="7" t="n">
        <v>0</v>
      </c>
      <c r="X31" s="7" t="n">
        <v>51</v>
      </c>
      <c r="Y31" s="48" t="n">
        <f aca="false">9*N31/M31</f>
        <v>5.1</v>
      </c>
      <c r="Z31" s="48" t="n">
        <f aca="false">9*O31/M31</f>
        <v>5.1</v>
      </c>
      <c r="AA31" s="48" t="n">
        <f aca="false">('연도별 상수'!$Y$46*T31+'연도별 상수'!$Z$46*(U31+V31)+'연도별 상수'!$AA$46*X31)/M31+'연도별 상수'!$V$46</f>
        <v>4.07303134182174</v>
      </c>
      <c r="AB31" s="80" t="n">
        <f aca="false">ROUND((Q31+U31)/M31,2)</f>
        <v>1.57</v>
      </c>
      <c r="AC31" s="81" t="str">
        <f aca="false">TEXT(100*(2-(Y31/'리그 투수'!$P$46)*(1/AE31)),"0.0")</f>
        <v>85.3</v>
      </c>
      <c r="AD31" s="81" t="str">
        <f aca="false">TEXT(100*(2-(AA31/'리그 투수'!$Q$46)*(1/AE31)),"0.0")</f>
        <v>109.1</v>
      </c>
      <c r="AE31" s="9" t="n">
        <f aca="false">'연도별 상수'!$C$46*0.77+0.23</f>
        <v>0.94742979</v>
      </c>
      <c r="AF31" s="9" t="n">
        <v>0</v>
      </c>
      <c r="AG31" s="7" t="n">
        <v>195</v>
      </c>
      <c r="AH31" s="7" t="n">
        <v>37.9</v>
      </c>
      <c r="AI31" s="7" t="n">
        <v>47.3</v>
      </c>
      <c r="AJ31" s="70" t="n">
        <v>14.8</v>
      </c>
      <c r="AK31" s="70"/>
      <c r="AL31" s="70"/>
      <c r="AM31" s="7"/>
      <c r="AN31" s="7"/>
    </row>
    <row r="32" s="9" customFormat="true" ht="26.25" hidden="false" customHeight="true" outlineLevel="0" collapsed="false">
      <c r="A32" s="10" t="n">
        <v>30</v>
      </c>
      <c r="B32" s="55" t="s">
        <v>243</v>
      </c>
      <c r="C32" s="1" t="s">
        <v>213</v>
      </c>
      <c r="D32" s="79" t="s">
        <v>56</v>
      </c>
      <c r="E32" s="44" t="n">
        <f aca="false">'연도별 상수'!$A$46</f>
        <v>2026</v>
      </c>
      <c r="F32" s="45" t="n">
        <f aca="false">ROUND((((0.5+(('리그 투수'!$Q$46)-(AA32/0.92/AE32))/((((9*'리그 투수'!$Q$46)+((M32/G32)*(AA32/0.92/AE32))+((9-(M32/G32))*'리그 투수'!$Q$46))/18+2)*1.5))-0.38)/9*M32)*(0.5+(H32/330))+(((0.5+(('리그 투수'!$Q$46)-(Z32/0.92))/((((9*'리그 투수'!$Q$46)+((M32/G32)*(Z32/0.92))+((9-(M32/G32))*'리그 투수'!$Q$46))/18+2)*1.5))-0.38)/9*M32)*0.35+((((AC32^2)/((AC32^2)+(100^2))-0.38)/9*M32))*(0.08+(H32/140)),2)</f>
        <v>0.62</v>
      </c>
      <c r="G32" s="7" t="n">
        <v>13</v>
      </c>
      <c r="H32" s="7" t="n">
        <v>13</v>
      </c>
      <c r="I32" s="7" t="n">
        <v>4</v>
      </c>
      <c r="J32" s="7" t="n">
        <v>5</v>
      </c>
      <c r="K32" s="7" t="n">
        <v>0</v>
      </c>
      <c r="L32" s="7" t="n">
        <v>0</v>
      </c>
      <c r="M32" s="68" t="n">
        <f aca="false">66+1/3</f>
        <v>66.3333333333333</v>
      </c>
      <c r="N32" s="7" t="n">
        <v>41</v>
      </c>
      <c r="O32" s="7" t="n">
        <v>44</v>
      </c>
      <c r="P32" s="7" t="n">
        <v>291</v>
      </c>
      <c r="Q32" s="7" t="n">
        <v>81</v>
      </c>
      <c r="R32" s="7" t="n">
        <v>11</v>
      </c>
      <c r="S32" s="7" t="n">
        <v>0</v>
      </c>
      <c r="T32" s="7" t="n">
        <v>7</v>
      </c>
      <c r="U32" s="7" t="n">
        <v>20</v>
      </c>
      <c r="V32" s="7" t="n">
        <v>1</v>
      </c>
      <c r="W32" s="7" t="n">
        <v>0</v>
      </c>
      <c r="X32" s="7" t="n">
        <v>58</v>
      </c>
      <c r="Y32" s="48" t="n">
        <f aca="false">9*N32/M32</f>
        <v>5.56281407035176</v>
      </c>
      <c r="Z32" s="48" t="n">
        <f aca="false">9*O32/M32</f>
        <v>5.96984924623116</v>
      </c>
      <c r="AA32" s="48" t="n">
        <f aca="false">('연도별 상수'!$Y$46*T32+'연도별 상수'!$Z$46*(U32+V32)+'연도별 상수'!$AA$46*X32)/M32+'연도별 상수'!$V$46</f>
        <v>4.13149867850516</v>
      </c>
      <c r="AB32" s="80" t="n">
        <f aca="false">ROUND((Q32+U32)/M32,2)</f>
        <v>1.52</v>
      </c>
      <c r="AC32" s="81" t="str">
        <f aca="false">TEXT(100*(2-(Y32/'리그 투수'!$P$46)*(1/AE32)),"0.0")</f>
        <v>87.5</v>
      </c>
      <c r="AD32" s="81" t="str">
        <f aca="false">TEXT(100*(2-(AA32/'리그 투수'!$Q$46)*(1/AE32)),"0.0")</f>
        <v>117.1</v>
      </c>
      <c r="AE32" s="9" t="n">
        <f aca="false">'연도별 상수'!$E$46*0.77+0.23</f>
        <v>1.05378835</v>
      </c>
      <c r="AF32" s="9" t="n">
        <v>0</v>
      </c>
      <c r="AG32" s="7" t="n">
        <v>203</v>
      </c>
      <c r="AH32" s="7" t="n">
        <v>52.8</v>
      </c>
      <c r="AI32" s="7" t="n">
        <v>29.2</v>
      </c>
      <c r="AJ32" s="70" t="n">
        <v>17.9</v>
      </c>
      <c r="AK32" s="70"/>
      <c r="AL32" s="70"/>
      <c r="AM32" s="7"/>
      <c r="AN32" s="7"/>
    </row>
    <row r="33" s="9" customFormat="true" ht="26.25" hidden="false" customHeight="true" outlineLevel="0" collapsed="false">
      <c r="A33" s="10" t="n">
        <v>31</v>
      </c>
      <c r="B33" s="55" t="s">
        <v>244</v>
      </c>
      <c r="C33" s="1" t="s">
        <v>213</v>
      </c>
      <c r="D33" s="79" t="s">
        <v>45</v>
      </c>
      <c r="E33" s="44" t="n">
        <f aca="false">'연도별 상수'!$A$46</f>
        <v>2026</v>
      </c>
      <c r="F33" s="45" t="n">
        <f aca="false">ROUND((((0.5+(('리그 투수'!$Q$46)-(AA33/0.92/AE33))/((((9*'리그 투수'!$Q$46)+((M33/G33)*(AA33/0.92/AE33))+((9-(M33/G33))*'리그 투수'!$Q$46))/18+2)*1.5))-0.38)/9*M33)*(0.5+(H33/330))+(((0.5+(('리그 투수'!$Q$46)-(Z33/0.92))/((((9*'리그 투수'!$Q$46)+((M33/G33)*(Z33/0.92))+((9-(M33/G33))*'리그 투수'!$Q$46))/18+2)*1.5))-0.38)/9*M33)*0.35+((((AC33^2)/((AC33^2)+(100^2))-0.38)/9*M33))*(0.08+(H33/140)),2)</f>
        <v>0.37</v>
      </c>
      <c r="G33" s="7" t="n">
        <v>13</v>
      </c>
      <c r="H33" s="7" t="n">
        <v>13</v>
      </c>
      <c r="I33" s="7" t="n">
        <v>3</v>
      </c>
      <c r="J33" s="7" t="n">
        <v>5</v>
      </c>
      <c r="K33" s="7" t="n">
        <v>0</v>
      </c>
      <c r="L33" s="7" t="n">
        <v>0</v>
      </c>
      <c r="M33" s="68" t="n">
        <f aca="false">66+2/3</f>
        <v>66.6666666666667</v>
      </c>
      <c r="N33" s="7" t="n">
        <v>35</v>
      </c>
      <c r="O33" s="7" t="n">
        <v>41</v>
      </c>
      <c r="P33" s="7" t="n">
        <v>298</v>
      </c>
      <c r="Q33" s="7" t="n">
        <v>79</v>
      </c>
      <c r="R33" s="7" t="n">
        <v>12</v>
      </c>
      <c r="S33" s="7" t="n">
        <v>2</v>
      </c>
      <c r="T33" s="7" t="n">
        <v>8</v>
      </c>
      <c r="U33" s="7" t="n">
        <v>23</v>
      </c>
      <c r="V33" s="7" t="n">
        <v>1</v>
      </c>
      <c r="W33" s="7" t="n">
        <v>0</v>
      </c>
      <c r="X33" s="7" t="n">
        <v>49</v>
      </c>
      <c r="Y33" s="48" t="n">
        <f aca="false">9*N33/M33</f>
        <v>4.725</v>
      </c>
      <c r="Z33" s="48" t="n">
        <f aca="false">9*O33/M33</f>
        <v>5.535</v>
      </c>
      <c r="AA33" s="48" t="n">
        <f aca="false">('연도별 상수'!$Y$46*T33+'연도별 상수'!$Z$46*(U33+V33)+'연도별 상수'!$AA$46*X33)/M33+'연도별 상수'!$V$46</f>
        <v>4.79253134182174</v>
      </c>
      <c r="AB33" s="80" t="n">
        <f aca="false">ROUND((Q33+U33)/M33,2)</f>
        <v>1.53</v>
      </c>
      <c r="AC33" s="81" t="str">
        <f aca="false">TEXT(100*(2-(Y33/'리그 투수'!$P$46)*(1/AE33)),"0.0")</f>
        <v>96.8</v>
      </c>
      <c r="AD33" s="81" t="str">
        <f aca="false">TEXT(100*(2-(AA33/'리그 투수'!$Q$46)*(1/AE33)),"0.0")</f>
        <v>96.1</v>
      </c>
      <c r="AE33" s="9" t="n">
        <f aca="false">'연도별 상수'!$J$46*0.77+0.23</f>
        <v>0.97573884</v>
      </c>
      <c r="AF33" s="9" t="n">
        <v>1</v>
      </c>
      <c r="AG33" s="7" t="n">
        <v>214</v>
      </c>
      <c r="AH33" s="7" t="n">
        <v>44.4</v>
      </c>
      <c r="AI33" s="7" t="n">
        <v>40</v>
      </c>
      <c r="AJ33" s="70" t="n">
        <v>15.6</v>
      </c>
      <c r="AK33" s="70"/>
      <c r="AL33" s="70"/>
      <c r="AM33" s="7"/>
      <c r="AN33" s="7"/>
    </row>
    <row r="34" s="9" customFormat="true" ht="26.25" hidden="false" customHeight="true" outlineLevel="0" collapsed="false">
      <c r="A34" s="10" t="n">
        <v>33</v>
      </c>
      <c r="B34" s="55" t="s">
        <v>245</v>
      </c>
      <c r="C34" s="1" t="s">
        <v>213</v>
      </c>
      <c r="D34" s="79" t="s">
        <v>89</v>
      </c>
      <c r="E34" s="44" t="n">
        <f aca="false">'연도별 상수'!$A$46</f>
        <v>2026</v>
      </c>
      <c r="F34" s="45" t="n">
        <f aca="false">ROUND((((0.5+(('리그 투수'!$Q$46)-(AA34/0.92/AE34))/((((9*'리그 투수'!$Q$46)+((M34/G34)*(AA34/0.92/AE34))+((9-(M34/G34))*'리그 투수'!$Q$46))/18+2)*1.5))-0.38)/9*M34)*(0.5+(H34/330))+(((0.5+(('리그 투수'!$Q$46)-(Z34/0.92))/((((9*'리그 투수'!$Q$46)+((M34/G34)*(Z34/0.92))+((9-(M34/G34))*'리그 투수'!$Q$46))/18+2)*1.5))-0.38)/9*M34)*0.35+((((AC34^2)/((AC34^2)+(100^2))-0.38)/9*M34))*(0.08+(H34/140)),2)</f>
        <v>0.25</v>
      </c>
      <c r="G34" s="7" t="n">
        <v>13</v>
      </c>
      <c r="H34" s="7" t="n">
        <v>10</v>
      </c>
      <c r="I34" s="7" t="n">
        <v>2</v>
      </c>
      <c r="J34" s="7" t="n">
        <v>5</v>
      </c>
      <c r="K34" s="7" t="n">
        <v>0</v>
      </c>
      <c r="L34" s="7" t="n">
        <v>0</v>
      </c>
      <c r="M34" s="68" t="n">
        <v>54</v>
      </c>
      <c r="N34" s="7" t="n">
        <v>27</v>
      </c>
      <c r="O34" s="7" t="n">
        <v>32</v>
      </c>
      <c r="P34" s="7" t="n">
        <v>244</v>
      </c>
      <c r="Q34" s="7" t="n">
        <v>55</v>
      </c>
      <c r="R34" s="7" t="n">
        <v>11</v>
      </c>
      <c r="S34" s="7" t="n">
        <v>2</v>
      </c>
      <c r="T34" s="7" t="n">
        <v>6</v>
      </c>
      <c r="U34" s="7" t="n">
        <v>26</v>
      </c>
      <c r="V34" s="7" t="n">
        <v>3</v>
      </c>
      <c r="W34" s="7" t="n">
        <v>0</v>
      </c>
      <c r="X34" s="7" t="n">
        <v>47</v>
      </c>
      <c r="Y34" s="48" t="n">
        <f aca="false">9*N34/M34</f>
        <v>4.5</v>
      </c>
      <c r="Z34" s="48" t="n">
        <f aca="false">9*O34/M34</f>
        <v>5.33333333333333</v>
      </c>
      <c r="AA34" s="48" t="n">
        <f aca="false">('연도별 상수'!$Y$46*T34+'연도별 상수'!$Z$46*(U34+V34)+'연도별 상수'!$AA$46*X34)/M34+'연도별 상수'!$V$46</f>
        <v>4.91395726774767</v>
      </c>
      <c r="AB34" s="80" t="n">
        <f aca="false">ROUND((Q34+U34)/M34,2)</f>
        <v>1.5</v>
      </c>
      <c r="AC34" s="81" t="str">
        <f aca="false">TEXT(100*(2-(Y34/'리그 투수'!$P$46)*(1/AE34)),"0.0")</f>
        <v>98.8</v>
      </c>
      <c r="AD34" s="81" t="str">
        <f aca="false">TEXT(100*(2-(AA34/'리그 투수'!$Q$46)*(1/AE34)),"0.0")</f>
        <v>90.3</v>
      </c>
      <c r="AE34" s="9" t="n">
        <f aca="false">'연도별 상수'!$C$46*0.77+0.23</f>
        <v>0.94742979</v>
      </c>
      <c r="AF34" s="9" t="n">
        <v>0</v>
      </c>
      <c r="AG34" s="7" t="n">
        <v>160</v>
      </c>
      <c r="AH34" s="7" t="n">
        <v>35.5</v>
      </c>
      <c r="AI34" s="7" t="n">
        <v>42</v>
      </c>
      <c r="AJ34" s="70" t="n">
        <v>22.5</v>
      </c>
      <c r="AK34" s="70"/>
      <c r="AL34" s="70"/>
      <c r="AM34" s="7"/>
      <c r="AN34" s="7"/>
    </row>
    <row r="35" s="9" customFormat="true" ht="26.25" hidden="false" customHeight="true" outlineLevel="0" collapsed="false">
      <c r="A35" s="10" t="n">
        <v>34</v>
      </c>
      <c r="B35" s="55" t="s">
        <v>246</v>
      </c>
      <c r="C35" s="1" t="s">
        <v>213</v>
      </c>
      <c r="D35" s="79" t="s">
        <v>47</v>
      </c>
      <c r="E35" s="44" t="n">
        <f aca="false">'연도별 상수'!$A$46</f>
        <v>2026</v>
      </c>
      <c r="F35" s="45" t="n">
        <f aca="false">ROUND((((0.5+(('리그 투수'!$Q$46)-(AA35/0.92/AE35))/((((9*'리그 투수'!$Q$46)+((M35/G35)*(AA35/0.92/AE35))+((9-(M35/G35))*'리그 투수'!$Q$46))/18+2)*1.5))-0.38)/9*M35)*(0.5+(H35/330))+(((0.5+(('리그 투수'!$Q$46)-(Z35/0.92))/((((9*'리그 투수'!$Q$46)+((M35/G35)*(Z35/0.92))+((9-(M35/G35))*'리그 투수'!$Q$46))/18+2)*1.5))-0.38)/9*M35)*0.35+((((AC35^2)/((AC35^2)+(100^2))-0.38)/9*M35))*(0.08+(H35/140)),2)</f>
        <v>0.03</v>
      </c>
      <c r="G35" s="7" t="n">
        <v>13</v>
      </c>
      <c r="H35" s="7" t="n">
        <v>13</v>
      </c>
      <c r="I35" s="7" t="n">
        <v>4</v>
      </c>
      <c r="J35" s="7" t="n">
        <v>5</v>
      </c>
      <c r="K35" s="7" t="n">
        <v>0</v>
      </c>
      <c r="L35" s="7" t="n">
        <v>0</v>
      </c>
      <c r="M35" s="68" t="n">
        <f aca="false">63+1/3</f>
        <v>63.3333333333333</v>
      </c>
      <c r="N35" s="7" t="n">
        <v>29</v>
      </c>
      <c r="O35" s="7" t="n">
        <v>34</v>
      </c>
      <c r="P35" s="7" t="n">
        <v>282</v>
      </c>
      <c r="Q35" s="7" t="n">
        <v>60</v>
      </c>
      <c r="R35" s="7" t="n">
        <v>9</v>
      </c>
      <c r="S35" s="7" t="n">
        <v>0</v>
      </c>
      <c r="T35" s="7" t="n">
        <v>10</v>
      </c>
      <c r="U35" s="7" t="n">
        <v>33</v>
      </c>
      <c r="V35" s="7" t="n">
        <v>1</v>
      </c>
      <c r="W35" s="7" t="n">
        <v>0</v>
      </c>
      <c r="X35" s="7" t="n">
        <v>41</v>
      </c>
      <c r="Y35" s="48" t="n">
        <f aca="false">9*N35/M35</f>
        <v>4.12105263157895</v>
      </c>
      <c r="Z35" s="48" t="n">
        <f aca="false">9*O35/M35</f>
        <v>4.83157894736842</v>
      </c>
      <c r="AA35" s="48" t="n">
        <f aca="false">('연도별 상수'!$Y$46*T35+'연도별 상수'!$Z$46*(U35+V35)+'연도별 상수'!$AA$46*X35)/M35+'연도별 상수'!$V$46</f>
        <v>6.03224186813753</v>
      </c>
      <c r="AB35" s="80" t="n">
        <f aca="false">ROUND((Q35+U35)/M35,2)</f>
        <v>1.47</v>
      </c>
      <c r="AC35" s="81" t="str">
        <f aca="false">TEXT(100*(2-(Y35/'리그 투수'!$P$46)*(1/AE35)),"0.0")</f>
        <v>106.4</v>
      </c>
      <c r="AD35" s="81" t="str">
        <f aca="false">TEXT(100*(2-(AA35/'리그 투수'!$Q$46)*(1/AE35)),"0.0")</f>
        <v>64.0</v>
      </c>
      <c r="AE35" s="9" t="n">
        <f aca="false">'연도별 상수'!$G$46*0.77+0.23</f>
        <v>0.93792953</v>
      </c>
      <c r="AF35" s="9" t="n">
        <v>0</v>
      </c>
      <c r="AG35" s="7" t="n">
        <v>193</v>
      </c>
      <c r="AH35" s="7" t="n">
        <v>44.4</v>
      </c>
      <c r="AI35" s="7" t="n">
        <v>45.9</v>
      </c>
      <c r="AJ35" s="70" t="n">
        <v>9.7</v>
      </c>
      <c r="AK35" s="70"/>
      <c r="AL35" s="70"/>
      <c r="AM35" s="7"/>
      <c r="AN35" s="7"/>
    </row>
    <row r="36" s="9" customFormat="true" ht="26.25" hidden="false" customHeight="true" outlineLevel="0" collapsed="false">
      <c r="A36" s="10" t="n">
        <v>35</v>
      </c>
      <c r="B36" s="55" t="s">
        <v>247</v>
      </c>
      <c r="C36" s="1" t="s">
        <v>213</v>
      </c>
      <c r="D36" s="79" t="s">
        <v>59</v>
      </c>
      <c r="E36" s="44" t="n">
        <f aca="false">'연도별 상수'!$A$46</f>
        <v>2026</v>
      </c>
      <c r="F36" s="45" t="n">
        <f aca="false">ROUND((((0.5+(('리그 투수'!$Q$46)-(AA36/0.92/AE36))/((((9*'리그 투수'!$Q$46)+((M36/G36)*(AA36/0.92/AE36))+((9-(M36/G36))*'리그 투수'!$Q$46))/18+2)*1.5))-0.38)/9*M36)*(0.5+(H36/330))+(((0.5+(('리그 투수'!$Q$46)-(Z36/0.92))/((((9*'리그 투수'!$Q$46)+((M36/G36)*(Z36/0.92))+((9-(M36/G36))*'리그 투수'!$Q$46))/18+2)*1.5))-0.38)/9*M36)*0.35+((((AC36^2)/((AC36^2)+(100^2))-0.38)/9*M36))*(0.08+(H36/140)),2)</f>
        <v>0.12</v>
      </c>
      <c r="G36" s="7" t="n">
        <v>17</v>
      </c>
      <c r="H36" s="7" t="n">
        <v>7</v>
      </c>
      <c r="I36" s="7" t="n">
        <v>4</v>
      </c>
      <c r="J36" s="7" t="n">
        <v>4</v>
      </c>
      <c r="K36" s="7" t="n">
        <v>0</v>
      </c>
      <c r="L36" s="7" t="n">
        <v>0</v>
      </c>
      <c r="M36" s="68" t="n">
        <v>50</v>
      </c>
      <c r="N36" s="7" t="n">
        <v>27</v>
      </c>
      <c r="O36" s="7" t="n">
        <v>29</v>
      </c>
      <c r="P36" s="7" t="n">
        <v>221</v>
      </c>
      <c r="Q36" s="7" t="n">
        <v>44</v>
      </c>
      <c r="R36" s="7" t="n">
        <v>10</v>
      </c>
      <c r="S36" s="7" t="n">
        <v>1</v>
      </c>
      <c r="T36" s="7" t="n">
        <v>8</v>
      </c>
      <c r="U36" s="7" t="n">
        <v>23</v>
      </c>
      <c r="V36" s="7" t="n">
        <v>4</v>
      </c>
      <c r="W36" s="7" t="n">
        <v>2</v>
      </c>
      <c r="X36" s="7" t="n">
        <v>37</v>
      </c>
      <c r="Y36" s="48" t="n">
        <f aca="false">9*N36/M36</f>
        <v>4.86</v>
      </c>
      <c r="Z36" s="48" t="n">
        <f aca="false">9*O36/M36</f>
        <v>5.22</v>
      </c>
      <c r="AA36" s="48" t="n">
        <f aca="false">('연도별 상수'!$Y$46*T36+'연도별 상수'!$Z$46*(U36+V36)+'연도별 상수'!$AA$46*X36)/M36+'연도별 상수'!$V$46</f>
        <v>5.83603134182174</v>
      </c>
      <c r="AB36" s="80" t="n">
        <f aca="false">ROUND((Q36+U36)/M36,2)</f>
        <v>1.34</v>
      </c>
      <c r="AC36" s="81" t="str">
        <f aca="false">TEXT(100*(2-(Y36/'리그 투수'!$P$46)*(1/AE36)),"0.0")</f>
        <v>100.7</v>
      </c>
      <c r="AD36" s="81" t="str">
        <f aca="false">TEXT(100*(2-(AA36/'리그 투수'!$Q$46)*(1/AE36)),"0.0")</f>
        <v>81.6</v>
      </c>
      <c r="AE36" s="9" t="n">
        <f aca="false">'연도별 상수'!$H$46*0.77+0.23</f>
        <v>1.04262412</v>
      </c>
      <c r="AF36" s="9" t="n">
        <v>0</v>
      </c>
      <c r="AG36" s="7" t="n">
        <v>147</v>
      </c>
      <c r="AH36" s="7" t="n">
        <v>44.6</v>
      </c>
      <c r="AI36" s="7" t="n">
        <v>46.5</v>
      </c>
      <c r="AJ36" s="70" t="n">
        <v>8.9</v>
      </c>
      <c r="AK36" s="70"/>
      <c r="AL36" s="70"/>
      <c r="AM36" s="7"/>
      <c r="AN36" s="7"/>
    </row>
    <row r="37" s="9" customFormat="true" ht="26.25" hidden="false" customHeight="true" outlineLevel="0" collapsed="false">
      <c r="A37" s="10" t="n">
        <v>36</v>
      </c>
      <c r="B37" s="55" t="s">
        <v>248</v>
      </c>
      <c r="C37" s="1" t="s">
        <v>213</v>
      </c>
      <c r="D37" s="79" t="s">
        <v>50</v>
      </c>
      <c r="E37" s="44" t="n">
        <f aca="false">'연도별 상수'!$A$46</f>
        <v>2026</v>
      </c>
      <c r="F37" s="45" t="n">
        <f aca="false">ROUND((((0.5+(('리그 투수'!$Q$46)-(AA37/0.92/AE37))/((((9*'리그 투수'!$Q$46)+((M37/G37)*(AA37/0.92/AE37))+((9-(M37/G37))*'리그 투수'!$Q$46))/18+2)*1.5))-0.38)/9*M37)*(0.5+(H37/330))+(((0.5+(('리그 투수'!$Q$46)-(Z37/0.92))/((((9*'리그 투수'!$Q$46)+((M37/G37)*(Z37/0.92))+((9-(M37/G37))*'리그 투수'!$Q$46))/18+2)*1.5))-0.38)/9*M37)*0.35+((((AC37^2)/((AC37^2)+(100^2))-0.38)/9*M37))*(0.08+(H37/140)),2)</f>
        <v>-0.03</v>
      </c>
      <c r="G37" s="7" t="n">
        <v>13</v>
      </c>
      <c r="H37" s="7" t="n">
        <v>13</v>
      </c>
      <c r="I37" s="7" t="n">
        <v>1</v>
      </c>
      <c r="J37" s="7" t="n">
        <v>4</v>
      </c>
      <c r="K37" s="7" t="n">
        <v>0</v>
      </c>
      <c r="L37" s="7" t="n">
        <v>0</v>
      </c>
      <c r="M37" s="68" t="n">
        <f aca="false">57+2/3</f>
        <v>57.6666666666667</v>
      </c>
      <c r="N37" s="7" t="n">
        <v>31</v>
      </c>
      <c r="O37" s="7" t="n">
        <v>36</v>
      </c>
      <c r="P37" s="7" t="n">
        <v>255</v>
      </c>
      <c r="Q37" s="7" t="n">
        <v>57</v>
      </c>
      <c r="R37" s="7" t="n">
        <v>5</v>
      </c>
      <c r="S37" s="7" t="n">
        <v>0</v>
      </c>
      <c r="T37" s="7" t="n">
        <v>9</v>
      </c>
      <c r="U37" s="7" t="n">
        <v>27</v>
      </c>
      <c r="V37" s="7" t="n">
        <v>3</v>
      </c>
      <c r="W37" s="7" t="n">
        <v>0</v>
      </c>
      <c r="X37" s="7" t="n">
        <v>47</v>
      </c>
      <c r="Y37" s="48" t="n">
        <f aca="false">9*N37/M37</f>
        <v>4.83815028901734</v>
      </c>
      <c r="Z37" s="48" t="n">
        <f aca="false">9*O37/M37</f>
        <v>5.61849710982659</v>
      </c>
      <c r="AA37" s="48" t="n">
        <f aca="false">('연도별 상수'!$Y$46*T37+'연도별 상수'!$Z$46*(U37+V37)+'연도별 상수'!$AA$46*X37)/M37+'연도별 상수'!$V$46</f>
        <v>5.53803134182174</v>
      </c>
      <c r="AB37" s="80" t="n">
        <f aca="false">ROUND((Q37+U37)/M37,2)</f>
        <v>1.46</v>
      </c>
      <c r="AC37" s="81" t="str">
        <f aca="false">TEXT(100*(2-(Y37/'리그 투수'!$P$46)*(1/AE37)),"0.0")</f>
        <v>92.2</v>
      </c>
      <c r="AD37" s="81" t="str">
        <f aca="false">TEXT(100*(2-(AA37/'리그 투수'!$Q$46)*(1/AE37)),"0.0")</f>
        <v>77.6</v>
      </c>
      <c r="AE37" s="9" t="n">
        <f aca="false">'연도별 상수'!$D$46*0.77+0.23</f>
        <v>0.95640799</v>
      </c>
      <c r="AF37" s="9" t="n">
        <v>0</v>
      </c>
      <c r="AG37" s="7" t="n">
        <v>168</v>
      </c>
      <c r="AH37" s="7" t="n">
        <v>51.1</v>
      </c>
      <c r="AI37" s="7" t="n">
        <v>38.2</v>
      </c>
      <c r="AJ37" s="70" t="n">
        <v>10.7</v>
      </c>
      <c r="AK37" s="70"/>
      <c r="AL37" s="70"/>
      <c r="AM37" s="7"/>
      <c r="AN37" s="7"/>
    </row>
    <row r="38" s="9" customFormat="true" ht="26.25" hidden="false" customHeight="true" outlineLevel="0" collapsed="false">
      <c r="A38" s="10" t="n">
        <v>37</v>
      </c>
      <c r="B38" s="55" t="s">
        <v>249</v>
      </c>
      <c r="C38" s="1" t="s">
        <v>213</v>
      </c>
      <c r="D38" s="79" t="s">
        <v>50</v>
      </c>
      <c r="E38" s="44" t="n">
        <f aca="false">'연도별 상수'!$A$46</f>
        <v>2026</v>
      </c>
      <c r="F38" s="45" t="n">
        <f aca="false">ROUND((((0.5+(('리그 투수'!$Q$46)-(AA38/0.92/AE38))/((((9*'리그 투수'!$Q$46)+((M38/G38)*(AA38/0.92/AE38))+((9-(M38/G38))*'리그 투수'!$Q$46))/18+2)*1.5))-0.38)/9*M38)*(0.5+(H38/330))+(((0.5+(('리그 투수'!$Q$46)-(Z38/0.92))/((((9*'리그 투수'!$Q$46)+((M38/G38)*(Z38/0.92))+((9-(M38/G38))*'리그 투수'!$Q$46))/18+2)*1.5))-0.38)/9*M38)*0.35+((((AC38^2)/((AC38^2)+(100^2))-0.38)/9*M38))*(0.08+(H38/140)),2)</f>
        <v>-0.14</v>
      </c>
      <c r="G38" s="7" t="n">
        <v>14</v>
      </c>
      <c r="H38" s="7" t="n">
        <v>14</v>
      </c>
      <c r="I38" s="7" t="n">
        <v>6</v>
      </c>
      <c r="J38" s="7" t="n">
        <v>4</v>
      </c>
      <c r="K38" s="7" t="n">
        <v>0</v>
      </c>
      <c r="L38" s="7" t="n">
        <v>0</v>
      </c>
      <c r="M38" s="68" t="n">
        <v>68</v>
      </c>
      <c r="N38" s="7" t="n">
        <v>41</v>
      </c>
      <c r="O38" s="7" t="n">
        <v>43</v>
      </c>
      <c r="P38" s="7" t="n">
        <v>305</v>
      </c>
      <c r="Q38" s="7" t="n">
        <v>70</v>
      </c>
      <c r="R38" s="7" t="n">
        <v>10</v>
      </c>
      <c r="S38" s="7" t="n">
        <v>1</v>
      </c>
      <c r="T38" s="7" t="n">
        <v>9</v>
      </c>
      <c r="U38" s="7" t="n">
        <v>36</v>
      </c>
      <c r="V38" s="7" t="n">
        <v>4</v>
      </c>
      <c r="W38" s="7" t="n">
        <v>0</v>
      </c>
      <c r="X38" s="7" t="n">
        <v>54</v>
      </c>
      <c r="Y38" s="48" t="n">
        <f aca="false">9*N38/M38</f>
        <v>5.42647058823529</v>
      </c>
      <c r="Z38" s="48" t="n">
        <f aca="false">9*O38/M38</f>
        <v>5.69117647058824</v>
      </c>
      <c r="AA38" s="48" t="n">
        <f aca="false">('연도별 상수'!$Y$46*T38+'연도별 상수'!$Z$46*(U38+V38)+'연도별 상수'!$AA$46*X38)/M38+'연도별 상수'!$V$46</f>
        <v>5.5233254594688</v>
      </c>
      <c r="AB38" s="80" t="n">
        <f aca="false">ROUND((Q38+U38)/M38,2)</f>
        <v>1.56</v>
      </c>
      <c r="AC38" s="81" t="str">
        <f aca="false">TEXT(100*(2-(Y38/'리그 투수'!$P$46)*(1/AE38)),"0.0")</f>
        <v>79.1</v>
      </c>
      <c r="AD38" s="81" t="str">
        <f aca="false">TEXT(100*(2-(AA38/'리그 투수'!$Q$46)*(1/AE38)),"0.0")</f>
        <v>77.9</v>
      </c>
      <c r="AE38" s="9" t="n">
        <f aca="false">'연도별 상수'!$D$46*0.77+0.23</f>
        <v>0.95640799</v>
      </c>
      <c r="AF38" s="9" t="n">
        <v>0</v>
      </c>
      <c r="AG38" s="7" t="n">
        <v>200</v>
      </c>
      <c r="AH38" s="7" t="n">
        <v>41.7</v>
      </c>
      <c r="AI38" s="7" t="n">
        <v>46.9</v>
      </c>
      <c r="AJ38" s="70" t="n">
        <v>11.4</v>
      </c>
      <c r="AK38" s="70"/>
      <c r="AL38" s="70"/>
      <c r="AM38" s="7"/>
      <c r="AN38" s="7"/>
    </row>
    <row r="39" s="9" customFormat="true" ht="26.25" hidden="false" customHeight="true" outlineLevel="0" collapsed="false">
      <c r="A39" s="10" t="n">
        <v>38</v>
      </c>
      <c r="B39" s="55" t="s">
        <v>250</v>
      </c>
      <c r="C39" s="1" t="s">
        <v>213</v>
      </c>
      <c r="D39" s="79" t="s">
        <v>54</v>
      </c>
      <c r="E39" s="44" t="n">
        <f aca="false">'연도별 상수'!$A$46</f>
        <v>2026</v>
      </c>
      <c r="F39" s="45" t="n">
        <f aca="false">ROUND((((0.5+(('리그 투수'!$Q$46)-(AA39/0.92/AE39))/((((9*'리그 투수'!$Q$46)+((M39/G39)*(AA39/0.92/AE39))+((9-(M39/G39))*'리그 투수'!$Q$46))/18+2)*1.5))-0.38)/9*M39)*(0.5+(H39/330))+(((0.5+(('리그 투수'!$Q$46)-(Z39/0.92))/((((9*'리그 투수'!$Q$46)+((M39/G39)*(Z39/0.92))+((9-(M39/G39))*'리그 투수'!$Q$46))/18+2)*1.5))-0.38)/9*M39)*0.35+((((AC39^2)/((AC39^2)+(100^2))-0.38)/9*M39))*(0.08+(H39/140)),2)</f>
        <v>-0.17</v>
      </c>
      <c r="G39" s="7" t="n">
        <v>13</v>
      </c>
      <c r="H39" s="7" t="n">
        <v>13</v>
      </c>
      <c r="I39" s="7" t="n">
        <v>1</v>
      </c>
      <c r="J39" s="7" t="n">
        <v>6</v>
      </c>
      <c r="K39" s="7" t="n">
        <v>0</v>
      </c>
      <c r="L39" s="7" t="n">
        <v>0</v>
      </c>
      <c r="M39" s="68" t="n">
        <f aca="false">62+2/3</f>
        <v>62.6666666666667</v>
      </c>
      <c r="N39" s="7" t="n">
        <v>38</v>
      </c>
      <c r="O39" s="7" t="n">
        <v>42</v>
      </c>
      <c r="P39" s="7" t="n">
        <v>288</v>
      </c>
      <c r="Q39" s="7" t="n">
        <v>76</v>
      </c>
      <c r="R39" s="7" t="n">
        <v>12</v>
      </c>
      <c r="S39" s="7" t="n">
        <v>1</v>
      </c>
      <c r="T39" s="7" t="n">
        <v>6</v>
      </c>
      <c r="U39" s="7" t="n">
        <v>24</v>
      </c>
      <c r="V39" s="7" t="n">
        <v>3</v>
      </c>
      <c r="W39" s="7" t="n">
        <v>0</v>
      </c>
      <c r="X39" s="7" t="n">
        <v>40</v>
      </c>
      <c r="Y39" s="48" t="n">
        <f aca="false">9*N39/M39</f>
        <v>5.45744680851064</v>
      </c>
      <c r="Z39" s="48" t="n">
        <f aca="false">9*O39/M39</f>
        <v>6.03191489361702</v>
      </c>
      <c r="AA39" s="48" t="n">
        <f aca="false">('연도별 상수'!$Y$46*T39+'연도별 상수'!$Z$46*(U39+V39)+'연도별 상수'!$AA$46*X39)/M39+'연도별 상수'!$V$46</f>
        <v>4.96994623543877</v>
      </c>
      <c r="AB39" s="80" t="n">
        <f aca="false">ROUND((Q39+U39)/M39,2)</f>
        <v>1.6</v>
      </c>
      <c r="AC39" s="81" t="str">
        <f aca="false">TEXT(100*(2-(Y39/'리그 투수'!$P$46)*(1/AE39)),"0.0")</f>
        <v>71.0</v>
      </c>
      <c r="AD39" s="81" t="str">
        <f aca="false">TEXT(100*(2-(AA39/'리그 투수'!$Q$46)*(1/AE39)),"0.0")</f>
        <v>83.4</v>
      </c>
      <c r="AE39" s="9" t="n">
        <f aca="false">'연도별 상수'!$B$46*0.77+0.23</f>
        <v>0.90131834</v>
      </c>
      <c r="AF39" s="9" t="n">
        <v>0</v>
      </c>
      <c r="AG39" s="7" t="n">
        <v>209</v>
      </c>
      <c r="AH39" s="7" t="n">
        <v>45.7</v>
      </c>
      <c r="AI39" s="7" t="n">
        <v>41.2</v>
      </c>
      <c r="AJ39" s="70" t="n">
        <v>13.1</v>
      </c>
      <c r="AK39" s="70"/>
      <c r="AL39" s="70"/>
      <c r="AM39" s="7"/>
      <c r="AN39" s="7"/>
    </row>
    <row r="40" customFormat="false" ht="26.25" hidden="false" customHeight="true" outlineLevel="0" collapsed="false">
      <c r="A40" s="10" t="n">
        <v>39</v>
      </c>
      <c r="B40" s="55" t="s">
        <v>251</v>
      </c>
      <c r="C40" s="1" t="s">
        <v>213</v>
      </c>
      <c r="D40" s="79" t="s">
        <v>50</v>
      </c>
      <c r="E40" s="44" t="n">
        <f aca="false">'연도별 상수'!$A$46</f>
        <v>2026</v>
      </c>
      <c r="F40" s="45" t="n">
        <f aca="false">ROUND((((0.5+(('리그 투수'!$Q$46)-(AA40/0.92/AE40))/((((9*'리그 투수'!$Q$46)+((M40/G40)*(AA40/0.92/AE40))+((9-(M40/G40))*'리그 투수'!$Q$46))/18+2)*1.5))-0.38)/9*M40)*(0.5+(H40/330))+(((0.5+(('리그 투수'!$Q$46)-(Z40/0.92))/((((9*'리그 투수'!$Q$46)+((M40/G40)*(Z40/0.92))+((9-(M40/G40))*'리그 투수'!$Q$46))/18+2)*1.5))-0.38)/9*M40)*0.35+((((AC40^2)/((AC40^2)+(100^2))-0.38)/9*M40))*(0.08+(H40/140)),2)</f>
        <v>-0.38</v>
      </c>
      <c r="G40" s="7" t="n">
        <v>13</v>
      </c>
      <c r="H40" s="7" t="n">
        <v>13</v>
      </c>
      <c r="I40" s="7" t="n">
        <v>1</v>
      </c>
      <c r="J40" s="7" t="n">
        <v>6</v>
      </c>
      <c r="K40" s="7" t="n">
        <v>0</v>
      </c>
      <c r="L40" s="7" t="n">
        <v>0</v>
      </c>
      <c r="M40" s="68" t="n">
        <f aca="false">58+2/3</f>
        <v>58.6666666666667</v>
      </c>
      <c r="N40" s="7" t="n">
        <v>46</v>
      </c>
      <c r="O40" s="7" t="n">
        <v>47</v>
      </c>
      <c r="P40" s="7" t="n">
        <v>280</v>
      </c>
      <c r="Q40" s="7" t="n">
        <v>77</v>
      </c>
      <c r="R40" s="7" t="n">
        <v>12</v>
      </c>
      <c r="S40" s="7" t="n">
        <v>1</v>
      </c>
      <c r="T40" s="7" t="n">
        <v>5</v>
      </c>
      <c r="U40" s="7" t="n">
        <v>29</v>
      </c>
      <c r="V40" s="7" t="n">
        <v>2</v>
      </c>
      <c r="W40" s="7" t="n">
        <v>0</v>
      </c>
      <c r="X40" s="7" t="n">
        <v>49</v>
      </c>
      <c r="Y40" s="48" t="n">
        <f aca="false">9*N40/M40</f>
        <v>7.05681818181818</v>
      </c>
      <c r="Z40" s="48" t="n">
        <f aca="false">9*O40/M40</f>
        <v>7.21022727272727</v>
      </c>
      <c r="AA40" s="48" t="n">
        <f aca="false">('연도별 상수'!$Y$46*T40+'연도별 상수'!$Z$46*(U40+V40)+'연도별 상수'!$AA$46*X40)/M40+'연도별 상수'!$V$46</f>
        <v>4.66359952363993</v>
      </c>
      <c r="AB40" s="80" t="n">
        <f aca="false">ROUND((Q40+U40)/M40,2)</f>
        <v>1.81</v>
      </c>
      <c r="AC40" s="81" t="str">
        <f aca="false">TEXT(100*(2-(Y40/'리그 투수'!$P$46)*(1/AE40)),"0.0")</f>
        <v>42.7</v>
      </c>
      <c r="AD40" s="81" t="str">
        <f aca="false">TEXT(100*(2-(AA40/'리그 투수'!$Q$46)*(1/AE40)),"0.0")</f>
        <v>96.9</v>
      </c>
      <c r="AE40" s="9" t="n">
        <f aca="false">'연도별 상수'!$D$46*0.77+0.23</f>
        <v>0.95640799</v>
      </c>
      <c r="AF40" s="9" t="n">
        <v>1</v>
      </c>
      <c r="AG40" s="7" t="n">
        <v>194</v>
      </c>
      <c r="AH40" s="7" t="n">
        <v>53.5</v>
      </c>
      <c r="AI40" s="7" t="n">
        <v>33.5</v>
      </c>
      <c r="AJ40" s="70" t="n">
        <v>13</v>
      </c>
      <c r="AM40" s="7"/>
      <c r="AN40" s="7"/>
      <c r="AO40" s="9"/>
    </row>
    <row r="41" s="9" customFormat="true" ht="26.25" hidden="false" customHeight="true" outlineLevel="0" collapsed="false">
      <c r="A41" s="10" t="n">
        <v>40</v>
      </c>
      <c r="B41" s="55" t="s">
        <v>252</v>
      </c>
      <c r="C41" s="1" t="s">
        <v>213</v>
      </c>
      <c r="D41" s="79" t="s">
        <v>50</v>
      </c>
      <c r="E41" s="44" t="n">
        <f aca="false">'연도별 상수'!$A$46</f>
        <v>2026</v>
      </c>
      <c r="F41" s="45" t="n">
        <f aca="false">ROUND((((0.5+(('리그 투수'!$Q$46)-(AA41/0.92/AE41))/((((9*'리그 투수'!$Q$46)+((M41/G41)*(AA41/0.92/AE41))+((9-(M41/G41))*'리그 투수'!$Q$46))/18+2)*1.5))-0.38)/9*M41)*(0.5+(H41/330))+(((0.5+(('리그 투수'!$Q$46)-(Z41/0.92))/((((9*'리그 투수'!$Q$46)+((M41/G41)*(Z41/0.92))+((9-(M41/G41))*'리그 투수'!$Q$46))/18+2)*1.5))-0.38)/9*M41)*0.35+((((AC41^2)/((AC41^2)+(100^2))-0.38)/9*M41))*(0.08+(H41/140)),2)</f>
        <v>-0.5</v>
      </c>
      <c r="G41" s="7" t="n">
        <v>14</v>
      </c>
      <c r="H41" s="7" t="n">
        <v>14</v>
      </c>
      <c r="I41" s="7" t="n">
        <v>2</v>
      </c>
      <c r="J41" s="7" t="n">
        <v>5</v>
      </c>
      <c r="K41" s="7" t="n">
        <v>0</v>
      </c>
      <c r="L41" s="7" t="n">
        <v>0</v>
      </c>
      <c r="M41" s="68" t="n">
        <f aca="false">70+2/3</f>
        <v>70.6666666666667</v>
      </c>
      <c r="N41" s="7" t="n">
        <v>46</v>
      </c>
      <c r="O41" s="7" t="n">
        <v>51</v>
      </c>
      <c r="P41" s="7" t="n">
        <v>323</v>
      </c>
      <c r="Q41" s="7" t="n">
        <v>81</v>
      </c>
      <c r="R41" s="7" t="n">
        <v>14</v>
      </c>
      <c r="S41" s="7" t="n">
        <v>0</v>
      </c>
      <c r="T41" s="7" t="n">
        <v>12</v>
      </c>
      <c r="U41" s="7" t="n">
        <v>29</v>
      </c>
      <c r="V41" s="7" t="n">
        <v>7</v>
      </c>
      <c r="W41" s="7" t="n">
        <v>0</v>
      </c>
      <c r="X41" s="7" t="n">
        <v>57</v>
      </c>
      <c r="Y41" s="48" t="n">
        <f aca="false">9*N41/M41</f>
        <v>5.85849056603774</v>
      </c>
      <c r="Z41" s="48" t="n">
        <f aca="false">9*O41/M41</f>
        <v>6.49528301886792</v>
      </c>
      <c r="AA41" s="48" t="n">
        <f aca="false">('연도별 상수'!$Y$46*T41+'연도별 상수'!$Z$46*(U41+V41)+'연도별 상수'!$AA$46*X41)/M41+'연도별 상수'!$V$46</f>
        <v>5.68944643616137</v>
      </c>
      <c r="AB41" s="80" t="n">
        <f aca="false">ROUND((Q41+U41)/M41,2)</f>
        <v>1.56</v>
      </c>
      <c r="AC41" s="81" t="str">
        <f aca="false">TEXT(100*(2-(Y41/'리그 투수'!$P$46)*(1/AE41)),"0.0")</f>
        <v>69.5</v>
      </c>
      <c r="AD41" s="81" t="str">
        <f aca="false">TEXT(100*(2-(AA41/'리그 투수'!$Q$46)*(1/AE41)),"0.0")</f>
        <v>74.2</v>
      </c>
      <c r="AE41" s="9" t="n">
        <f aca="false">'연도별 상수'!$D$46*0.77+0.23</f>
        <v>0.95640799</v>
      </c>
      <c r="AF41" s="9" t="n">
        <v>1</v>
      </c>
      <c r="AG41" s="7" t="n">
        <v>212</v>
      </c>
      <c r="AH41" s="7" t="n">
        <v>47.8</v>
      </c>
      <c r="AI41" s="7" t="n">
        <v>36.1</v>
      </c>
      <c r="AJ41" s="70" t="n">
        <v>16.1</v>
      </c>
      <c r="AK41" s="70"/>
      <c r="AL41" s="70"/>
      <c r="AM41" s="7"/>
      <c r="AN41" s="7"/>
    </row>
    <row r="42" s="9" customFormat="true" ht="26.25" hidden="false" customHeight="true" outlineLevel="0" collapsed="false"/>
    <row r="43" s="9" customFormat="true" ht="26.25" hidden="false" customHeight="true" outlineLevel="0" collapsed="false"/>
    <row r="44" s="9" customFormat="true" ht="26.25" hidden="false" customHeight="true" outlineLevel="0" collapsed="false"/>
    <row r="45" s="9" customFormat="true" ht="26.25" hidden="false" customHeight="true" outlineLevel="0" collapsed="false"/>
    <row r="46" s="9" customFormat="true" ht="26.25" hidden="false" customHeight="true" outlineLevel="0" collapsed="false"/>
    <row r="47" s="9" customFormat="true" ht="26.25" hidden="false" customHeight="true" outlineLevel="0" collapsed="false"/>
    <row r="48" s="9" customFormat="true" ht="26.25" hidden="false" customHeight="true" outlineLevel="0" collapsed="false"/>
    <row r="49" s="9" customFormat="true" ht="26.25" hidden="false" customHeight="true" outlineLevel="0" collapsed="false"/>
    <row r="50" s="9" customFormat="true" ht="26.25" hidden="false" customHeight="true" outlineLevel="0" collapsed="false"/>
    <row r="51" s="9" customFormat="true" ht="26.25" hidden="false" customHeight="true" outlineLevel="0" collapsed="false"/>
    <row r="52" s="9" customFormat="true" ht="26.25" hidden="false" customHeight="true" outlineLevel="0" collapsed="false"/>
    <row r="53" s="9" customFormat="true" ht="26.25" hidden="false" customHeight="true" outlineLevel="0" collapsed="false"/>
    <row r="54" s="9" customFormat="true" ht="26.25" hidden="false" customHeight="true" outlineLevel="0" collapsed="false"/>
    <row r="55" s="9" customFormat="true" ht="26.25" hidden="false" customHeight="true" outlineLevel="0" collapsed="false"/>
    <row r="56" s="9" customFormat="true" ht="26.25" hidden="false" customHeight="true" outlineLevel="0" collapsed="false"/>
    <row r="57" s="9" customFormat="true" ht="26.25" hidden="false" customHeight="true" outlineLevel="0" collapsed="false"/>
    <row r="58" s="9" customFormat="true" ht="26.25" hidden="false" customHeight="true" outlineLevel="0" collapsed="false"/>
    <row r="59" s="9" customFormat="true" ht="26.25" hidden="false" customHeight="true" outlineLevel="0" collapsed="false"/>
    <row r="60" s="9" customFormat="true" ht="26.25" hidden="false" customHeight="true" outlineLevel="0" collapsed="false"/>
    <row r="61" s="9" customFormat="true" ht="26.25" hidden="false" customHeight="true" outlineLevel="0" collapsed="false"/>
    <row r="62" s="9" customFormat="true" ht="26.25" hidden="false" customHeight="true" outlineLevel="0" collapsed="false"/>
    <row r="63" s="9" customFormat="true" ht="26.25" hidden="false" customHeight="true" outlineLevel="0" collapsed="false"/>
    <row r="64" s="9" customFormat="true" ht="26.25" hidden="false" customHeight="true" outlineLevel="0" collapsed="false"/>
    <row r="65" s="9" customFormat="true" ht="26.25" hidden="false" customHeight="true" outlineLevel="0" collapsed="false"/>
    <row r="66" s="9" customFormat="true" ht="26.25" hidden="false" customHeight="true" outlineLevel="0" collapsed="false"/>
    <row r="67" s="9" customFormat="true" ht="26.25" hidden="false" customHeight="true" outlineLevel="0" collapsed="false"/>
    <row r="68" s="9" customFormat="true" ht="26.25" hidden="false" customHeight="true" outlineLevel="0" collapsed="false"/>
    <row r="69" s="9" customFormat="true" ht="26.25" hidden="false" customHeight="true" outlineLevel="0" collapsed="false"/>
    <row r="70" s="9" customFormat="true" ht="26.25" hidden="false" customHeight="true" outlineLevel="0" collapsed="false"/>
    <row r="71" s="9" customFormat="true" ht="26.25" hidden="false" customHeight="true" outlineLevel="0" collapsed="false"/>
    <row r="72" s="9" customFormat="true" ht="26.25" hidden="false" customHeight="true" outlineLevel="0" collapsed="false"/>
    <row r="73" s="9" customFormat="true" ht="26.25" hidden="false" customHeight="true" outlineLevel="0" collapsed="false"/>
    <row r="74" s="9" customFormat="true" ht="26.25" hidden="false" customHeight="true" outlineLevel="0" collapsed="false"/>
    <row r="75" s="9" customFormat="true" ht="26.25" hidden="false" customHeight="true" outlineLevel="0" collapsed="false"/>
    <row r="76" s="9" customFormat="true" ht="26.25" hidden="false" customHeight="true" outlineLevel="0" collapsed="false"/>
    <row r="77" s="9" customFormat="true" ht="26.25" hidden="false" customHeight="true" outlineLevel="0" collapsed="false"/>
    <row r="79" s="9" customFormat="true" ht="26.25" hidden="false" customHeight="true" outlineLevel="0" collapsed="false"/>
    <row r="80" s="9" customFormat="true" ht="26.25" hidden="false" customHeight="true" outlineLevel="0" collapsed="false"/>
    <row r="81" s="9" customFormat="true" ht="26.25" hidden="false" customHeight="true" outlineLevel="0" collapsed="false"/>
    <row r="82" s="9" customFormat="true" ht="26.25" hidden="false" customHeight="true" outlineLevel="0" collapsed="false"/>
    <row r="83" s="9" customFormat="true" ht="26.25" hidden="false" customHeight="true" outlineLevel="0" collapsed="false"/>
    <row r="84" s="9" customFormat="true" ht="26.25" hidden="false" customHeight="true" outlineLevel="0" collapsed="false"/>
    <row r="85" s="9" customFormat="true" ht="26.25" hidden="false" customHeight="true" outlineLevel="0" collapsed="false"/>
    <row r="86" s="9" customFormat="true" ht="26.25" hidden="false" customHeight="true" outlineLevel="0" collapsed="false"/>
    <row r="87" s="9" customFormat="true" ht="26.25" hidden="false" customHeight="true" outlineLevel="0" collapsed="false"/>
    <row r="88" s="9" customFormat="true" ht="26.25" hidden="false" customHeight="true" outlineLevel="0" collapsed="false"/>
    <row r="89" s="9" customFormat="true" ht="26.25" hidden="false" customHeight="true" outlineLevel="0" collapsed="false"/>
    <row r="90" s="9" customFormat="true" ht="26.25" hidden="false" customHeight="true" outlineLevel="0" collapsed="false"/>
    <row r="91" s="9" customFormat="true" ht="26.25" hidden="false" customHeight="true" outlineLevel="0" collapsed="false"/>
    <row r="92" s="9" customFormat="true" ht="26.25" hidden="false" customHeight="true" outlineLevel="0" collapsed="false"/>
    <row r="93" s="9" customFormat="true" ht="26.25" hidden="false" customHeight="true" outlineLevel="0" collapsed="false"/>
    <row r="94" s="9" customFormat="true" ht="26.25" hidden="false" customHeight="true" outlineLevel="0" collapsed="false"/>
    <row r="95" s="9" customFormat="true" ht="26.25" hidden="false" customHeight="true" outlineLevel="0" collapsed="false"/>
    <row r="96" s="9" customFormat="true" ht="26.25" hidden="false" customHeight="true" outlineLevel="0" collapsed="false"/>
    <row r="97" s="9" customFormat="true" ht="26.25" hidden="false" customHeight="true" outlineLevel="0" collapsed="false"/>
    <row r="98" s="9" customFormat="true" ht="26.25" hidden="false" customHeight="true" outlineLevel="0" collapsed="false"/>
    <row r="99" s="9" customFormat="true" ht="26.25" hidden="false" customHeight="true" outlineLevel="0" collapsed="false"/>
    <row r="100" s="9" customFormat="true" ht="26.25" hidden="false" customHeight="true" outlineLevel="0" collapsed="false"/>
    <row r="101" s="9" customFormat="true" ht="26.25" hidden="false" customHeight="true" outlineLevel="0" collapsed="false"/>
    <row r="102" s="9" customFormat="true" ht="26.25" hidden="false" customHeight="true" outlineLevel="0" collapsed="false"/>
    <row r="103" s="9" customFormat="true" ht="26.25" hidden="false" customHeight="true" outlineLevel="0" collapsed="false"/>
    <row r="104" s="9" customFormat="true" ht="26.25" hidden="false" customHeight="true" outlineLevel="0" collapsed="false"/>
    <row r="105" s="9" customFormat="true" ht="26.25" hidden="false" customHeight="true" outlineLevel="0" collapsed="false"/>
    <row r="107" s="9" customFormat="true" ht="26.25" hidden="false" customHeight="true" outlineLevel="0" collapsed="false"/>
    <row r="108" s="9" customFormat="true" ht="26.25" hidden="false" customHeight="true" outlineLevel="0" collapsed="false"/>
    <row r="109" s="9" customFormat="true" ht="26.25" hidden="false" customHeight="true" outlineLevel="0" collapsed="false"/>
    <row r="110" s="9" customFormat="true" ht="26.25" hidden="false" customHeight="true" outlineLevel="0" collapsed="false"/>
    <row r="111" s="9" customFormat="true" ht="26.25" hidden="false" customHeight="true" outlineLevel="0" collapsed="false"/>
    <row r="112" s="9" customFormat="true" ht="26.25" hidden="false" customHeight="true" outlineLevel="0" collapsed="false"/>
    <row r="113" s="9" customFormat="true" ht="26.25" hidden="false" customHeight="true" outlineLevel="0" collapsed="false"/>
    <row r="114" s="9" customFormat="true" ht="26.25" hidden="false" customHeight="true" outlineLevel="0" collapsed="false"/>
    <row r="115" s="9" customFormat="true" ht="26.25" hidden="false" customHeight="true" outlineLevel="0" collapsed="false"/>
    <row r="116" s="9" customFormat="true" ht="26.25" hidden="false" customHeight="true" outlineLevel="0" collapsed="false"/>
    <row r="117" s="9" customFormat="true" ht="26.25" hidden="false" customHeight="true" outlineLevel="0" collapsed="false"/>
    <row r="118" s="9" customFormat="true" ht="26.25" hidden="false" customHeight="true" outlineLevel="0" collapsed="false"/>
    <row r="119" s="9" customFormat="true" ht="26.25" hidden="false" customHeight="true" outlineLevel="0" collapsed="false"/>
    <row r="120" s="9" customFormat="true" ht="26.25" hidden="false" customHeight="true" outlineLevel="0" collapsed="false"/>
    <row r="121" s="9" customFormat="true" ht="26.25" hidden="false" customHeight="true" outlineLevel="0" collapsed="false"/>
    <row r="122" s="9" customFormat="true" ht="26.25" hidden="false" customHeight="true" outlineLevel="0" collapsed="false"/>
    <row r="123" s="9" customFormat="true" ht="26.25" hidden="false" customHeight="true" outlineLevel="0" collapsed="false"/>
    <row r="124" s="9" customFormat="true" ht="26.25" hidden="false" customHeight="true" outlineLevel="0" collapsed="false"/>
    <row r="125" s="9" customFormat="true" ht="26.25" hidden="false" customHeight="true" outlineLevel="0" collapsed="false"/>
    <row r="126" s="9" customFormat="true" ht="26.25" hidden="false" customHeight="true" outlineLevel="0" collapsed="false"/>
    <row r="127" s="9" customFormat="true" ht="26.25" hidden="false" customHeight="true" outlineLevel="0" collapsed="false"/>
    <row r="128" s="9" customFormat="true" ht="26.25" hidden="false" customHeight="true" outlineLevel="0" collapsed="false"/>
    <row r="129" s="9" customFormat="true" ht="26.25" hidden="false" customHeight="true" outlineLevel="0" collapsed="false"/>
    <row r="130" s="9" customFormat="true" ht="26.25" hidden="false" customHeight="true" outlineLevel="0" collapsed="false"/>
    <row r="131" s="9" customFormat="true" ht="26.25" hidden="false" customHeight="true" outlineLevel="0" collapsed="false"/>
    <row r="132" s="9" customFormat="true" ht="26.25" hidden="false" customHeight="true" outlineLevel="0" collapsed="false"/>
    <row r="133" s="9" customFormat="true" ht="26.25" hidden="false" customHeight="true" outlineLevel="0" collapsed="false"/>
    <row r="134" s="9" customFormat="true" ht="26.25" hidden="false" customHeight="true" outlineLevel="0" collapsed="false"/>
    <row r="136" s="9" customFormat="true" ht="26.25" hidden="false" customHeight="true" outlineLevel="0" collapsed="false"/>
    <row r="137" s="9" customFormat="true" ht="26.25" hidden="false" customHeight="true" outlineLevel="0" collapsed="false"/>
    <row r="138" s="9" customFormat="true" ht="26.25" hidden="false" customHeight="true" outlineLevel="0" collapsed="false"/>
    <row r="139" s="9" customFormat="true" ht="26.25" hidden="false" customHeight="true" outlineLevel="0" collapsed="false"/>
    <row r="140" s="9" customFormat="true" ht="26.25" hidden="false" customHeight="true" outlineLevel="0" collapsed="false"/>
    <row r="141" s="9" customFormat="true" ht="26.25" hidden="false" customHeight="true" outlineLevel="0" collapsed="false"/>
    <row r="142" s="9" customFormat="true" ht="26.25" hidden="false" customHeight="true" outlineLevel="0" collapsed="false"/>
    <row r="143" s="9" customFormat="true" ht="26.25" hidden="false" customHeight="true" outlineLevel="0" collapsed="false"/>
    <row r="144" s="9" customFormat="true" ht="26.25" hidden="false" customHeight="true" outlineLevel="0" collapsed="false"/>
    <row r="145" s="9" customFormat="true" ht="26.25" hidden="false" customHeight="true" outlineLevel="0" collapsed="false"/>
    <row r="146" s="9" customFormat="true" ht="26.25" hidden="false" customHeight="true" outlineLevel="0" collapsed="false"/>
    <row r="147" s="9" customFormat="true" ht="26.25" hidden="false" customHeight="true" outlineLevel="0" collapsed="false"/>
    <row r="148" s="9" customFormat="true" ht="26.25" hidden="false" customHeight="true" outlineLevel="0" collapsed="false"/>
    <row r="149" s="9" customFormat="true" ht="26.25" hidden="false" customHeight="true" outlineLevel="0" collapsed="false"/>
    <row r="150" s="9" customFormat="true" ht="26.25" hidden="false" customHeight="true" outlineLevel="0" collapsed="false"/>
    <row r="151" s="9" customFormat="true" ht="26.25" hidden="false" customHeight="true" outlineLevel="0" collapsed="false"/>
    <row r="152" s="9" customFormat="true" ht="26.25" hidden="false" customHeight="true" outlineLevel="0" collapsed="false"/>
    <row r="153" s="9" customFormat="true" ht="26.25" hidden="false" customHeight="true" outlineLevel="0" collapsed="false"/>
    <row r="154" s="9" customFormat="true" ht="26.25" hidden="false" customHeight="true" outlineLevel="0" collapsed="false"/>
    <row r="155" s="9" customFormat="true" ht="26.25" hidden="false" customHeight="true" outlineLevel="0" collapsed="false"/>
    <row r="156" s="9" customFormat="true" ht="26.25" hidden="false" customHeight="true" outlineLevel="0" collapsed="false"/>
    <row r="157" s="9" customFormat="true" ht="26.25" hidden="false" customHeight="true" outlineLevel="0" collapsed="false"/>
    <row r="158" s="9" customFormat="true" ht="26.25" hidden="false" customHeight="true" outlineLevel="0" collapsed="false"/>
    <row r="159" s="9" customFormat="true" ht="26.25" hidden="false" customHeight="true" outlineLevel="0" collapsed="false"/>
    <row r="160" s="9" customFormat="true" ht="26.25" hidden="false" customHeight="true" outlineLevel="0" collapsed="false"/>
    <row r="161" s="9" customFormat="true" ht="26.25" hidden="false" customHeight="true" outlineLevel="0" collapsed="false"/>
    <row r="162" s="9" customFormat="true" ht="26.25" hidden="false" customHeight="true" outlineLevel="0" collapsed="false"/>
    <row r="163" s="9" customFormat="true" ht="26.25" hidden="false" customHeight="true" outlineLevel="0" collapsed="false"/>
    <row r="164" s="9" customFormat="true" ht="26.25" hidden="false" customHeight="true" outlineLevel="0" collapsed="false"/>
    <row r="165" s="9" customFormat="true" ht="26.25" hidden="false" customHeight="true" outlineLevel="0" collapsed="false"/>
    <row r="166" s="9" customFormat="true" ht="26.25" hidden="false" customHeight="true" outlineLevel="0" collapsed="false"/>
    <row r="167" s="9" customFormat="true" ht="26.25" hidden="false" customHeight="true" outlineLevel="0" collapsed="false"/>
    <row r="168" s="9" customFormat="true" ht="26.25" hidden="false" customHeight="true" outlineLevel="0" collapsed="false"/>
    <row r="169" s="9" customFormat="true" ht="26.25" hidden="false" customHeight="true" outlineLevel="0" collapsed="false"/>
    <row r="170" s="9" customFormat="true" ht="26.25" hidden="false" customHeight="true" outlineLevel="0" collapsed="false"/>
    <row r="171" s="9" customFormat="true" ht="26.25" hidden="false" customHeight="true" outlineLevel="0" collapsed="false"/>
    <row r="172" s="9" customFormat="true" ht="26.25" hidden="false" customHeight="true" outlineLevel="0" collapsed="false"/>
    <row r="173" s="9" customFormat="true" ht="26.25" hidden="false" customHeight="true" outlineLevel="0" collapsed="false"/>
    <row r="174" s="9" customFormat="true" ht="26.25" hidden="false" customHeight="true" outlineLevel="0" collapsed="false"/>
    <row r="175" s="9" customFormat="true" ht="26.25" hidden="false" customHeight="true" outlineLevel="0" collapsed="false"/>
    <row r="176" s="9" customFormat="true" ht="26.25" hidden="false" customHeight="true" outlineLevel="0" collapsed="false"/>
    <row r="177" s="9" customFormat="true" ht="26.25" hidden="false" customHeight="true" outlineLevel="0" collapsed="false"/>
    <row r="178" s="9" customFormat="true" ht="26.25" hidden="false" customHeight="true" outlineLevel="0" collapsed="false"/>
    <row r="179" s="9" customFormat="true" ht="26.25" hidden="false" customHeight="true" outlineLevel="0" collapsed="false"/>
    <row r="180" s="9" customFormat="true" ht="26.25" hidden="false" customHeight="true" outlineLevel="0" collapsed="false"/>
    <row r="181" s="9" customFormat="true" ht="26.25" hidden="false" customHeight="true" outlineLevel="0" collapsed="false"/>
    <row r="182" s="9" customFormat="true" ht="26.25" hidden="false" customHeight="true" outlineLevel="0" collapsed="false"/>
    <row r="183" s="9" customFormat="true" ht="26.25" hidden="false" customHeight="true" outlineLevel="0" collapsed="false"/>
    <row r="184" s="9" customFormat="true" ht="26.25" hidden="false" customHeight="true" outlineLevel="0" collapsed="false"/>
    <row r="185" s="9" customFormat="true" ht="26.25" hidden="false" customHeight="true" outlineLevel="0" collapsed="false"/>
    <row r="186" s="9" customFormat="true" ht="26.25" hidden="false" customHeight="true" outlineLevel="0" collapsed="false"/>
    <row r="187" s="9" customFormat="true" ht="26.25" hidden="false" customHeight="true" outlineLevel="0" collapsed="false"/>
    <row r="188" s="9" customFormat="true" ht="26.25" hidden="false" customHeight="true" outlineLevel="0" collapsed="false"/>
    <row r="189" s="9" customFormat="true" ht="26.25" hidden="false" customHeight="true" outlineLevel="0" collapsed="false"/>
    <row r="190" s="9" customFormat="true" ht="26.25" hidden="false" customHeight="true" outlineLevel="0" collapsed="false"/>
    <row r="191" s="9" customFormat="true" ht="26.25" hidden="false" customHeight="true" outlineLevel="0" collapsed="false"/>
    <row r="192" s="9" customFormat="true" ht="26.25" hidden="false" customHeight="true" outlineLevel="0" collapsed="false"/>
    <row r="193" s="9" customFormat="true" ht="26.25" hidden="false" customHeight="true" outlineLevel="0" collapsed="false"/>
    <row r="194" s="9" customFormat="true" ht="26.25" hidden="false" customHeight="true" outlineLevel="0" collapsed="false"/>
    <row r="195" s="9" customFormat="true" ht="26.25" hidden="false" customHeight="true" outlineLevel="0" collapsed="false"/>
    <row r="196" s="9" customFormat="true" ht="26.25" hidden="false" customHeight="true" outlineLevel="0" collapsed="false"/>
    <row r="197" s="9" customFormat="true" ht="26.25" hidden="false" customHeight="true" outlineLevel="0" collapsed="false"/>
    <row r="198" s="9" customFormat="true" ht="26.25" hidden="false" customHeight="true" outlineLevel="0" collapsed="false"/>
    <row r="199" s="9" customFormat="true" ht="26.25" hidden="false" customHeight="true" outlineLevel="0" collapsed="false"/>
    <row r="200" s="9" customFormat="true" ht="26.25" hidden="false" customHeight="true" outlineLevel="0" collapsed="false"/>
    <row r="201" s="9" customFormat="true" ht="26.25" hidden="false" customHeight="true" outlineLevel="0" collapsed="false"/>
    <row r="202" s="9" customFormat="true" ht="26.25" hidden="false" customHeight="true" outlineLevel="0" collapsed="false"/>
    <row r="203" s="9" customFormat="true" ht="26.25" hidden="false" customHeight="true" outlineLevel="0" collapsed="false"/>
    <row r="204" s="9" customFormat="true" ht="26.25" hidden="false" customHeight="true" outlineLevel="0" collapsed="false"/>
    <row r="206" s="9" customFormat="true" ht="26.25" hidden="false" customHeight="true" outlineLevel="0" collapsed="false"/>
    <row r="207" s="9" customFormat="true" ht="26.25" hidden="false" customHeight="true" outlineLevel="0" collapsed="false"/>
    <row r="208" s="9" customFormat="true" ht="26.25" hidden="false" customHeight="true" outlineLevel="0" collapsed="false"/>
    <row r="209" s="9" customFormat="true" ht="26.25" hidden="false" customHeight="true" outlineLevel="0" collapsed="false"/>
    <row r="210" s="9" customFormat="true" ht="26.25" hidden="false" customHeight="true" outlineLevel="0" collapsed="false"/>
    <row r="211" s="9" customFormat="true" ht="26.25" hidden="false" customHeight="true" outlineLevel="0" collapsed="false"/>
    <row r="212" s="9" customFormat="true" ht="26.25" hidden="false" customHeight="true" outlineLevel="0" collapsed="false"/>
    <row r="213" s="9" customFormat="true" ht="26.25" hidden="false" customHeight="true" outlineLevel="0" collapsed="false"/>
    <row r="214" s="9" customFormat="true" ht="26.25" hidden="false" customHeight="true" outlineLevel="0" collapsed="false"/>
    <row r="215" s="9" customFormat="true" ht="26.25" hidden="false" customHeight="true" outlineLevel="0" collapsed="false"/>
    <row r="216" s="9" customFormat="true" ht="26.25" hidden="false" customHeight="true" outlineLevel="0" collapsed="false"/>
    <row r="217" s="9" customFormat="true" ht="26.25" hidden="false" customHeight="true" outlineLevel="0" collapsed="false"/>
    <row r="218" s="9" customFormat="true" ht="26.25" hidden="false" customHeight="true" outlineLevel="0" collapsed="false"/>
    <row r="220" s="9" customFormat="true" ht="26.25" hidden="false" customHeight="true" outlineLevel="0" collapsed="false"/>
    <row r="221" s="9" customFormat="true" ht="26.25" hidden="false" customHeight="true" outlineLevel="0" collapsed="false"/>
    <row r="222" s="9" customFormat="true" ht="26.25" hidden="false" customHeight="true" outlineLevel="0" collapsed="false"/>
    <row r="223" s="9" customFormat="true" ht="26.25" hidden="false" customHeight="true" outlineLevel="0" collapsed="false"/>
    <row r="224" s="9" customFormat="true" ht="26.25" hidden="false" customHeight="true" outlineLevel="0" collapsed="false"/>
    <row r="225" s="9" customFormat="true" ht="26.25" hidden="false" customHeight="true" outlineLevel="0" collapsed="false"/>
    <row r="226" s="9" customFormat="true" ht="26.25" hidden="false" customHeight="true" outlineLevel="0" collapsed="false"/>
    <row r="227" s="9" customFormat="true" ht="26.25" hidden="false" customHeight="true" outlineLevel="0" collapsed="false"/>
    <row r="228" s="9" customFormat="true" ht="26.25" hidden="false" customHeight="true" outlineLevel="0" collapsed="false"/>
    <row r="229" s="9" customFormat="true" ht="26.25" hidden="false" customHeight="true" outlineLevel="0" collapsed="false"/>
    <row r="230" s="9" customFormat="true" ht="26.25" hidden="false" customHeight="true" outlineLevel="0" collapsed="false"/>
    <row r="231" s="9" customFormat="true" ht="26.25" hidden="false" customHeight="true" outlineLevel="0" collapsed="false"/>
    <row r="232" s="9" customFormat="true" ht="26.25" hidden="false" customHeight="true" outlineLevel="0" collapsed="false"/>
    <row r="233" s="9" customFormat="true" ht="26.25" hidden="false" customHeight="true" outlineLevel="0" collapsed="false"/>
    <row r="234" s="9" customFormat="true" ht="26.25" hidden="false" customHeight="true" outlineLevel="0" collapsed="false"/>
    <row r="235" s="9" customFormat="true" ht="26.25" hidden="false" customHeight="true" outlineLevel="0" collapsed="false"/>
    <row r="236" s="9" customFormat="true" ht="26.25" hidden="false" customHeight="true" outlineLevel="0" collapsed="false"/>
    <row r="237" s="9" customFormat="true" ht="26.25" hidden="false" customHeight="true" outlineLevel="0" collapsed="false"/>
    <row r="238" s="9" customFormat="true" ht="26.25" hidden="false" customHeight="true" outlineLevel="0" collapsed="false"/>
    <row r="239" s="9" customFormat="true" ht="26.25" hidden="false" customHeight="true" outlineLevel="0" collapsed="false"/>
    <row r="240" s="9" customFormat="true" ht="26.25" hidden="false" customHeight="true" outlineLevel="0" collapsed="false"/>
    <row r="241" s="9" customFormat="true" ht="26.25" hidden="false" customHeight="true" outlineLevel="0" collapsed="false"/>
    <row r="242" s="9" customFormat="true" ht="26.25" hidden="false" customHeight="true" outlineLevel="0" collapsed="false"/>
    <row r="243" s="9" customFormat="true" ht="26.25" hidden="false" customHeight="true" outlineLevel="0" collapsed="false"/>
    <row r="244" s="9" customFormat="true" ht="26.25" hidden="false" customHeight="true" outlineLevel="0" collapsed="false"/>
    <row r="245" s="9" customFormat="true" ht="26.25" hidden="false" customHeight="true" outlineLevel="0" collapsed="false"/>
    <row r="246" s="9" customFormat="true" ht="26.25" hidden="false" customHeight="true" outlineLevel="0" collapsed="false"/>
    <row r="247" s="9" customFormat="true" ht="26.25" hidden="false" customHeight="true" outlineLevel="0" collapsed="false"/>
    <row r="248" s="9" customFormat="true" ht="26.25" hidden="false" customHeight="true" outlineLevel="0" collapsed="false"/>
    <row r="249" s="9" customFormat="true" ht="26.25" hidden="false" customHeight="true" outlineLevel="0" collapsed="false"/>
    <row r="250" s="9" customFormat="true" ht="26.25" hidden="false" customHeight="true" outlineLevel="0" collapsed="false"/>
    <row r="251" s="9" customFormat="true" ht="26.25" hidden="false" customHeight="true" outlineLevel="0" collapsed="false"/>
    <row r="252" s="9" customFormat="true" ht="26.25" hidden="false" customHeight="true" outlineLevel="0" collapsed="false"/>
    <row r="253" s="9" customFormat="true" ht="26.25" hidden="false" customHeight="true" outlineLevel="0" collapsed="false"/>
    <row r="254" s="9" customFormat="true" ht="26.25" hidden="false" customHeight="true" outlineLevel="0" collapsed="false"/>
    <row r="255" s="9" customFormat="true" ht="26.25" hidden="false" customHeight="true" outlineLevel="0" collapsed="false"/>
    <row r="256" s="9" customFormat="true" ht="26.25" hidden="false" customHeight="true" outlineLevel="0" collapsed="false"/>
    <row r="257" s="9" customFormat="true" ht="26.25" hidden="false" customHeight="true" outlineLevel="0" collapsed="false"/>
    <row r="258" s="9" customFormat="true" ht="26.25" hidden="false" customHeight="true" outlineLevel="0" collapsed="false"/>
    <row r="259" s="9" customFormat="true" ht="26.25" hidden="false" customHeight="true" outlineLevel="0" collapsed="false"/>
    <row r="260" s="9" customFormat="true" ht="26.25" hidden="false" customHeight="true" outlineLevel="0" collapsed="false"/>
    <row r="261" s="9" customFormat="true" ht="26.25" hidden="false" customHeight="true" outlineLevel="0" collapsed="false"/>
    <row r="262" s="9" customFormat="true" ht="26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F1" activeCellId="0" sqref="F1"/>
    </sheetView>
  </sheetViews>
  <sheetFormatPr defaultColWidth="4.78125" defaultRowHeight="26.25" customHeight="true" zeroHeight="false" outlineLevelRow="0" outlineLevelCol="0"/>
  <cols>
    <col collapsed="false" customWidth="true" hidden="false" outlineLevel="0" max="1" min="1" style="10" width="4.07"/>
    <col collapsed="false" customWidth="true" hidden="false" outlineLevel="0" max="2" min="2" style="1" width="11.28"/>
    <col collapsed="false" customWidth="true" hidden="false" outlineLevel="0" max="3" min="3" style="1" width="3.78"/>
    <col collapsed="false" customWidth="true" hidden="false" outlineLevel="0" max="4" min="4" style="1" width="5.78"/>
    <col collapsed="false" customWidth="true" hidden="false" outlineLevel="0" max="5" min="5" style="82" width="6.17"/>
    <col collapsed="false" customWidth="true" hidden="false" outlineLevel="0" max="9" min="6" style="67" width="6.52"/>
    <col collapsed="false" customWidth="true" hidden="false" outlineLevel="0" max="10" min="10" style="69" width="6.52"/>
    <col collapsed="false" customWidth="true" hidden="false" outlineLevel="0" max="11" min="11" style="67" width="6.78"/>
    <col collapsed="false" customWidth="false" hidden="false" outlineLevel="0" max="12" min="12" style="7" width="4.78"/>
    <col collapsed="false" customWidth="true" hidden="false" outlineLevel="0" max="13" min="13" style="50" width="8.78"/>
    <col collapsed="false" customWidth="false" hidden="false" outlineLevel="0" max="15" min="14" style="1" width="4.78"/>
    <col collapsed="false" customWidth="true" hidden="false" outlineLevel="0" max="16" min="16" style="7" width="4.98"/>
    <col collapsed="false" customWidth="true" hidden="false" outlineLevel="0" max="22" min="17" style="7" width="5.78"/>
    <col collapsed="false" customWidth="true" hidden="false" outlineLevel="0" max="23" min="23" style="33" width="6.28"/>
    <col collapsed="false" customWidth="true" hidden="false" outlineLevel="0" max="24" min="24" style="1" width="4.28"/>
    <col collapsed="false" customWidth="true" hidden="false" outlineLevel="0" max="25" min="25" style="83" width="4.28"/>
    <col collapsed="false" customWidth="true" hidden="false" outlineLevel="0" max="26" min="26" style="32" width="7.19"/>
    <col collapsed="false" customWidth="false" hidden="false" outlineLevel="0" max="16323" min="27" style="7" width="4.78"/>
    <col collapsed="false" customWidth="true" hidden="false" outlineLevel="0" max="16384" min="16324" style="7" width="8.79"/>
  </cols>
  <sheetData>
    <row r="1" s="14" customFormat="true" ht="34.5" hidden="false" customHeight="true" outlineLevel="0" collapsed="false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76" t="s">
        <v>253</v>
      </c>
      <c r="G1" s="76" t="s">
        <v>254</v>
      </c>
      <c r="H1" s="76" t="s">
        <v>255</v>
      </c>
      <c r="I1" s="76" t="s">
        <v>256</v>
      </c>
      <c r="J1" s="76" t="s">
        <v>257</v>
      </c>
      <c r="K1" s="73" t="s">
        <v>5</v>
      </c>
      <c r="L1" s="14" t="s">
        <v>9</v>
      </c>
      <c r="M1" s="74" t="s">
        <v>140</v>
      </c>
      <c r="N1" s="14" t="s">
        <v>132</v>
      </c>
      <c r="O1" s="14" t="s">
        <v>133</v>
      </c>
      <c r="P1" s="14" t="s">
        <v>205</v>
      </c>
      <c r="Q1" s="14" t="s">
        <v>206</v>
      </c>
      <c r="R1" s="14" t="s">
        <v>207</v>
      </c>
      <c r="S1" s="14" t="s">
        <v>208</v>
      </c>
      <c r="T1" s="14" t="s">
        <v>258</v>
      </c>
      <c r="U1" s="14" t="str">
        <f aca="false">'기본-투수'!AC1</f>
        <v>ERA+</v>
      </c>
      <c r="V1" s="14" t="str">
        <f aca="false">'기본-투수'!AD1</f>
        <v>FIP+</v>
      </c>
      <c r="W1" s="84" t="s">
        <v>30</v>
      </c>
      <c r="X1" s="14" t="s">
        <v>259</v>
      </c>
      <c r="Y1" s="14" t="s">
        <v>260</v>
      </c>
      <c r="Z1" s="14" t="s">
        <v>261</v>
      </c>
    </row>
    <row r="2" customFormat="false" ht="26.25" hidden="false" customHeight="true" outlineLevel="0" collapsed="false">
      <c r="A2" s="85" t="n">
        <f aca="false">'기본-투수'!A2</f>
        <v>0</v>
      </c>
      <c r="B2" s="24" t="str">
        <f aca="false">'기본-투수'!B2</f>
        <v>황동하</v>
      </c>
      <c r="C2" s="24" t="str">
        <f aca="false">'기본-투수'!C2</f>
        <v>SP</v>
      </c>
      <c r="D2" s="24" t="str">
        <f aca="false">'기본-투수'!D2</f>
        <v>KIA</v>
      </c>
      <c r="E2" s="44" t="n">
        <f aca="false">'기본-투수'!E2</f>
        <v>2026</v>
      </c>
      <c r="F2" s="45" t="n">
        <f aca="false">ROUND((0.54*G2)+(0.25*H2)+(1.46*W2)+0.21,2)</f>
        <v>4.57</v>
      </c>
      <c r="G2" s="45" t="n">
        <f aca="false">ROUND(('연도별 상수'!$Y$45*(P2*(R2/100)*('리그 투수'!$W$45/100))+'연도별 상수'!$Z$45*('기본-투수'!U2+'기본-투수'!V2)+'연도별 상수'!$AA$45*'기본-투수'!X2)/('기본-투수'!P2/('리그 타자'!$C$45/'리그 투수'!$D$45))+'연도별 상수'!$V$45,2)</f>
        <v>4.91</v>
      </c>
      <c r="H2" s="45" t="n">
        <f aca="false">ROUND('리그 투수'!$V$45-16.986*('기본-투수'!X2/'기본-투수'!P2)+11.434*('기본-투수'!U2/'기본-투수'!P2)-1.858*((P2*Q2/100)/'기본-투수'!P2)+7.653*('기본-투수'!X2/'기본-투수'!P2)^2-6.664*((P2*Q2/100)/'기본-투수'!P2)*('기본-투수'!X2/'기본-투수'!P2)+7.374*((P2*Q2/100)/'기본-투수'!P2)*('기본-투수'!U2/'기본-투수'!P2)-7.706*((P2*Q2/100)/'기본-투수'!P2)*('기본-투수'!X2/'기본-투수'!P2)^2,2)</f>
        <v>4.82</v>
      </c>
      <c r="I2" s="45" t="n">
        <f aca="false">ROUND(('연도별 상수'!$Y$45*'기본-투수'!T2+'연도별 상수'!$Z$45*('기본-투수'!U2+'기본-투수'!V2)+'연도별 상수'!$AA$45*'기본-투수'!X2)/('기본-투수'!P2/('리그 타자'!$C$45/'리그 투수'!$D$45))+'연도별 상수'!$V$45,2)</f>
        <v>5.63</v>
      </c>
      <c r="J2" s="45" t="n">
        <f aca="false">ROUND(W2^2*('리그 투수'!$P$45/('리그 타자'!$B$45^2))/'기본-투수'!AE2,2)</f>
        <v>4.84</v>
      </c>
      <c r="K2" s="45" t="n">
        <f aca="false">'기본-투수'!F2</f>
        <v>0.04</v>
      </c>
      <c r="L2" s="9" t="n">
        <f aca="false">'기본-투수'!G2</f>
        <v>18</v>
      </c>
      <c r="M2" s="86" t="n">
        <f aca="false">'기본-투수'!M2</f>
        <v>68</v>
      </c>
      <c r="N2" s="24" t="n">
        <f aca="false">ROUND(100*'기본-투수'!X2/'기본-투수'!P2,1)</f>
        <v>17.1</v>
      </c>
      <c r="O2" s="24" t="n">
        <f aca="false">ROUND(100*'기본-투수'!U2/'기본-투수'!P2,1)</f>
        <v>9.2</v>
      </c>
      <c r="P2" s="87" t="n">
        <f aca="false">'기본-투수'!AG2</f>
        <v>201</v>
      </c>
      <c r="Q2" s="87" t="n">
        <f aca="false">'기본-투수'!AH2</f>
        <v>40.8</v>
      </c>
      <c r="R2" s="87" t="n">
        <f aca="false">'기본-투수'!AI2</f>
        <v>48.4</v>
      </c>
      <c r="S2" s="87" t="n">
        <f aca="false">'기본-투수'!AJ2</f>
        <v>10.8</v>
      </c>
      <c r="T2" s="60" t="n">
        <f aca="false">ROUND(Q2/R2,1)</f>
        <v>0.8</v>
      </c>
      <c r="U2" s="9" t="str">
        <f aca="false">'기본-투수'!AC2</f>
        <v>100.8</v>
      </c>
      <c r="V2" s="9" t="str">
        <f aca="false">'기본-투수'!AD2</f>
        <v>70.8</v>
      </c>
      <c r="W2" s="46" t="n">
        <f aca="false">ROUND((('연도별 상수'!$N$45*('기본-투수'!U2-'기본-투수'!W2))+('연도별 상수'!$O$45*'기본-투수'!V2)+('연도별 상수'!$P$45*('기본-투수'!Q2-'기본-투수'!R2-'기본-투수'!S2-'기본-투수'!T2))+('연도별 상수'!$Q$45*'기본-투수'!R2)+('연도별 상수'!$R$44*'기본-투수'!S2)+('연도별 상수'!$S$45*'기본-투수'!T2))/('기본-투수'!P2-'기본-투수'!W2),3)</f>
        <v>0.345</v>
      </c>
      <c r="X2" s="24" t="n">
        <f aca="false">ROUND(50+15*((50-(ROUND((1-(_xlfn.RANK.EQ(G2,G$2:G$278,1)-1)/(COUNT(G$2:G$278)-1))*100,0)*0.3+ROUND((1-(_xlfn.RANK.EQ(H2,H$2:H$278,1)-1)/(COUNT(H$2:H$278)-1))*100,0)*0.25+ROUND((1-(_xlfn.RANK.EQ(I2,I$2:I$278,1)-1)/(COUNT(I$2:I$278)-1))*100,0)*0.25+ROUND((1-(_xlfn.RANK.EQ(J2,J$2:J$278,1)-1)/(COUNT(J$2:J$278)-1))*100,0)*0.2))/21.13),1)</f>
        <v>75.8</v>
      </c>
      <c r="Y2" s="24" t="n">
        <f aca="false">ROUND(_xlfn.NORM.DIST(X2,50,15,TRUE())*100,1)+1</f>
        <v>96.7</v>
      </c>
      <c r="Z2" s="88" t="n">
        <f aca="false">IF((50+_xlfn.NORM.S.INV(1-Y2/100)*10)&gt;=50,_xlfn.FLOOR.MATH((50+_xlfn.NORM.S.INV(1-Y2/100)*10),5),_xlfn.CEILING.MATH((50+_xlfn.NORM.S.INV(1-Y2/100)*10),5))</f>
        <v>35</v>
      </c>
    </row>
    <row r="3" customFormat="false" ht="26.25" hidden="false" customHeight="true" outlineLevel="0" collapsed="false">
      <c r="A3" s="85" t="n">
        <f aca="false">'기본-투수'!A3</f>
        <v>1</v>
      </c>
      <c r="B3" s="24" t="str">
        <f aca="false">'기본-투수'!B3</f>
        <v>올러</v>
      </c>
      <c r="C3" s="24" t="str">
        <f aca="false">'기본-투수'!C3</f>
        <v>SP</v>
      </c>
      <c r="D3" s="24" t="str">
        <f aca="false">'기본-투수'!D3</f>
        <v>KIA</v>
      </c>
      <c r="E3" s="44" t="n">
        <f aca="false">'기본-투수'!E3</f>
        <v>2026</v>
      </c>
      <c r="F3" s="45" t="n">
        <f aca="false">ROUND((0.54*G3)+(0.25*H3)+(1.46*W3)+0.21,2)</f>
        <v>3.19</v>
      </c>
      <c r="G3" s="45" t="n">
        <f aca="false">ROUND(('연도별 상수'!$Y$45*(P3*(R3/100)*('리그 투수'!$W$45/100))+'연도별 상수'!$Z$45*('기본-투수'!U3+'기본-투수'!V3)+'연도별 상수'!$AA$45*'기본-투수'!X3)/('기본-투수'!P3/('리그 타자'!$C$45/'리그 투수'!$D$45))+'연도별 상수'!$V$45,2)</f>
        <v>3.41</v>
      </c>
      <c r="H3" s="45" t="n">
        <f aca="false">ROUND('리그 투수'!$V$45-16.986*('기본-투수'!X3/'기본-투수'!P3)+11.434*('기본-투수'!U3/'기본-투수'!P3)-1.858*((P3*Q3/100)/'기본-투수'!P3)+7.653*('기본-투수'!X3/'기본-투수'!P3)^2-6.664*((P3*Q3/100)/'기본-투수'!P3)*('기본-투수'!X3/'기본-투수'!P3)+7.374*((P3*Q3/100)/'기본-투수'!P3)*('기본-투수'!U3/'기본-투수'!P3)-7.706*((P3*Q3/100)/'기본-투수'!P3)*('기본-투수'!X3/'기본-투수'!P3)^2,2)</f>
        <v>3.08</v>
      </c>
      <c r="I3" s="45" t="n">
        <f aca="false">ROUND(('연도별 상수'!$Y$45*'기본-투수'!T3+'연도별 상수'!$Z$45*('기본-투수'!U3+'기본-투수'!V3)+'연도별 상수'!$AA$45*'기본-투수'!X3)/('기본-투수'!P3/('리그 타자'!$C$45/'리그 투수'!$D$45))+'연도별 상수'!$V$45,2)</f>
        <v>3.2</v>
      </c>
      <c r="J3" s="45" t="n">
        <f aca="false">ROUND(W3^2*('리그 투수'!$P$45/('리그 타자'!$B$45^2))/'기본-투수'!AE3,2)</f>
        <v>2.56</v>
      </c>
      <c r="K3" s="45" t="n">
        <f aca="false">'기본-투수'!F3</f>
        <v>2.64</v>
      </c>
      <c r="L3" s="9" t="n">
        <f aca="false">'기본-투수'!G3</f>
        <v>14</v>
      </c>
      <c r="M3" s="86" t="n">
        <f aca="false">'기본-투수'!M3</f>
        <v>87.3333333333333</v>
      </c>
      <c r="N3" s="24" t="n">
        <f aca="false">ROUND(100*'기본-투수'!X3/'기본-투수'!P3,1)</f>
        <v>26.7</v>
      </c>
      <c r="O3" s="24" t="n">
        <f aca="false">ROUND(100*'기본-투수'!U3/'기본-투수'!P3,1)</f>
        <v>7.8</v>
      </c>
      <c r="P3" s="87" t="n">
        <f aca="false">'기본-투수'!AG3</f>
        <v>209</v>
      </c>
      <c r="Q3" s="87" t="n">
        <f aca="false">'기본-투수'!AH3</f>
        <v>44.5</v>
      </c>
      <c r="R3" s="87" t="n">
        <f aca="false">'기본-투수'!AI3</f>
        <v>43.2</v>
      </c>
      <c r="S3" s="87" t="n">
        <f aca="false">'기본-투수'!AJ3</f>
        <v>12.3</v>
      </c>
      <c r="T3" s="60" t="n">
        <f aca="false">ROUND(Q3/R3,1)</f>
        <v>1</v>
      </c>
      <c r="U3" s="9" t="str">
        <f aca="false">'기본-투수'!AC3</f>
        <v>141.5</v>
      </c>
      <c r="V3" s="9" t="str">
        <f aca="false">'기본-투수'!AD3</f>
        <v>123.3</v>
      </c>
      <c r="W3" s="46" t="n">
        <f aca="false">ROUND((('연도별 상수'!$N$45*('기본-투수'!U3-'기본-투수'!W3))+('연도별 상수'!$O$45*'기본-투수'!V3)+('연도별 상수'!$P$45*('기본-투수'!Q3-'기본-투수'!R3-'기본-투수'!S3-'기본-투수'!T3))+('연도별 상수'!$Q$45*'기본-투수'!R3)+('연도별 상수'!$R$44*'기본-투수'!S3)+('연도별 상수'!$S$45*'기본-투수'!T3))/('기본-투수'!P3-'기본-투수'!W3),3)</f>
        <v>0.251</v>
      </c>
      <c r="X3" s="24" t="n">
        <f aca="false">ROUND(50+15*((50-(ROUND((1-(_xlfn.RANK.EQ(G3,G$2:G$278,1)-1)/(COUNT(G$2:G$278)-1))*100,0)*0.3+ROUND((1-(_xlfn.RANK.EQ(H3,H$2:H$278,1)-1)/(COUNT(H$2:H$278)-1))*100,0)*0.25+ROUND((1-(_xlfn.RANK.EQ(I3,I$2:I$278,1)-1)/(COUNT(I$2:I$278)-1))*100,0)*0.25+ROUND((1-(_xlfn.RANK.EQ(J3,J$2:J$278,1)-1)/(COUNT(J$2:J$278)-1))*100,0)*0.2))/21.13),1)</f>
        <v>19.9</v>
      </c>
      <c r="Y3" s="24" t="n">
        <f aca="false">ROUND(_xlfn.NORM.DIST(X3,50,15,TRUE())*100,1)+1</f>
        <v>3.2</v>
      </c>
      <c r="Z3" s="88" t="n">
        <f aca="false">IF((50+_xlfn.NORM.S.INV(1-Y3/100)*10)&gt;=50,_xlfn.FLOOR.MATH((50+_xlfn.NORM.S.INV(1-Y3/100)*10),5),_xlfn.CEILING.MATH((50+_xlfn.NORM.S.INV(1-Y3/100)*10),5))</f>
        <v>65</v>
      </c>
    </row>
    <row r="4" customFormat="false" ht="26.25" hidden="false" customHeight="true" outlineLevel="0" collapsed="false">
      <c r="A4" s="85" t="n">
        <f aca="false">'기본-투수'!A4</f>
        <v>2</v>
      </c>
      <c r="B4" s="24" t="str">
        <f aca="false">'기본-투수'!B4</f>
        <v>알칸타라</v>
      </c>
      <c r="C4" s="24" t="str">
        <f aca="false">'기본-투수'!C4</f>
        <v>SP</v>
      </c>
      <c r="D4" s="24" t="str">
        <f aca="false">'기본-투수'!D4</f>
        <v>KIW</v>
      </c>
      <c r="E4" s="44" t="n">
        <f aca="false">'기본-투수'!E4</f>
        <v>2026</v>
      </c>
      <c r="F4" s="45" t="n">
        <f aca="false">ROUND((0.54*G4)+(0.25*H4)+(1.46*W4)+0.21,2)</f>
        <v>3.25</v>
      </c>
      <c r="G4" s="45" t="n">
        <f aca="false">ROUND(('연도별 상수'!$Y$45*(P4*(R4/100)*('리그 투수'!$W$45/100))+'연도별 상수'!$Z$45*('기본-투수'!U4+'기본-투수'!V4)+'연도별 상수'!$AA$45*'기본-투수'!X4)/('기본-투수'!P4/('리그 타자'!$C$45/'리그 투수'!$D$45))+'연도별 상수'!$V$45,2)</f>
        <v>3.34</v>
      </c>
      <c r="H4" s="45" t="n">
        <f aca="false">ROUND('리그 투수'!$V$45-16.986*('기본-투수'!X4/'기본-투수'!P4)+11.434*('기본-투수'!U4/'기본-투수'!P4)-1.858*((P4*Q4/100)/'기본-투수'!P4)+7.653*('기본-투수'!X4/'기본-투수'!P4)^2-6.664*((P4*Q4/100)/'기본-투수'!P4)*('기본-투수'!X4/'기본-투수'!P4)+7.374*((P4*Q4/100)/'기본-투수'!P4)*('기본-투수'!U4/'기본-투수'!P4)-7.706*((P4*Q4/100)/'기본-투수'!P4)*('기본-투수'!X4/'기본-투수'!P4)^2,2)</f>
        <v>3.18</v>
      </c>
      <c r="I4" s="45" t="n">
        <f aca="false">ROUND(('연도별 상수'!$Y$45*'기본-투수'!T4+'연도별 상수'!$Z$45*('기본-투수'!U4+'기본-투수'!V4)+'연도별 상수'!$AA$45*'기본-투수'!X4)/('기본-투수'!P4/('리그 타자'!$C$45/'리그 투수'!$D$45))+'연도별 상수'!$V$45,2)</f>
        <v>3.64</v>
      </c>
      <c r="J4" s="45" t="n">
        <f aca="false">ROUND(W4^2*('리그 투수'!$P$45/('리그 타자'!$B$45^2))/'기본-투수'!AE4,2)</f>
        <v>3.72</v>
      </c>
      <c r="K4" s="45" t="n">
        <f aca="false">'기본-투수'!F4</f>
        <v>2.34</v>
      </c>
      <c r="L4" s="9" t="n">
        <f aca="false">'기본-투수'!G4</f>
        <v>14</v>
      </c>
      <c r="M4" s="86" t="n">
        <f aca="false">'기본-투수'!M4</f>
        <v>92</v>
      </c>
      <c r="N4" s="24" t="n">
        <f aca="false">ROUND(100*'기본-투수'!X4/'기본-투수'!P4,1)</f>
        <v>21.8</v>
      </c>
      <c r="O4" s="24" t="n">
        <f aca="false">ROUND(100*'기본-투수'!U4/'기본-투수'!P4,1)</f>
        <v>3.5</v>
      </c>
      <c r="P4" s="87" t="n">
        <f aca="false">'기본-투수'!AG4</f>
        <v>262</v>
      </c>
      <c r="Q4" s="87" t="n">
        <f aca="false">'기본-투수'!AH4</f>
        <v>42.9</v>
      </c>
      <c r="R4" s="87" t="n">
        <f aca="false">'기본-투수'!AI4</f>
        <v>41.1</v>
      </c>
      <c r="S4" s="87" t="n">
        <f aca="false">'기본-투수'!AJ4</f>
        <v>16</v>
      </c>
      <c r="T4" s="60" t="n">
        <f aca="false">ROUND(Q4/R4,1)</f>
        <v>1</v>
      </c>
      <c r="U4" s="9" t="str">
        <f aca="false">'기본-투수'!AC4</f>
        <v>134.0</v>
      </c>
      <c r="V4" s="9" t="str">
        <f aca="false">'기본-투수'!AD4</f>
        <v>115.3</v>
      </c>
      <c r="W4" s="46" t="n">
        <f aca="false">ROUND((('연도별 상수'!$N$45*('기본-투수'!U4-'기본-투수'!W4))+('연도별 상수'!$O$45*'기본-투수'!V4)+('연도별 상수'!$P$45*('기본-투수'!Q4-'기본-투수'!R4-'기본-투수'!S4-'기본-투수'!T4))+('연도별 상수'!$Q$45*'기본-투수'!R4)+('연도별 상수'!$R$44*'기본-투수'!S4)+('연도별 상수'!$S$45*'기본-투수'!T4))/('기본-투수'!P4-'기본-투수'!W4),3)</f>
        <v>0.304</v>
      </c>
      <c r="X4" s="24" t="n">
        <f aca="false">ROUND(50+15*((50-(ROUND((1-(_xlfn.RANK.EQ(G4,G$2:G$278,1)-1)/(COUNT(G$2:G$278)-1))*100,0)*0.3+ROUND((1-(_xlfn.RANK.EQ(H4,H$2:H$278,1)-1)/(COUNT(H$2:H$278)-1))*100,0)*0.25+ROUND((1-(_xlfn.RANK.EQ(I4,I$2:I$278,1)-1)/(COUNT(I$2:I$278)-1))*100,0)*0.25+ROUND((1-(_xlfn.RANK.EQ(J4,J$2:J$278,1)-1)/(COUNT(J$2:J$278)-1))*100,0)*0.2))/21.13),1)</f>
        <v>25.6</v>
      </c>
      <c r="Y4" s="24" t="n">
        <f aca="false">ROUND(_xlfn.NORM.DIST(X4,50,15,TRUE())*100,1)+1</f>
        <v>6.2</v>
      </c>
      <c r="Z4" s="88" t="n">
        <f aca="false">IF((50+_xlfn.NORM.S.INV(1-Y4/100)*10)&gt;=50,_xlfn.FLOOR.MATH((50+_xlfn.NORM.S.INV(1-Y4/100)*10),5),_xlfn.CEILING.MATH((50+_xlfn.NORM.S.INV(1-Y4/100)*10),5))</f>
        <v>65</v>
      </c>
    </row>
    <row r="5" customFormat="false" ht="26.25" hidden="false" customHeight="true" outlineLevel="0" collapsed="false">
      <c r="A5" s="85" t="n">
        <f aca="false">'기본-투수'!A5</f>
        <v>3</v>
      </c>
      <c r="B5" s="24" t="str">
        <f aca="false">'기본-투수'!B5</f>
        <v>류현진</v>
      </c>
      <c r="C5" s="24" t="str">
        <f aca="false">'기본-투수'!C5</f>
        <v>SP</v>
      </c>
      <c r="D5" s="24" t="str">
        <f aca="false">'기본-투수'!D5</f>
        <v>HAN</v>
      </c>
      <c r="E5" s="44" t="n">
        <f aca="false">'기본-투수'!E5</f>
        <v>2026</v>
      </c>
      <c r="F5" s="45" t="n">
        <f aca="false">ROUND((0.54*G5)+(0.25*H5)+(1.46*W5)+0.21,2)</f>
        <v>3.28</v>
      </c>
      <c r="G5" s="45" t="n">
        <f aca="false">ROUND(('연도별 상수'!$Y$45*(P5*(R5/100)*('리그 투수'!$W$45/100))+'연도별 상수'!$Z$45*('기본-투수'!U5+'기본-투수'!V5)+'연도별 상수'!$AA$45*'기본-투수'!X5)/('기본-투수'!P5/('리그 타자'!$C$45/'리그 투수'!$D$45))+'연도별 상수'!$V$45,2)</f>
        <v>3.39</v>
      </c>
      <c r="H5" s="45" t="n">
        <f aca="false">ROUND('리그 투수'!$V$45-16.986*('기본-투수'!X5/'기본-투수'!P5)+11.434*('기본-투수'!U5/'기본-투수'!P5)-1.858*((P5*Q5/100)/'기본-투수'!P5)+7.653*('기본-투수'!X5/'기본-투수'!P5)^2-6.664*((P5*Q5/100)/'기본-투수'!P5)*('기본-투수'!X5/'기본-투수'!P5)+7.374*((P5*Q5/100)/'기본-투수'!P5)*('기본-투수'!U5/'기본-투수'!P5)-7.706*((P5*Q5/100)/'기본-투수'!P5)*('기본-투수'!X5/'기본-투수'!P5)^2,2)</f>
        <v>3.33</v>
      </c>
      <c r="I5" s="45" t="n">
        <f aca="false">ROUND(('연도별 상수'!$Y$45*'기본-투수'!T5+'연도별 상수'!$Z$45*('기본-투수'!U5+'기본-투수'!V5)+'연도별 상수'!$AA$45*'기본-투수'!X5)/('기본-투수'!P5/('리그 타자'!$C$45/'리그 투수'!$D$45))+'연도별 상수'!$V$45,2)</f>
        <v>2.96</v>
      </c>
      <c r="J5" s="45" t="n">
        <f aca="false">ROUND(W5^2*('리그 투수'!$P$45/('리그 타자'!$B$45^2))/'기본-투수'!AE5,2)</f>
        <v>2.64</v>
      </c>
      <c r="K5" s="45" t="n">
        <f aca="false">'기본-투수'!F5</f>
        <v>2.43</v>
      </c>
      <c r="L5" s="9" t="n">
        <f aca="false">'기본-투수'!G5</f>
        <v>13</v>
      </c>
      <c r="M5" s="86" t="n">
        <f aca="false">'기본-투수'!M5</f>
        <v>75.6666666666667</v>
      </c>
      <c r="N5" s="24" t="n">
        <f aca="false">ROUND(100*'기본-투수'!X5/'기본-투수'!P5,1)</f>
        <v>19.9</v>
      </c>
      <c r="O5" s="24" t="n">
        <f aca="false">ROUND(100*'기본-투수'!U5/'기본-투수'!P5,1)</f>
        <v>3.3</v>
      </c>
      <c r="P5" s="87" t="n">
        <f aca="false">'기본-투수'!AG5</f>
        <v>222</v>
      </c>
      <c r="Q5" s="87" t="n">
        <f aca="false">'기본-투수'!AH5</f>
        <v>47.6</v>
      </c>
      <c r="R5" s="87" t="n">
        <f aca="false">'기본-투수'!AI5</f>
        <v>35.6</v>
      </c>
      <c r="S5" s="87" t="n">
        <f aca="false">'기본-투수'!AJ5</f>
        <v>16.7</v>
      </c>
      <c r="T5" s="60" t="n">
        <f aca="false">ROUND(Q5/R5,1)</f>
        <v>1.3</v>
      </c>
      <c r="U5" s="9" t="str">
        <f aca="false">'기본-투수'!AC5</f>
        <v>148.5</v>
      </c>
      <c r="V5" s="9" t="str">
        <f aca="false">'기본-투수'!AD5</f>
        <v>140.9</v>
      </c>
      <c r="W5" s="46" t="n">
        <f aca="false">ROUND((('연도별 상수'!$N$45*('기본-투수'!U5-'기본-투수'!W5))+('연도별 상수'!$O$45*'기본-투수'!V5)+('연도별 상수'!$P$45*('기본-투수'!Q5-'기본-투수'!R5-'기본-투수'!S5-'기본-투수'!T5))+('연도별 상수'!$Q$45*'기본-투수'!R5)+('연도별 상수'!$R$44*'기본-투수'!S5)+('연도별 상수'!$S$45*'기본-투수'!T5))/('기본-투수'!P5-'기본-투수'!W5),3)</f>
        <v>0.28</v>
      </c>
      <c r="X5" s="24" t="n">
        <f aca="false">ROUND(50+15*((50-(ROUND((1-(_xlfn.RANK.EQ(G5,G$2:G$278,1)-1)/(COUNT(G$2:G$278)-1))*100,0)*0.3+ROUND((1-(_xlfn.RANK.EQ(H5,H$2:H$278,1)-1)/(COUNT(H$2:H$278)-1))*100,0)*0.25+ROUND((1-(_xlfn.RANK.EQ(I5,I$2:I$278,1)-1)/(COUNT(I$2:I$278)-1))*100,0)*0.25+ROUND((1-(_xlfn.RANK.EQ(J5,J$2:J$278,1)-1)/(COUNT(J$2:J$278)-1))*100,0)*0.2))/21.13),1)</f>
        <v>19.9</v>
      </c>
      <c r="Y5" s="24" t="n">
        <f aca="false">ROUND(_xlfn.NORM.DIST(X5,50,15,TRUE())*100,1)+1</f>
        <v>3.2</v>
      </c>
      <c r="Z5" s="88" t="n">
        <f aca="false">IF((50+_xlfn.NORM.S.INV(1-Y5/100)*10)&gt;=50,_xlfn.FLOOR.MATH((50+_xlfn.NORM.S.INV(1-Y5/100)*10),5),_xlfn.CEILING.MATH((50+_xlfn.NORM.S.INV(1-Y5/100)*10),5))</f>
        <v>65</v>
      </c>
    </row>
    <row r="6" customFormat="false" ht="26.25" hidden="false" customHeight="true" outlineLevel="0" collapsed="false">
      <c r="A6" s="85" t="n">
        <f aca="false">'기본-투수'!A6</f>
        <v>4</v>
      </c>
      <c r="B6" s="24" t="str">
        <f aca="false">'기본-투수'!B6</f>
        <v>곽빈</v>
      </c>
      <c r="C6" s="24" t="str">
        <f aca="false">'기본-투수'!C6</f>
        <v>SP</v>
      </c>
      <c r="D6" s="24" t="str">
        <f aca="false">'기본-투수'!D6</f>
        <v>DOO</v>
      </c>
      <c r="E6" s="44" t="n">
        <f aca="false">'기본-투수'!E6</f>
        <v>2026</v>
      </c>
      <c r="F6" s="45" t="n">
        <f aca="false">ROUND((0.54*G6)+(0.25*H6)+(1.46*W6)+0.21,2)</f>
        <v>3.12</v>
      </c>
      <c r="G6" s="45" t="n">
        <f aca="false">ROUND(('연도별 상수'!$Y$45*(P6*(R6/100)*('리그 투수'!$W$45/100))+'연도별 상수'!$Z$45*('기본-투수'!U6+'기본-투수'!V6)+'연도별 상수'!$AA$45*'기본-투수'!X6)/('기본-투수'!P6/('리그 타자'!$C$45/'리그 투수'!$D$45))+'연도별 상수'!$V$45,2)</f>
        <v>3.2</v>
      </c>
      <c r="H6" s="45" t="n">
        <f aca="false">ROUND('리그 투수'!$V$45-16.986*('기본-투수'!X6/'기본-투수'!P6)+11.434*('기본-투수'!U6/'기본-투수'!P6)-1.858*((P6*Q6/100)/'기본-투수'!P6)+7.653*('기본-투수'!X6/'기본-투수'!P6)^2-6.664*((P6*Q6/100)/'기본-투수'!P6)*('기본-투수'!X6/'기본-투수'!P6)+7.374*((P6*Q6/100)/'기본-투수'!P6)*('기본-투수'!U6/'기본-투수'!P6)-7.706*((P6*Q6/100)/'기본-투수'!P6)*('기본-투수'!X6/'기본-투수'!P6)^2,2)</f>
        <v>2.93</v>
      </c>
      <c r="I6" s="45" t="n">
        <f aca="false">ROUND(('연도별 상수'!$Y$45*'기본-투수'!T6+'연도별 상수'!$Z$45*('기본-투수'!U6+'기본-투수'!V6)+'연도별 상수'!$AA$45*'기본-투수'!X6)/('기본-투수'!P6/('리그 타자'!$C$45/'리그 투수'!$D$45))+'연도별 상수'!$V$45,2)</f>
        <v>2.85</v>
      </c>
      <c r="J6" s="45" t="n">
        <f aca="false">ROUND(W6^2*('리그 투수'!$P$45/('리그 타자'!$B$45^2))/'기본-투수'!AE6,2)</f>
        <v>4.06</v>
      </c>
      <c r="K6" s="45" t="n">
        <f aca="false">'기본-투수'!F6</f>
        <v>2.11</v>
      </c>
      <c r="L6" s="9" t="n">
        <f aca="false">'기본-투수'!G6</f>
        <v>14</v>
      </c>
      <c r="M6" s="86" t="n">
        <f aca="false">'기본-투수'!M6</f>
        <v>78</v>
      </c>
      <c r="N6" s="24" t="n">
        <f aca="false">ROUND(100*'기본-투수'!X6/'기본-투수'!P6,1)</f>
        <v>28.1</v>
      </c>
      <c r="O6" s="24" t="n">
        <f aca="false">ROUND(100*'기본-투수'!U6/'기본-투수'!P6,1)</f>
        <v>7.7</v>
      </c>
      <c r="P6" s="87" t="n">
        <f aca="false">'기본-투수'!AG6</f>
        <v>208</v>
      </c>
      <c r="Q6" s="87" t="n">
        <f aca="false">'기본-투수'!AH6</f>
        <v>40.4</v>
      </c>
      <c r="R6" s="87" t="n">
        <f aca="false">'기본-투수'!AI6</f>
        <v>42.3</v>
      </c>
      <c r="S6" s="87" t="n">
        <f aca="false">'기본-투수'!AJ6</f>
        <v>17.4</v>
      </c>
      <c r="T6" s="60" t="n">
        <f aca="false">ROUND(Q6/R6,1)</f>
        <v>1</v>
      </c>
      <c r="U6" s="9" t="str">
        <f aca="false">'기본-투수'!AC6</f>
        <v>126.3</v>
      </c>
      <c r="V6" s="9" t="str">
        <f aca="false">'기본-투수'!AD6</f>
        <v>129.8</v>
      </c>
      <c r="W6" s="46" t="n">
        <f aca="false">ROUND((('연도별 상수'!$N$45*('기본-투수'!U6-'기본-투수'!W6))+('연도별 상수'!$O$45*'기본-투수'!V6)+('연도별 상수'!$P$45*('기본-투수'!Q6-'기본-투수'!R6-'기본-투수'!S6-'기본-투수'!T6))+('연도별 상수'!$Q$45*'기본-투수'!R6)+('연도별 상수'!$R$44*'기본-투수'!S6)+('연도별 상수'!$S$45*'기본-투수'!T6))/('기본-투수'!P6-'기본-투수'!W6),3)</f>
        <v>0.31</v>
      </c>
      <c r="X6" s="24" t="n">
        <f aca="false">ROUND(50+15*((50-(ROUND((1-(_xlfn.RANK.EQ(G6,G$2:G$278,1)-1)/(COUNT(G$2:G$278)-1))*100,0)*0.3+ROUND((1-(_xlfn.RANK.EQ(H6,H$2:H$278,1)-1)/(COUNT(H$2:H$278)-1))*100,0)*0.25+ROUND((1-(_xlfn.RANK.EQ(I6,I$2:I$278,1)-1)/(COUNT(I$2:I$278)-1))*100,0)*0.25+ROUND((1-(_xlfn.RANK.EQ(J6,J$2:J$278,1)-1)/(COUNT(J$2:J$278)-1))*100,0)*0.2))/21.13),1)</f>
        <v>21.9</v>
      </c>
      <c r="Y6" s="24" t="n">
        <f aca="false">ROUND(_xlfn.NORM.DIST(X6,50,15,TRUE())*100,1)+1</f>
        <v>4.1</v>
      </c>
      <c r="Z6" s="88" t="n">
        <f aca="false">IF((50+_xlfn.NORM.S.INV(1-Y6/100)*10)&gt;=50,_xlfn.FLOOR.MATH((50+_xlfn.NORM.S.INV(1-Y6/100)*10),5),_xlfn.CEILING.MATH((50+_xlfn.NORM.S.INV(1-Y6/100)*10),5))</f>
        <v>65</v>
      </c>
    </row>
    <row r="7" customFormat="false" ht="26.25" hidden="false" customHeight="true" outlineLevel="0" collapsed="false">
      <c r="A7" s="85" t="n">
        <f aca="false">'기본-투수'!A7</f>
        <v>5</v>
      </c>
      <c r="B7" s="24" t="str">
        <f aca="false">'기본-투수'!B7</f>
        <v>네일</v>
      </c>
      <c r="C7" s="24" t="str">
        <f aca="false">'기본-투수'!C7</f>
        <v>SP</v>
      </c>
      <c r="D7" s="24" t="str">
        <f aca="false">'기본-투수'!D7</f>
        <v>KIA</v>
      </c>
      <c r="E7" s="44" t="n">
        <f aca="false">'기본-투수'!E7</f>
        <v>2026</v>
      </c>
      <c r="F7" s="45" t="n">
        <f aca="false">ROUND((0.54*G7)+(0.25*H7)+(1.46*W7)+0.21,2)</f>
        <v>3.69</v>
      </c>
      <c r="G7" s="45" t="n">
        <f aca="false">ROUND(('연도별 상수'!$Y$45*(P7*(R7/100)*('리그 투수'!$W$45/100))+'연도별 상수'!$Z$45*('기본-투수'!U7+'기본-투수'!V7)+'연도별 상수'!$AA$45*'기본-투수'!X7)/('기본-투수'!P7/('리그 타자'!$C$45/'리그 투수'!$D$45))+'연도별 상수'!$V$45,2)</f>
        <v>3.96</v>
      </c>
      <c r="H7" s="45" t="n">
        <f aca="false">ROUND('리그 투수'!$V$45-16.986*('기본-투수'!X7/'기본-투수'!P7)+11.434*('기본-투수'!U7/'기본-투수'!P7)-1.858*((P7*Q7/100)/'기본-투수'!P7)+7.653*('기본-투수'!X7/'기본-투수'!P7)^2-6.664*((P7*Q7/100)/'기본-투수'!P7)*('기본-투수'!X7/'기본-투수'!P7)+7.374*((P7*Q7/100)/'기본-투수'!P7)*('기본-투수'!U7/'기본-투수'!P7)-7.706*((P7*Q7/100)/'기본-투수'!P7)*('기본-투수'!X7/'기본-투수'!P7)^2,2)</f>
        <v>3.69</v>
      </c>
      <c r="I7" s="45" t="n">
        <f aca="false">ROUND(('연도별 상수'!$Y$45*'기본-투수'!T7+'연도별 상수'!$Z$45*('기본-투수'!U7+'기본-투수'!V7)+'연도별 상수'!$AA$45*'기본-투수'!X7)/('기본-투수'!P7/('리그 타자'!$C$45/'리그 투수'!$D$45))+'연도별 상수'!$V$45,2)</f>
        <v>3.54</v>
      </c>
      <c r="J7" s="45" t="n">
        <f aca="false">ROUND(W7^2*('리그 투수'!$P$45/('리그 타자'!$B$45^2))/'기본-투수'!AE7,2)</f>
        <v>3.39</v>
      </c>
      <c r="K7" s="45" t="n">
        <f aca="false">'기본-투수'!F7</f>
        <v>2.05</v>
      </c>
      <c r="L7" s="9" t="n">
        <f aca="false">'기본-투수'!G7</f>
        <v>15</v>
      </c>
      <c r="M7" s="86" t="n">
        <f aca="false">'기본-투수'!M7</f>
        <v>87.3333333333333</v>
      </c>
      <c r="N7" s="24" t="n">
        <f aca="false">ROUND(100*'기본-투수'!X7/'기본-투수'!P7,1)</f>
        <v>18.3</v>
      </c>
      <c r="O7" s="24" t="n">
        <f aca="false">ROUND(100*'기본-투수'!U7/'기본-투수'!P7,1)</f>
        <v>4.7</v>
      </c>
      <c r="P7" s="87" t="n">
        <f aca="false">'기본-투수'!AG7</f>
        <v>261</v>
      </c>
      <c r="Q7" s="87" t="n">
        <f aca="false">'기본-투수'!AH7</f>
        <v>53.4</v>
      </c>
      <c r="R7" s="87" t="n">
        <f aca="false">'기본-투수'!AI7</f>
        <v>32.1</v>
      </c>
      <c r="S7" s="87" t="n">
        <f aca="false">'기본-투수'!AJ7</f>
        <v>14.6</v>
      </c>
      <c r="T7" s="60" t="n">
        <f aca="false">ROUND(Q7/R7,1)</f>
        <v>1.7</v>
      </c>
      <c r="U7" s="9" t="str">
        <f aca="false">'기본-투수'!AC7</f>
        <v>122.7</v>
      </c>
      <c r="V7" s="9" t="str">
        <f aca="false">'기본-투수'!AD7</f>
        <v>116.9</v>
      </c>
      <c r="W7" s="46" t="n">
        <f aca="false">ROUND((('연도별 상수'!$N$45*('기본-투수'!U7-'기본-투수'!W7))+('연도별 상수'!$O$45*'기본-투수'!V7)+('연도별 상수'!$P$45*('기본-투수'!Q7-'기본-투수'!R7-'기본-투수'!S7-'기본-투수'!T7))+('연도별 상수'!$Q$45*'기본-투수'!R7)+('연도별 상수'!$R$44*'기본-투수'!S7)+('연도별 상수'!$S$45*'기본-투수'!T7))/('기본-투수'!P7-'기본-투수'!W7),3)</f>
        <v>0.289</v>
      </c>
      <c r="X7" s="24" t="n">
        <f aca="false">ROUND(50+15*((50-(ROUND((1-(_xlfn.RANK.EQ(G7,G$2:G$278,1)-1)/(COUNT(G$2:G$278)-1))*100,0)*0.3+ROUND((1-(_xlfn.RANK.EQ(H7,H$2:H$278,1)-1)/(COUNT(H$2:H$278)-1))*100,0)*0.25+ROUND((1-(_xlfn.RANK.EQ(I7,I$2:I$278,1)-1)/(COUNT(I$2:I$278)-1))*100,0)*0.25+ROUND((1-(_xlfn.RANK.EQ(J7,J$2:J$278,1)-1)/(COUNT(J$2:J$278)-1))*100,0)*0.2))/21.13),1)</f>
        <v>31.2</v>
      </c>
      <c r="Y7" s="24" t="n">
        <f aca="false">ROUND(_xlfn.NORM.DIST(X7,50,15,TRUE())*100,1)+1</f>
        <v>11.5</v>
      </c>
      <c r="Z7" s="88" t="n">
        <f aca="false">IF((50+_xlfn.NORM.S.INV(1-Y7/100)*10)&gt;=50,_xlfn.FLOOR.MATH((50+_xlfn.NORM.S.INV(1-Y7/100)*10),5),_xlfn.CEILING.MATH((50+_xlfn.NORM.S.INV(1-Y7/100)*10),5))</f>
        <v>60</v>
      </c>
    </row>
    <row r="8" customFormat="false" ht="26.25" hidden="false" customHeight="true" outlineLevel="0" collapsed="false">
      <c r="A8" s="85" t="n">
        <f aca="false">'기본-투수'!A8</f>
        <v>6</v>
      </c>
      <c r="B8" s="24" t="str">
        <f aca="false">'기본-투수'!B8</f>
        <v>후라도</v>
      </c>
      <c r="C8" s="24" t="str">
        <f aca="false">'기본-투수'!C8</f>
        <v>SP</v>
      </c>
      <c r="D8" s="24" t="str">
        <f aca="false">'기본-투수'!D8</f>
        <v>SAM</v>
      </c>
      <c r="E8" s="44" t="n">
        <f aca="false">'기본-투수'!E8</f>
        <v>2026</v>
      </c>
      <c r="F8" s="45" t="n">
        <f aca="false">ROUND((0.54*G8)+(0.25*H8)+(1.46*W8)+0.21,2)</f>
        <v>3.98</v>
      </c>
      <c r="G8" s="45" t="n">
        <f aca="false">ROUND(('연도별 상수'!$Y$45*(P8*(R8/100)*('리그 투수'!$W$45/100))+'연도별 상수'!$Z$45*('기본-투수'!U8+'기본-투수'!V8)+'연도별 상수'!$AA$45*'기본-투수'!X8)/('기본-투수'!P8/('리그 타자'!$C$45/'리그 투수'!$D$45))+'연도별 상수'!$V$45,2)</f>
        <v>4.24</v>
      </c>
      <c r="H8" s="45" t="n">
        <f aca="false">ROUND('리그 투수'!$V$45-16.986*('기본-투수'!X8/'기본-투수'!P8)+11.434*('기본-투수'!U8/'기본-투수'!P8)-1.858*((P8*Q8/100)/'기본-투수'!P8)+7.653*('기본-투수'!X8/'기본-투수'!P8)^2-6.664*((P8*Q8/100)/'기본-투수'!P8)*('기본-투수'!X8/'기본-투수'!P8)+7.374*((P8*Q8/100)/'기본-투수'!P8)*('기본-투수'!U8/'기본-투수'!P8)-7.706*((P8*Q8/100)/'기본-투수'!P8)*('기본-투수'!X8/'기본-투수'!P8)^2,2)</f>
        <v>4.11</v>
      </c>
      <c r="I8" s="45" t="n">
        <f aca="false">ROUND(('연도별 상수'!$Y$45*'기본-투수'!T8+'연도별 상수'!$Z$45*('기본-투수'!U8+'기본-투수'!V8)+'연도별 상수'!$AA$45*'기본-투수'!X8)/('기본-투수'!P8/('리그 타자'!$C$45/'리그 투수'!$D$45))+'연도별 상수'!$V$45,2)</f>
        <v>4.08</v>
      </c>
      <c r="J8" s="45" t="n">
        <f aca="false">ROUND(W8^2*('리그 투수'!$P$45/('리그 타자'!$B$45^2))/'기본-투수'!AE8,2)</f>
        <v>3.44</v>
      </c>
      <c r="K8" s="45" t="n">
        <f aca="false">'기본-투수'!F8</f>
        <v>2</v>
      </c>
      <c r="L8" s="9" t="n">
        <f aca="false">'기본-투수'!G8</f>
        <v>14</v>
      </c>
      <c r="M8" s="86" t="n">
        <f aca="false">'기본-투수'!M8</f>
        <v>88</v>
      </c>
      <c r="N8" s="24" t="n">
        <f aca="false">ROUND(100*'기본-투수'!X8/'기본-투수'!P8,1)</f>
        <v>15.4</v>
      </c>
      <c r="O8" s="24" t="n">
        <f aca="false">ROUND(100*'기본-투수'!U8/'기본-투수'!P8,1)</f>
        <v>4.3</v>
      </c>
      <c r="P8" s="87" t="n">
        <f aca="false">'기본-투수'!AG8</f>
        <v>283</v>
      </c>
      <c r="Q8" s="87" t="n">
        <f aca="false">'기본-투수'!AH8</f>
        <v>52.9</v>
      </c>
      <c r="R8" s="87" t="n">
        <f aca="false">'기본-투수'!AI8</f>
        <v>39.3</v>
      </c>
      <c r="S8" s="87" t="n">
        <f aca="false">'기본-투수'!AJ8</f>
        <v>7.8</v>
      </c>
      <c r="T8" s="60" t="n">
        <f aca="false">ROUND(Q8/R8,1)</f>
        <v>1.3</v>
      </c>
      <c r="U8" s="9" t="str">
        <f aca="false">'기본-투수'!AC8</f>
        <v>141.5</v>
      </c>
      <c r="V8" s="9" t="str">
        <f aca="false">'기본-투수'!AD8</f>
        <v>114.8</v>
      </c>
      <c r="W8" s="46" t="n">
        <f aca="false">ROUND((('연도별 상수'!$N$45*('기본-투수'!U8-'기본-투수'!W8))+('연도별 상수'!$O$45*'기본-투수'!V8)+('연도별 상수'!$P$45*('기본-투수'!Q8-'기본-투수'!R8-'기본-투수'!S8-'기본-투수'!T8))+('연도별 상수'!$Q$45*'기본-투수'!R8)+('연도별 상수'!$R$44*'기본-투수'!S8)+('연도별 상수'!$S$45*'기본-투수'!T8))/('기본-투수'!P8-'기본-투수'!W8),3)</f>
        <v>0.307</v>
      </c>
      <c r="X8" s="24" t="n">
        <f aca="false">ROUND(50+15*((50-(ROUND((1-(_xlfn.RANK.EQ(G8,G$2:G$278,1)-1)/(COUNT(G$2:G$278)-1))*100,0)*0.3+ROUND((1-(_xlfn.RANK.EQ(H8,H$2:H$278,1)-1)/(COUNT(H$2:H$278)-1))*100,0)*0.25+ROUND((1-(_xlfn.RANK.EQ(I8,I$2:I$278,1)-1)/(COUNT(I$2:I$278)-1))*100,0)*0.25+ROUND((1-(_xlfn.RANK.EQ(J8,J$2:J$278,1)-1)/(COUNT(J$2:J$278)-1))*100,0)*0.2))/21.13),1)</f>
        <v>40.8</v>
      </c>
      <c r="Y8" s="24" t="n">
        <f aca="false">ROUND(_xlfn.NORM.DIST(X8,50,15,TRUE())*100,1)+1</f>
        <v>28</v>
      </c>
      <c r="Z8" s="88" t="n">
        <f aca="false">IF((50+_xlfn.NORM.S.INV(1-Y8/100)*10)&gt;=50,_xlfn.FLOOR.MATH((50+_xlfn.NORM.S.INV(1-Y8/100)*10),5),_xlfn.CEILING.MATH((50+_xlfn.NORM.S.INV(1-Y8/100)*10),5))</f>
        <v>55</v>
      </c>
    </row>
    <row r="9" customFormat="false" ht="26.25" hidden="false" customHeight="true" outlineLevel="0" collapsed="false">
      <c r="A9" s="85" t="n">
        <f aca="false">'기본-투수'!A9</f>
        <v>7</v>
      </c>
      <c r="B9" s="24" t="str">
        <f aca="false">'기본-투수'!B9</f>
        <v>보쉴리</v>
      </c>
      <c r="C9" s="24" t="str">
        <f aca="false">'기본-투수'!C9</f>
        <v>SP</v>
      </c>
      <c r="D9" s="24" t="str">
        <f aca="false">'기본-투수'!D9</f>
        <v>KT</v>
      </c>
      <c r="E9" s="44" t="n">
        <f aca="false">'기본-투수'!E9</f>
        <v>2026</v>
      </c>
      <c r="F9" s="45" t="n">
        <f aca="false">ROUND((0.54*G9)+(0.25*H9)+(1.46*W9)+0.21,2)</f>
        <v>3.38</v>
      </c>
      <c r="G9" s="45" t="n">
        <f aca="false">ROUND(('연도별 상수'!$Y$45*(P9*(R9/100)*('리그 투수'!$W$45/100))+'연도별 상수'!$Z$45*('기본-투수'!U9+'기본-투수'!V9)+'연도별 상수'!$AA$45*'기본-투수'!X9)/('기본-투수'!P9/('리그 타자'!$C$45/'리그 투수'!$D$45))+'연도별 상수'!$V$45,2)</f>
        <v>3.46</v>
      </c>
      <c r="H9" s="45" t="n">
        <f aca="false">ROUND('리그 투수'!$V$45-16.986*('기본-투수'!X9/'기본-투수'!P9)+11.434*('기본-투수'!U9/'기본-투수'!P9)-1.858*((P9*Q9/100)/'기본-투수'!P9)+7.653*('기본-투수'!X9/'기본-투수'!P9)^2-6.664*((P9*Q9/100)/'기본-투수'!P9)*('기본-투수'!X9/'기본-투수'!P9)+7.374*((P9*Q9/100)/'기본-투수'!P9)*('기본-투수'!U9/'기본-투수'!P9)-7.706*((P9*Q9/100)/'기본-투수'!P9)*('기본-투수'!X9/'기본-투수'!P9)^2,2)</f>
        <v>3.41</v>
      </c>
      <c r="I9" s="45" t="n">
        <f aca="false">ROUND(('연도별 상수'!$Y$45*'기본-투수'!T9+'연도별 상수'!$Z$45*('기본-투수'!U9+'기본-투수'!V9)+'연도별 상수'!$AA$45*'기본-투수'!X9)/('기본-투수'!P9/('리그 타자'!$C$45/'리그 투수'!$D$45))+'연도별 상수'!$V$45,2)</f>
        <v>3.05</v>
      </c>
      <c r="J9" s="45" t="n">
        <f aca="false">ROUND(W9^2*('리그 투수'!$P$45/('리그 타자'!$B$45^2))/'기본-투수'!AE9,2)</f>
        <v>3.45</v>
      </c>
      <c r="K9" s="45" t="n">
        <f aca="false">'기본-투수'!F9</f>
        <v>1.89</v>
      </c>
      <c r="L9" s="9" t="n">
        <f aca="false">'기본-투수'!G9</f>
        <v>11</v>
      </c>
      <c r="M9" s="86" t="n">
        <f aca="false">'기본-투수'!M9</f>
        <v>62.6666666666667</v>
      </c>
      <c r="N9" s="24" t="n">
        <f aca="false">ROUND(100*'기본-투수'!X9/'기본-투수'!P9,1)</f>
        <v>20.9</v>
      </c>
      <c r="O9" s="24" t="n">
        <f aca="false">ROUND(100*'기본-투수'!U9/'기본-투수'!P9,1)</f>
        <v>5.6</v>
      </c>
      <c r="P9" s="87" t="n">
        <f aca="false">'기본-투수'!AG9</f>
        <v>191</v>
      </c>
      <c r="Q9" s="87" t="n">
        <f aca="false">'기본-투수'!AH9</f>
        <v>52</v>
      </c>
      <c r="R9" s="87" t="n">
        <f aca="false">'기본-투수'!AI9</f>
        <v>32.7</v>
      </c>
      <c r="S9" s="87" t="n">
        <f aca="false">'기본-투수'!AJ9</f>
        <v>15.3</v>
      </c>
      <c r="T9" s="60" t="n">
        <f aca="false">ROUND(Q9/R9,1)</f>
        <v>1.6</v>
      </c>
      <c r="U9" s="9" t="str">
        <f aca="false">'기본-투수'!AC9</f>
        <v>136.1</v>
      </c>
      <c r="V9" s="9" t="str">
        <f aca="false">'기본-투수'!AD9</f>
        <v>135.9</v>
      </c>
      <c r="W9" s="46" t="n">
        <f aca="false">ROUND((('연도별 상수'!$N$45*('기본-투수'!U9-'기본-투수'!W9))+('연도별 상수'!$O$45*'기본-투수'!V9)+('연도별 상수'!$P$45*('기본-투수'!Q9-'기본-투수'!R9-'기본-투수'!S9-'기본-투수'!T9))+('연도별 상수'!$Q$45*'기본-투수'!R9)+('연도별 상수'!$R$44*'기본-투수'!S9)+('연도별 상수'!$S$45*'기본-투수'!T9))/('기본-투수'!P9-'기본-투수'!W9),3)</f>
        <v>0.309</v>
      </c>
      <c r="X9" s="24" t="n">
        <f aca="false">ROUND(50+15*((50-(ROUND((1-(_xlfn.RANK.EQ(G9,G$2:G$278,1)-1)/(COUNT(G$2:G$278)-1))*100,0)*0.3+ROUND((1-(_xlfn.RANK.EQ(H9,H$2:H$278,1)-1)/(COUNT(H$2:H$278)-1))*100,0)*0.25+ROUND((1-(_xlfn.RANK.EQ(I9,I$2:I$278,1)-1)/(COUNT(I$2:I$278)-1))*100,0)*0.25+ROUND((1-(_xlfn.RANK.EQ(J9,J$2:J$278,1)-1)/(COUNT(J$2:J$278)-1))*100,0)*0.2))/21.13),1)</f>
        <v>23.4</v>
      </c>
      <c r="Y9" s="24" t="n">
        <f aca="false">ROUND(_xlfn.NORM.DIST(X9,50,15,TRUE())*100,1)+1</f>
        <v>4.8</v>
      </c>
      <c r="Z9" s="88" t="n">
        <f aca="false">IF((50+_xlfn.NORM.S.INV(1-Y9/100)*10)&gt;=50,_xlfn.FLOOR.MATH((50+_xlfn.NORM.S.INV(1-Y9/100)*10),5),_xlfn.CEILING.MATH((50+_xlfn.NORM.S.INV(1-Y9/100)*10),5))</f>
        <v>65</v>
      </c>
    </row>
    <row r="10" customFormat="false" ht="26.25" hidden="false" customHeight="true" outlineLevel="0" collapsed="false">
      <c r="A10" s="85" t="n">
        <f aca="false">'기본-투수'!A10</f>
        <v>8</v>
      </c>
      <c r="B10" s="24" t="str">
        <f aca="false">'기본-투수'!B10</f>
        <v>웰스</v>
      </c>
      <c r="C10" s="24" t="str">
        <f aca="false">'기본-투수'!C10</f>
        <v>SP</v>
      </c>
      <c r="D10" s="24" t="str">
        <f aca="false">'기본-투수'!D10</f>
        <v>LG</v>
      </c>
      <c r="E10" s="44" t="n">
        <f aca="false">'기본-투수'!E10</f>
        <v>2026</v>
      </c>
      <c r="F10" s="45" t="n">
        <f aca="false">ROUND((0.54*G10)+(0.25*H10)+(1.46*W10)+0.21,2)</f>
        <v>3.83</v>
      </c>
      <c r="G10" s="45" t="n">
        <f aca="false">ROUND(('연도별 상수'!$Y$45*(P10*(R10/100)*('리그 투수'!$W$45/100))+'연도별 상수'!$Z$45*('기본-투수'!U10+'기본-투수'!V10)+'연도별 상수'!$AA$45*'기본-투수'!X10)/('기본-투수'!P10/('리그 타자'!$C$45/'리그 투수'!$D$45))+'연도별 상수'!$V$45,2)</f>
        <v>4.17</v>
      </c>
      <c r="H10" s="45" t="n">
        <f aca="false">ROUND('리그 투수'!$V$45-16.986*('기본-투수'!X10/'기본-투수'!P10)+11.434*('기본-투수'!U10/'기본-투수'!P10)-1.858*((P10*Q10/100)/'기본-투수'!P10)+7.653*('기본-투수'!X10/'기본-투수'!P10)^2-6.664*((P10*Q10/100)/'기본-투수'!P10)*('기본-투수'!X10/'기본-투수'!P10)+7.374*((P10*Q10/100)/'기본-투수'!P10)*('기본-투수'!U10/'기본-투수'!P10)-7.706*((P10*Q10/100)/'기본-투수'!P10)*('기본-투수'!X10/'기본-투수'!P10)^2,2)</f>
        <v>3.91</v>
      </c>
      <c r="I10" s="45" t="n">
        <f aca="false">ROUND(('연도별 상수'!$Y$45*'기본-투수'!T10+'연도별 상수'!$Z$45*('기본-투수'!U10+'기본-투수'!V10)+'연도별 상수'!$AA$45*'기본-투수'!X10)/('기본-투수'!P10/('리그 타자'!$C$45/'리그 투수'!$D$45))+'연도별 상수'!$V$45,2)</f>
        <v>3.48</v>
      </c>
      <c r="J10" s="45" t="n">
        <f aca="false">ROUND(W10^2*('리그 투수'!$P$45/('리그 타자'!$B$45^2))/'기본-투수'!AE10,2)</f>
        <v>3.1</v>
      </c>
      <c r="K10" s="45" t="n">
        <f aca="false">'기본-투수'!F10</f>
        <v>1.65</v>
      </c>
      <c r="L10" s="9" t="n">
        <f aca="false">'기본-투수'!G10</f>
        <v>12</v>
      </c>
      <c r="M10" s="86" t="n">
        <f aca="false">'기본-투수'!M10</f>
        <v>65.6666666666667</v>
      </c>
      <c r="N10" s="24" t="n">
        <f aca="false">ROUND(100*'기본-투수'!X10/'기본-투수'!P10,1)</f>
        <v>20.3</v>
      </c>
      <c r="O10" s="24" t="n">
        <f aca="false">ROUND(100*'기본-투수'!U10/'기본-투수'!P10,1)</f>
        <v>6.8</v>
      </c>
      <c r="P10" s="87" t="n">
        <f aca="false">'기본-투수'!AG10</f>
        <v>188</v>
      </c>
      <c r="Q10" s="87" t="n">
        <f aca="false">'기본-투수'!AH10</f>
        <v>41.5</v>
      </c>
      <c r="R10" s="87" t="n">
        <f aca="false">'기본-투수'!AI10</f>
        <v>48.7</v>
      </c>
      <c r="S10" s="87" t="n">
        <f aca="false">'기본-투수'!AJ10</f>
        <v>9.8</v>
      </c>
      <c r="T10" s="60" t="n">
        <f aca="false">ROUND(Q10/R10,1)</f>
        <v>0.9</v>
      </c>
      <c r="U10" s="9" t="str">
        <f aca="false">'기본-투수'!AC10</f>
        <v>141.7</v>
      </c>
      <c r="V10" s="9" t="str">
        <f aca="false">'기본-투수'!AD10</f>
        <v>114.6</v>
      </c>
      <c r="W10" s="46" t="n">
        <f aca="false">ROUND((('연도별 상수'!$N$45*('기본-투수'!U10-'기본-투수'!W10))+('연도별 상수'!$O$45*'기본-투수'!V10)+('연도별 상수'!$P$45*('기본-투수'!Q10-'기본-투수'!R10-'기본-투수'!S10-'기본-투수'!T10))+('연도별 상수'!$Q$45*'기본-투수'!R10)+('연도별 상수'!$R$44*'기본-투수'!S10)+('연도별 상수'!$S$45*'기본-투수'!T10))/('기본-투수'!P10-'기본-투수'!W10),3)</f>
        <v>0.271</v>
      </c>
      <c r="X10" s="24" t="n">
        <f aca="false">ROUND(50+15*((50-(ROUND((1-(_xlfn.RANK.EQ(G10,G$2:G$278,1)-1)/(COUNT(G$2:G$278)-1))*100,0)*0.3+ROUND((1-(_xlfn.RANK.EQ(H10,H$2:H$278,1)-1)/(COUNT(H$2:H$278)-1))*100,0)*0.25+ROUND((1-(_xlfn.RANK.EQ(I10,I$2:I$278,1)-1)/(COUNT(I$2:I$278)-1))*100,0)*0.25+ROUND((1-(_xlfn.RANK.EQ(J10,J$2:J$278,1)-1)/(COUNT(J$2:J$278)-1))*100,0)*0.2))/21.13),1)</f>
        <v>33.8</v>
      </c>
      <c r="Y10" s="24" t="n">
        <f aca="false">ROUND(_xlfn.NORM.DIST(X10,50,15,TRUE())*100,1)+1</f>
        <v>15</v>
      </c>
      <c r="Z10" s="88" t="n">
        <f aca="false">IF((50+_xlfn.NORM.S.INV(1-Y10/100)*10)&gt;=50,_xlfn.FLOOR.MATH((50+_xlfn.NORM.S.INV(1-Y10/100)*10),5),_xlfn.CEILING.MATH((50+_xlfn.NORM.S.INV(1-Y10/100)*10),5))</f>
        <v>60</v>
      </c>
    </row>
    <row r="11" customFormat="false" ht="26.25" hidden="false" customHeight="true" outlineLevel="0" collapsed="false">
      <c r="A11" s="85" t="n">
        <f aca="false">'기본-투수'!A11</f>
        <v>9</v>
      </c>
      <c r="B11" s="24" t="str">
        <f aca="false">'기본-투수'!B11</f>
        <v>최민석</v>
      </c>
      <c r="C11" s="24" t="str">
        <f aca="false">'기본-투수'!C11</f>
        <v>SP</v>
      </c>
      <c r="D11" s="24" t="str">
        <f aca="false">'기본-투수'!D11</f>
        <v>DOO</v>
      </c>
      <c r="E11" s="44" t="n">
        <f aca="false">'기본-투수'!E11</f>
        <v>2026</v>
      </c>
      <c r="F11" s="45" t="n">
        <f aca="false">ROUND((0.54*G11)+(0.25*H11)+(1.46*W11)+0.21,2)</f>
        <v>4.02</v>
      </c>
      <c r="G11" s="45" t="n">
        <f aca="false">ROUND(('연도별 상수'!$Y$45*(P11*(R11/100)*('리그 투수'!$W$45/100))+'연도별 상수'!$Z$45*('기본-투수'!U11+'기본-투수'!V11)+'연도별 상수'!$AA$45*'기본-투수'!X11)/('기본-투수'!P11/('리그 타자'!$C$45/'리그 투수'!$D$45))+'연도별 상수'!$V$45,2)</f>
        <v>4.34</v>
      </c>
      <c r="H11" s="45" t="n">
        <f aca="false">ROUND('리그 투수'!$V$45-16.986*('기본-투수'!X11/'기본-투수'!P11)+11.434*('기본-투수'!U11/'기본-투수'!P11)-1.858*((P11*Q11/100)/'기본-투수'!P11)+7.653*('기본-투수'!X11/'기본-투수'!P11)^2-6.664*((P11*Q11/100)/'기본-투수'!P11)*('기본-투수'!X11/'기본-투수'!P11)+7.374*((P11*Q11/100)/'기본-투수'!P11)*('기본-투수'!U11/'기본-투수'!P11)-7.706*((P11*Q11/100)/'기본-투수'!P11)*('기본-투수'!X11/'기본-투수'!P11)^2,2)</f>
        <v>4.17</v>
      </c>
      <c r="I11" s="45" t="n">
        <f aca="false">ROUND(('연도별 상수'!$Y$45*'기본-투수'!T11+'연도별 상수'!$Z$45*('기본-투수'!U11+'기본-투수'!V11)+'연도별 상수'!$AA$45*'기본-투수'!X11)/('기본-투수'!P11/('리그 타자'!$C$45/'리그 투수'!$D$45))+'연도별 상수'!$V$45,2)</f>
        <v>3.7</v>
      </c>
      <c r="J11" s="45" t="n">
        <f aca="false">ROUND(W11^2*('리그 투수'!$P$45/('리그 타자'!$B$45^2))/'기본-투수'!AE11,2)</f>
        <v>3.53</v>
      </c>
      <c r="K11" s="45" t="n">
        <f aca="false">'기본-투수'!F11</f>
        <v>1.59</v>
      </c>
      <c r="L11" s="9" t="n">
        <f aca="false">'기본-투수'!G11</f>
        <v>13</v>
      </c>
      <c r="M11" s="86" t="n">
        <f aca="false">'기본-투수'!M11</f>
        <v>74.6666666666667</v>
      </c>
      <c r="N11" s="24" t="n">
        <f aca="false">ROUND(100*'기본-투수'!X11/'기본-투수'!P11,1)</f>
        <v>21.9</v>
      </c>
      <c r="O11" s="24" t="n">
        <f aca="false">ROUND(100*'기본-투수'!U11/'기본-투수'!P11,1)</f>
        <v>10.8</v>
      </c>
      <c r="P11" s="87" t="n">
        <f aca="false">'기본-투수'!AG11</f>
        <v>202</v>
      </c>
      <c r="Q11" s="87" t="n">
        <f aca="false">'기본-투수'!AH11</f>
        <v>46.6</v>
      </c>
      <c r="R11" s="87" t="n">
        <f aca="false">'기본-투수'!AI11</f>
        <v>41.3</v>
      </c>
      <c r="S11" s="87" t="n">
        <f aca="false">'기본-투수'!AJ11</f>
        <v>12</v>
      </c>
      <c r="T11" s="60" t="n">
        <f aca="false">ROUND(Q11/R11,1)</f>
        <v>1.1</v>
      </c>
      <c r="U11" s="9" t="str">
        <f aca="false">'기본-투수'!AC11</f>
        <v>134.4</v>
      </c>
      <c r="V11" s="9" t="str">
        <f aca="false">'기본-투수'!AD11</f>
        <v>109.9</v>
      </c>
      <c r="W11" s="46" t="n">
        <f aca="false">ROUND((('연도별 상수'!$N$45*('기본-투수'!U11-'기본-투수'!W11))+('연도별 상수'!$O$45*'기본-투수'!V11)+('연도별 상수'!$P$45*('기본-투수'!Q11-'기본-투수'!R11-'기본-투수'!S11-'기본-투수'!T11))+('연도별 상수'!$Q$45*'기본-투수'!R11)+('연도별 상수'!$R$44*'기본-투수'!S11)+('연도별 상수'!$S$45*'기본-투수'!T11))/('기본-투수'!P11-'기본-투수'!W11),3)</f>
        <v>0.289</v>
      </c>
      <c r="X11" s="24" t="n">
        <f aca="false">ROUND(50+15*((50-(ROUND((1-(_xlfn.RANK.EQ(G11,G$2:G$278,1)-1)/(COUNT(G$2:G$278)-1))*100,0)*0.3+ROUND((1-(_xlfn.RANK.EQ(H11,H$2:H$278,1)-1)/(COUNT(H$2:H$278)-1))*100,0)*0.25+ROUND((1-(_xlfn.RANK.EQ(I11,I$2:I$278,1)-1)/(COUNT(I$2:I$278)-1))*100,0)*0.25+ROUND((1-(_xlfn.RANK.EQ(J11,J$2:J$278,1)-1)/(COUNT(J$2:J$278)-1))*100,0)*0.2))/21.13),1)</f>
        <v>43.5</v>
      </c>
      <c r="Y11" s="24" t="n">
        <f aca="false">ROUND(_xlfn.NORM.DIST(X11,50,15,TRUE())*100,1)+1</f>
        <v>34.2</v>
      </c>
      <c r="Z11" s="88" t="n">
        <f aca="false">IF((50+_xlfn.NORM.S.INV(1-Y11/100)*10)&gt;=50,_xlfn.FLOOR.MATH((50+_xlfn.NORM.S.INV(1-Y11/100)*10),5),_xlfn.CEILING.MATH((50+_xlfn.NORM.S.INV(1-Y11/100)*10),5))</f>
        <v>50</v>
      </c>
    </row>
    <row r="12" customFormat="false" ht="26.25" hidden="false" customHeight="true" outlineLevel="0" collapsed="false">
      <c r="A12" s="85" t="n">
        <f aca="false">'기본-투수'!A12</f>
        <v>10</v>
      </c>
      <c r="B12" s="24" t="str">
        <f aca="false">'기본-투수'!B12</f>
        <v>밴자민</v>
      </c>
      <c r="C12" s="24" t="str">
        <f aca="false">'기본-투수'!C12</f>
        <v>SP</v>
      </c>
      <c r="D12" s="24" t="str">
        <f aca="false">'기본-투수'!D12</f>
        <v>DOO</v>
      </c>
      <c r="E12" s="44" t="n">
        <f aca="false">'기본-투수'!E12</f>
        <v>2026</v>
      </c>
      <c r="F12" s="45" t="n">
        <f aca="false">ROUND((0.54*G12)+(0.25*H12)+(1.46*W12)+0.21,2)</f>
        <v>3.58</v>
      </c>
      <c r="G12" s="45" t="n">
        <f aca="false">ROUND(('연도별 상수'!$Y$45*(P12*(R12/100)*('리그 투수'!$W$45/100))+'연도별 상수'!$Z$45*('기본-투수'!U12+'기본-투수'!V12)+'연도별 상수'!$AA$45*'기본-투수'!X12)/('기본-투수'!P12/('리그 타자'!$C$45/'리그 투수'!$D$45))+'연도별 상수'!$V$45,2)</f>
        <v>3.69</v>
      </c>
      <c r="H12" s="45" t="n">
        <f aca="false">ROUND('리그 투수'!$V$45-16.986*('기본-투수'!X12/'기본-투수'!P12)+11.434*('기본-투수'!U12/'기본-투수'!P12)-1.858*((P12*Q12/100)/'기본-투수'!P12)+7.653*('기본-투수'!X12/'기본-투수'!P12)^2-6.664*((P12*Q12/100)/'기본-투수'!P12)*('기본-투수'!X12/'기본-투수'!P12)+7.374*((P12*Q12/100)/'기본-투수'!P12)*('기본-투수'!U12/'기본-투수'!P12)-7.706*((P12*Q12/100)/'기본-투수'!P12)*('기본-투수'!X12/'기본-투수'!P12)^2,2)</f>
        <v>3.66</v>
      </c>
      <c r="I12" s="45" t="n">
        <f aca="false">ROUND(('연도별 상수'!$Y$45*'기본-투수'!T12+'연도별 상수'!$Z$45*('기본-투수'!U12+'기본-투수'!V12)+'연도별 상수'!$AA$45*'기본-투수'!X12)/('기본-투수'!P12/('리그 타자'!$C$45/'리그 투수'!$D$45))+'연도별 상수'!$V$45,2)</f>
        <v>3.08</v>
      </c>
      <c r="J12" s="45" t="n">
        <f aca="false">ROUND(W12^2*('리그 투수'!$P$45/('리그 타자'!$B$45^2))/'기본-투수'!AE12,2)</f>
        <v>4.17</v>
      </c>
      <c r="K12" s="45" t="n">
        <f aca="false">'기본-투수'!F12</f>
        <v>1.57</v>
      </c>
      <c r="L12" s="9" t="n">
        <f aca="false">'기본-투수'!G12</f>
        <v>11</v>
      </c>
      <c r="M12" s="86" t="n">
        <f aca="false">'기본-투수'!M12</f>
        <v>62.6666666666667</v>
      </c>
      <c r="N12" s="24" t="n">
        <f aca="false">ROUND(100*'기본-투수'!X12/'기본-투수'!P12,1)</f>
        <v>20.5</v>
      </c>
      <c r="O12" s="24" t="n">
        <f aca="false">ROUND(100*'기본-투수'!U12/'기본-투수'!P12,1)</f>
        <v>6.8</v>
      </c>
      <c r="P12" s="87" t="n">
        <f aca="false">'기본-투수'!AG12</f>
        <v>183</v>
      </c>
      <c r="Q12" s="87" t="n">
        <f aca="false">'기본-투수'!AH12</f>
        <v>53.4</v>
      </c>
      <c r="R12" s="87" t="n">
        <f aca="false">'기본-투수'!AI12</f>
        <v>34</v>
      </c>
      <c r="S12" s="87" t="n">
        <f aca="false">'기본-투수'!AJ12</f>
        <v>12.6</v>
      </c>
      <c r="T12" s="60" t="n">
        <f aca="false">ROUND(Q12/R12,1)</f>
        <v>1.6</v>
      </c>
      <c r="U12" s="9" t="str">
        <f aca="false">'기본-투수'!AC12</f>
        <v>128.7</v>
      </c>
      <c r="V12" s="9" t="str">
        <f aca="false">'기본-투수'!AD12</f>
        <v>124.1</v>
      </c>
      <c r="W12" s="46" t="n">
        <f aca="false">ROUND((('연도별 상수'!$N$45*('기본-투수'!U12-'기본-투수'!W12))+('연도별 상수'!$O$45*'기본-투수'!V12)+('연도별 상수'!$P$45*('기본-투수'!Q12-'기본-투수'!R12-'기본-투수'!S12-'기본-투수'!T12))+('연도별 상수'!$Q$45*'기본-투수'!R12)+('연도별 상수'!$R$44*'기본-투수'!S12)+('연도별 상수'!$S$45*'기본-투수'!T12))/('기본-투수'!P12-'기본-투수'!W12),3)</f>
        <v>0.314</v>
      </c>
      <c r="X12" s="24" t="n">
        <f aca="false">ROUND(50+15*((50-(ROUND((1-(_xlfn.RANK.EQ(G12,G$2:G$278,1)-1)/(COUNT(G$2:G$278)-1))*100,0)*0.3+ROUND((1-(_xlfn.RANK.EQ(H12,H$2:H$278,1)-1)/(COUNT(H$2:H$278)-1))*100,0)*0.25+ROUND((1-(_xlfn.RANK.EQ(I12,I$2:I$278,1)-1)/(COUNT(I$2:I$278)-1))*100,0)*0.25+ROUND((1-(_xlfn.RANK.EQ(J12,J$2:J$278,1)-1)/(COUNT(J$2:J$278)-1))*100,0)*0.2))/21.13),1)</f>
        <v>33.9</v>
      </c>
      <c r="Y12" s="24" t="n">
        <f aca="false">ROUND(_xlfn.NORM.DIST(X12,50,15,TRUE())*100,1)+1</f>
        <v>15.2</v>
      </c>
      <c r="Z12" s="88" t="n">
        <f aca="false">IF((50+_xlfn.NORM.S.INV(1-Y12/100)*10)&gt;=50,_xlfn.FLOOR.MATH((50+_xlfn.NORM.S.INV(1-Y12/100)*10),5),_xlfn.CEILING.MATH((50+_xlfn.NORM.S.INV(1-Y12/100)*10),5))</f>
        <v>60</v>
      </c>
    </row>
    <row r="13" customFormat="false" ht="26.25" hidden="false" customHeight="true" outlineLevel="0" collapsed="false">
      <c r="A13" s="85" t="n">
        <f aca="false">'기본-투수'!A13</f>
        <v>11</v>
      </c>
      <c r="B13" s="24" t="str">
        <f aca="false">'기본-투수'!B13</f>
        <v>원태인</v>
      </c>
      <c r="C13" s="24" t="str">
        <f aca="false">'기본-투수'!C13</f>
        <v>SP</v>
      </c>
      <c r="D13" s="24" t="str">
        <f aca="false">'기본-투수'!D13</f>
        <v>SAM</v>
      </c>
      <c r="E13" s="44" t="n">
        <f aca="false">'기본-투수'!E13</f>
        <v>2026</v>
      </c>
      <c r="F13" s="45" t="n">
        <f aca="false">ROUND((0.54*G13)+(0.25*H13)+(1.46*W13)+0.21,2)</f>
        <v>3.77</v>
      </c>
      <c r="G13" s="45" t="n">
        <f aca="false">ROUND(('연도별 상수'!$Y$45*(P13*(R13/100)*('리그 투수'!$W$45/100))+'연도별 상수'!$Z$45*('기본-투수'!U13+'기본-투수'!V13)+'연도별 상수'!$AA$45*'기본-투수'!X13)/('기본-투수'!P13/('리그 타자'!$C$45/'리그 투수'!$D$45))+'연도별 상수'!$V$45,2)</f>
        <v>4.01</v>
      </c>
      <c r="H13" s="45" t="n">
        <f aca="false">ROUND('리그 투수'!$V$45-16.986*('기본-투수'!X13/'기본-투수'!P13)+11.434*('기본-투수'!U13/'기본-투수'!P13)-1.858*((P13*Q13/100)/'기본-투수'!P13)+7.653*('기본-투수'!X13/'기본-투수'!P13)^2-6.664*((P13*Q13/100)/'기본-투수'!P13)*('기본-투수'!X13/'기본-투수'!P13)+7.374*((P13*Q13/100)/'기본-투수'!P13)*('기본-투수'!U13/'기본-투수'!P13)-7.706*((P13*Q13/100)/'기본-투수'!P13)*('기본-투수'!X13/'기본-투수'!P13)^2,2)</f>
        <v>3.72</v>
      </c>
      <c r="I13" s="45" t="n">
        <f aca="false">ROUND(('연도별 상수'!$Y$45*'기본-투수'!T13+'연도별 상수'!$Z$45*('기본-투수'!U13+'기본-투수'!V13)+'연도별 상수'!$AA$45*'기본-투수'!X13)/('기본-투수'!P13/('리그 타자'!$C$45/'리그 투수'!$D$45))+'연도별 상수'!$V$45,2)</f>
        <v>3.34</v>
      </c>
      <c r="J13" s="45" t="n">
        <f aca="false">ROUND(W13^2*('리그 투수'!$P$45/('리그 타자'!$B$45^2))/'기본-투수'!AE13,2)</f>
        <v>3.65</v>
      </c>
      <c r="K13" s="45" t="n">
        <f aca="false">'기본-투수'!F13</f>
        <v>1.61</v>
      </c>
      <c r="L13" s="9" t="n">
        <f aca="false">'기본-투수'!G13</f>
        <v>11</v>
      </c>
      <c r="M13" s="86" t="n">
        <f aca="false">'기본-투수'!M13</f>
        <v>63</v>
      </c>
      <c r="N13" s="24" t="n">
        <f aca="false">ROUND(100*'기본-투수'!X13/'기본-투수'!P13,1)</f>
        <v>19.9</v>
      </c>
      <c r="O13" s="24" t="n">
        <f aca="false">ROUND(100*'기본-투수'!U13/'기본-투수'!P13,1)</f>
        <v>5.9</v>
      </c>
      <c r="P13" s="87" t="n">
        <f aca="false">'기본-투수'!AG13</f>
        <v>189</v>
      </c>
      <c r="Q13" s="87" t="n">
        <f aca="false">'기본-투수'!AH13</f>
        <v>48.2</v>
      </c>
      <c r="R13" s="87" t="n">
        <f aca="false">'기본-투수'!AI13</f>
        <v>41.6</v>
      </c>
      <c r="S13" s="87" t="n">
        <f aca="false">'기본-투수'!AJ13</f>
        <v>10.2</v>
      </c>
      <c r="T13" s="60" t="n">
        <f aca="false">ROUND(Q13/R13,1)</f>
        <v>1.2</v>
      </c>
      <c r="U13" s="9" t="str">
        <f aca="false">'기본-투수'!AC13</f>
        <v>127.0</v>
      </c>
      <c r="V13" s="9" t="str">
        <f aca="false">'기본-투수'!AD13</f>
        <v>129.4</v>
      </c>
      <c r="W13" s="46" t="n">
        <f aca="false">ROUND((('연도별 상수'!$N$45*('기본-투수'!U13-'기본-투수'!W13))+('연도별 상수'!$O$45*'기본-투수'!V13)+('연도별 상수'!$P$45*('기본-투수'!Q13-'기본-투수'!R13-'기본-투수'!S13-'기본-투수'!T13))+('연도별 상수'!$Q$45*'기본-투수'!R13)+('연도별 상수'!$R$44*'기본-투수'!S13)+('연도별 상수'!$S$45*'기본-투수'!T13))/('기본-투수'!P13-'기본-투수'!W13),3)</f>
        <v>0.316</v>
      </c>
      <c r="X13" s="24" t="n">
        <f aca="false">ROUND(50+15*((50-(ROUND((1-(_xlfn.RANK.EQ(G13,G$2:G$278,1)-1)/(COUNT(G$2:G$278)-1))*100,0)*0.3+ROUND((1-(_xlfn.RANK.EQ(H13,H$2:H$278,1)-1)/(COUNT(H$2:H$278)-1))*100,0)*0.25+ROUND((1-(_xlfn.RANK.EQ(I13,I$2:I$278,1)-1)/(COUNT(I$2:I$278)-1))*100,0)*0.25+ROUND((1-(_xlfn.RANK.EQ(J13,J$2:J$278,1)-1)/(COUNT(J$2:J$278)-1))*100,0)*0.2))/21.13),1)</f>
        <v>33.6</v>
      </c>
      <c r="Y13" s="24" t="n">
        <f aca="false">ROUND(_xlfn.NORM.DIST(X13,50,15,TRUE())*100,1)+1</f>
        <v>14.7</v>
      </c>
      <c r="Z13" s="88" t="n">
        <f aca="false">IF((50+_xlfn.NORM.S.INV(1-Y13/100)*10)&gt;=50,_xlfn.FLOOR.MATH((50+_xlfn.NORM.S.INV(1-Y13/100)*10),5),_xlfn.CEILING.MATH((50+_xlfn.NORM.S.INV(1-Y13/100)*10),5))</f>
        <v>60</v>
      </c>
    </row>
    <row r="14" customFormat="false" ht="26.25" hidden="false" customHeight="true" outlineLevel="0" collapsed="false">
      <c r="A14" s="85" t="n">
        <f aca="false">'기본-투수'!A14</f>
        <v>12</v>
      </c>
      <c r="B14" s="24" t="str">
        <f aca="false">'기본-투수'!B14</f>
        <v>고영표</v>
      </c>
      <c r="C14" s="24" t="str">
        <f aca="false">'기본-투수'!C14</f>
        <v>SP</v>
      </c>
      <c r="D14" s="24" t="str">
        <f aca="false">'기본-투수'!D14</f>
        <v>KT</v>
      </c>
      <c r="E14" s="44" t="n">
        <f aca="false">'기본-투수'!E14</f>
        <v>2026</v>
      </c>
      <c r="F14" s="45" t="n">
        <f aca="false">ROUND((0.54*G14)+(0.25*H14)+(1.46*W14)+0.21,2)</f>
        <v>2.81</v>
      </c>
      <c r="G14" s="45" t="n">
        <f aca="false">ROUND(('연도별 상수'!$Y$45*(P14*(R14/100)*('리그 투수'!$W$45/100))+'연도별 상수'!$Z$45*('기본-투수'!U14+'기본-투수'!V14)+'연도별 상수'!$AA$45*'기본-투수'!X14)/('기본-투수'!P14/('리그 타자'!$C$45/'리그 투수'!$D$45))+'연도별 상수'!$V$45,2)</f>
        <v>2.77</v>
      </c>
      <c r="H14" s="45" t="n">
        <f aca="false">ROUND('리그 투수'!$V$45-16.986*('기본-투수'!X14/'기본-투수'!P14)+11.434*('기본-투수'!U14/'기본-투수'!P14)-1.858*((P14*Q14/100)/'기본-투수'!P14)+7.653*('기본-투수'!X14/'기본-투수'!P14)^2-6.664*((P14*Q14/100)/'기본-투수'!P14)*('기본-투수'!X14/'기본-투수'!P14)+7.374*((P14*Q14/100)/'기본-투수'!P14)*('기본-투수'!U14/'기본-투수'!P14)-7.706*((P14*Q14/100)/'기본-투수'!P14)*('기본-투수'!X14/'기본-투수'!P14)^2,2)</f>
        <v>2.49</v>
      </c>
      <c r="I14" s="45" t="n">
        <f aca="false">ROUND(('연도별 상수'!$Y$45*'기본-투수'!T14+'연도별 상수'!$Z$45*('기본-투수'!U14+'기본-투수'!V14)+'연도별 상수'!$AA$45*'기본-투수'!X14)/('기본-투수'!P14/('리그 타자'!$C$45/'리그 투수'!$D$45))+'연도별 상수'!$V$45,2)</f>
        <v>3.24</v>
      </c>
      <c r="J14" s="45" t="n">
        <f aca="false">ROUND(W14^2*('리그 투수'!$P$45/('리그 타자'!$B$45^2))/'기본-투수'!AE14,2)</f>
        <v>4.01</v>
      </c>
      <c r="K14" s="45" t="n">
        <f aca="false">'기본-투수'!F14</f>
        <v>1.66</v>
      </c>
      <c r="L14" s="9" t="n">
        <f aca="false">'기본-투수'!G14</f>
        <v>13</v>
      </c>
      <c r="M14" s="86" t="n">
        <f aca="false">'기본-투수'!M14</f>
        <v>74</v>
      </c>
      <c r="N14" s="24" t="n">
        <f aca="false">ROUND(100*'기본-투수'!X14/'기본-투수'!P14,1)</f>
        <v>25.3</v>
      </c>
      <c r="O14" s="24" t="n">
        <f aca="false">ROUND(100*'기본-투수'!U14/'기본-투수'!P14,1)</f>
        <v>3.8</v>
      </c>
      <c r="P14" s="87" t="n">
        <f aca="false">'기본-투수'!AG14</f>
        <v>209</v>
      </c>
      <c r="Q14" s="87" t="n">
        <f aca="false">'기본-투수'!AH14</f>
        <v>52.5</v>
      </c>
      <c r="R14" s="87" t="n">
        <f aca="false">'기본-투수'!AI14</f>
        <v>29.9</v>
      </c>
      <c r="S14" s="87" t="n">
        <f aca="false">'기본-투수'!AJ14</f>
        <v>17.6</v>
      </c>
      <c r="T14" s="60" t="n">
        <f aca="false">ROUND(Q14/R14,1)</f>
        <v>1.8</v>
      </c>
      <c r="U14" s="9" t="str">
        <f aca="false">'기본-투수'!AC14</f>
        <v>111.5</v>
      </c>
      <c r="V14" s="9" t="str">
        <f aca="false">'기본-투수'!AD14</f>
        <v>132.2</v>
      </c>
      <c r="W14" s="46" t="n">
        <f aca="false">ROUND((('연도별 상수'!$N$45*('기본-투수'!U14-'기본-투수'!W14))+('연도별 상수'!$O$45*'기본-투수'!V14)+('연도별 상수'!$P$45*('기본-투수'!Q14-'기본-투수'!R14-'기본-투수'!S14-'기본-투수'!T14))+('연도별 상수'!$Q$45*'기본-투수'!R14)+('연도별 상수'!$R$44*'기본-투수'!S14)+('연도별 상수'!$S$45*'기본-투수'!T14))/('기본-투수'!P14-'기본-투수'!W14),3)</f>
        <v>0.333</v>
      </c>
      <c r="X14" s="24" t="n">
        <f aca="false">ROUND(50+15*((50-(ROUND((1-(_xlfn.RANK.EQ(G14,G$2:G$278,1)-1)/(COUNT(G$2:G$278)-1))*100,0)*0.3+ROUND((1-(_xlfn.RANK.EQ(H14,H$2:H$278,1)-1)/(COUNT(H$2:H$278)-1))*100,0)*0.25+ROUND((1-(_xlfn.RANK.EQ(I14,I$2:I$278,1)-1)/(COUNT(I$2:I$278)-1))*100,0)*0.25+ROUND((1-(_xlfn.RANK.EQ(J14,J$2:J$278,1)-1)/(COUNT(J$2:J$278)-1))*100,0)*0.2))/21.13),1)</f>
        <v>22.6</v>
      </c>
      <c r="Y14" s="24" t="n">
        <f aca="false">ROUND(_xlfn.NORM.DIST(X14,50,15,TRUE())*100,1)+1</f>
        <v>4.4</v>
      </c>
      <c r="Z14" s="88" t="n">
        <f aca="false">IF((50+_xlfn.NORM.S.INV(1-Y14/100)*10)&gt;=50,_xlfn.FLOOR.MATH((50+_xlfn.NORM.S.INV(1-Y14/100)*10),5),_xlfn.CEILING.MATH((50+_xlfn.NORM.S.INV(1-Y14/100)*10),5))</f>
        <v>65</v>
      </c>
    </row>
    <row r="15" customFormat="false" ht="26.25" hidden="false" customHeight="true" outlineLevel="0" collapsed="false">
      <c r="A15" s="85" t="n">
        <f aca="false">'기본-투수'!A15</f>
        <v>13</v>
      </c>
      <c r="B15" s="24" t="str">
        <f aca="false">'기본-투수'!B15</f>
        <v>비슬리</v>
      </c>
      <c r="C15" s="24" t="str">
        <f aca="false">'기본-투수'!C15</f>
        <v>SP</v>
      </c>
      <c r="D15" s="24" t="str">
        <f aca="false">'기본-투수'!D15</f>
        <v>LOT</v>
      </c>
      <c r="E15" s="44" t="n">
        <f aca="false">'기본-투수'!E15</f>
        <v>2026</v>
      </c>
      <c r="F15" s="45" t="n">
        <f aca="false">ROUND((0.54*G15)+(0.25*H15)+(1.46*W15)+0.21,2)</f>
        <v>3.34</v>
      </c>
      <c r="G15" s="45" t="n">
        <f aca="false">ROUND(('연도별 상수'!$Y$45*(P15*(R15/100)*('리그 투수'!$W$45/100))+'연도별 상수'!$Z$45*('기본-투수'!U15+'기본-투수'!V15)+'연도별 상수'!$AA$45*'기본-투수'!X15)/('기본-투수'!P15/('리그 타자'!$C$45/'리그 투수'!$D$45))+'연도별 상수'!$V$45,2)</f>
        <v>3.36</v>
      </c>
      <c r="H15" s="45" t="n">
        <f aca="false">ROUND('리그 투수'!$V$45-16.986*('기본-투수'!X15/'기본-투수'!P15)+11.434*('기본-투수'!U15/'기본-투수'!P15)-1.858*((P15*Q15/100)/'기본-투수'!P15)+7.653*('기본-투수'!X15/'기본-투수'!P15)^2-6.664*((P15*Q15/100)/'기본-투수'!P15)*('기본-투수'!X15/'기본-투수'!P15)+7.374*((P15*Q15/100)/'기본-투수'!P15)*('기본-투수'!U15/'기본-투수'!P15)-7.706*((P15*Q15/100)/'기본-투수'!P15)*('기본-투수'!X15/'기본-투수'!P15)^2,2)</f>
        <v>3.25</v>
      </c>
      <c r="I15" s="45" t="n">
        <f aca="false">ROUND(('연도별 상수'!$Y$45*'기본-투수'!T15+'연도별 상수'!$Z$45*('기본-투수'!U15+'기본-투수'!V15)+'연도별 상수'!$AA$45*'기본-투수'!X15)/('기본-투수'!P15/('리그 타자'!$C$45/'리그 투수'!$D$45))+'연도별 상수'!$V$45,2)</f>
        <v>3.3</v>
      </c>
      <c r="J15" s="45" t="n">
        <f aca="false">ROUND(W15^2*('리그 투수'!$P$45/('리그 타자'!$B$45^2))/'기본-투수'!AE15,2)</f>
        <v>4.1</v>
      </c>
      <c r="K15" s="45" t="n">
        <f aca="false">'기본-투수'!F15</f>
        <v>1.72</v>
      </c>
      <c r="L15" s="9" t="n">
        <f aca="false">'기본-투수'!G15</f>
        <v>14</v>
      </c>
      <c r="M15" s="86" t="n">
        <f aca="false">'기본-투수'!M15</f>
        <v>74</v>
      </c>
      <c r="N15" s="24" t="n">
        <f aca="false">ROUND(100*'기본-투수'!X15/'기본-투수'!P15,1)</f>
        <v>25.3</v>
      </c>
      <c r="O15" s="24" t="n">
        <f aca="false">ROUND(100*'기본-투수'!U15/'기본-투수'!P15,1)</f>
        <v>7.4</v>
      </c>
      <c r="P15" s="87" t="n">
        <f aca="false">'기본-투수'!AG15</f>
        <v>206</v>
      </c>
      <c r="Q15" s="87" t="n">
        <f aca="false">'기본-투수'!AH15</f>
        <v>44.5</v>
      </c>
      <c r="R15" s="87" t="n">
        <f aca="false">'기본-투수'!AI15</f>
        <v>32.1</v>
      </c>
      <c r="S15" s="87" t="n">
        <f aca="false">'기본-투수'!AJ15</f>
        <v>23.4</v>
      </c>
      <c r="T15" s="60" t="n">
        <f aca="false">ROUND(Q15/R15,1)</f>
        <v>1.4</v>
      </c>
      <c r="U15" s="9" t="str">
        <f aca="false">'기본-투수'!AC15</f>
        <v>114.8</v>
      </c>
      <c r="V15" s="9" t="str">
        <f aca="false">'기본-투수'!AD15</f>
        <v>136.1</v>
      </c>
      <c r="W15" s="46" t="n">
        <f aca="false">ROUND((('연도별 상수'!$N$45*('기본-투수'!U15-'기본-투수'!W15))+('연도별 상수'!$O$45*'기본-투수'!V15)+('연도별 상수'!$P$45*('기본-투수'!Q15-'기본-투수'!R15-'기본-투수'!S15-'기본-투수'!T15))+('연도별 상수'!$Q$45*'기본-투수'!R15)+('연도별 상수'!$R$44*'기본-투수'!S15)+('연도별 상수'!$S$45*'기본-투수'!T15))/('기본-투수'!P15-'기본-투수'!W15),3)</f>
        <v>0.348</v>
      </c>
      <c r="X15" s="24" t="n">
        <f aca="false">ROUND(50+15*((50-(ROUND((1-(_xlfn.RANK.EQ(G15,G$2:G$278,1)-1)/(COUNT(G$2:G$278)-1))*100,0)*0.3+ROUND((1-(_xlfn.RANK.EQ(H15,H$2:H$278,1)-1)/(COUNT(H$2:H$278)-1))*100,0)*0.25+ROUND((1-(_xlfn.RANK.EQ(I15,I$2:I$278,1)-1)/(COUNT(I$2:I$278)-1))*100,0)*0.25+ROUND((1-(_xlfn.RANK.EQ(J15,J$2:J$278,1)-1)/(COUNT(J$2:J$278)-1))*100,0)*0.2))/21.13),1)</f>
        <v>27.2</v>
      </c>
      <c r="Y15" s="24" t="n">
        <f aca="false">ROUND(_xlfn.NORM.DIST(X15,50,15,TRUE())*100,1)+1</f>
        <v>7.4</v>
      </c>
      <c r="Z15" s="88" t="n">
        <f aca="false">IF((50+_xlfn.NORM.S.INV(1-Y15/100)*10)&gt;=50,_xlfn.FLOOR.MATH((50+_xlfn.NORM.S.INV(1-Y15/100)*10),5),_xlfn.CEILING.MATH((50+_xlfn.NORM.S.INV(1-Y15/100)*10),5))</f>
        <v>60</v>
      </c>
    </row>
    <row r="16" customFormat="false" ht="26.25" hidden="false" customHeight="true" outlineLevel="0" collapsed="false">
      <c r="A16" s="85" t="n">
        <f aca="false">'기본-투수'!A16</f>
        <v>14</v>
      </c>
      <c r="B16" s="24" t="str">
        <f aca="false">'기본-투수'!B16</f>
        <v>구창모</v>
      </c>
      <c r="C16" s="24" t="str">
        <f aca="false">'기본-투수'!C16</f>
        <v>SP</v>
      </c>
      <c r="D16" s="24" t="str">
        <f aca="false">'기본-투수'!D16</f>
        <v>NC</v>
      </c>
      <c r="E16" s="44" t="n">
        <f aca="false">'기본-투수'!E16</f>
        <v>2026</v>
      </c>
      <c r="F16" s="45" t="n">
        <f aca="false">ROUND((0.54*G16)+(0.25*H16)+(1.46*W16)+0.21,2)</f>
        <v>3.71</v>
      </c>
      <c r="G16" s="45" t="n">
        <f aca="false">ROUND(('연도별 상수'!$Y$45*(P16*(R16/100)*('리그 투수'!$W$45/100))+'연도별 상수'!$Z$45*('기본-투수'!U16+'기본-투수'!V16)+'연도별 상수'!$AA$45*'기본-투수'!X16)/('기본-투수'!P16/('리그 타자'!$C$45/'리그 투수'!$D$45))+'연도별 상수'!$V$45,2)</f>
        <v>3.91</v>
      </c>
      <c r="H16" s="45" t="n">
        <f aca="false">ROUND('리그 투수'!$V$45-16.986*('기본-투수'!X16/'기본-투수'!P16)+11.434*('기본-투수'!U16/'기본-투수'!P16)-1.858*((P16*Q16/100)/'기본-투수'!P16)+7.653*('기본-투수'!X16/'기본-투수'!P16)^2-6.664*((P16*Q16/100)/'기본-투수'!P16)*('기본-투수'!X16/'기본-투수'!P16)+7.374*((P16*Q16/100)/'기본-투수'!P16)*('기본-투수'!U16/'기본-투수'!P16)-7.706*((P16*Q16/100)/'기본-투수'!P16)*('기본-투수'!X16/'기본-투수'!P16)^2,2)</f>
        <v>3.75</v>
      </c>
      <c r="I16" s="45" t="n">
        <f aca="false">ROUND(('연도별 상수'!$Y$45*'기본-투수'!T16+'연도별 상수'!$Z$45*('기본-투수'!U16+'기본-투수'!V16)+'연도별 상수'!$AA$45*'기본-투수'!X16)/('기본-투수'!P16/('리그 타자'!$C$45/'리그 투수'!$D$45))+'연도별 상수'!$V$45,2)</f>
        <v>4.09</v>
      </c>
      <c r="J16" s="45" t="n">
        <f aca="false">ROUND(W16^2*('리그 투수'!$P$45/('리그 타자'!$B$45^2))/'기본-투수'!AE16,2)</f>
        <v>3.7</v>
      </c>
      <c r="K16" s="45" t="n">
        <f aca="false">'기본-투수'!F16</f>
        <v>1.33</v>
      </c>
      <c r="L16" s="9" t="n">
        <f aca="false">'기본-투수'!G16</f>
        <v>13</v>
      </c>
      <c r="M16" s="86" t="n">
        <f aca="false">'기본-투수'!M16</f>
        <v>74.3333333333333</v>
      </c>
      <c r="N16" s="24" t="n">
        <f aca="false">ROUND(100*'기본-투수'!X16/'기본-투수'!P16,1)</f>
        <v>20.4</v>
      </c>
      <c r="O16" s="24" t="n">
        <f aca="false">ROUND(100*'기본-투수'!U16/'기본-투수'!P16,1)</f>
        <v>7</v>
      </c>
      <c r="P16" s="87" t="n">
        <f aca="false">'기본-투수'!AG16</f>
        <v>215</v>
      </c>
      <c r="Q16" s="87" t="n">
        <f aca="false">'기본-투수'!AH16</f>
        <v>51.3</v>
      </c>
      <c r="R16" s="87" t="n">
        <f aca="false">'기본-투수'!AI16</f>
        <v>39.4</v>
      </c>
      <c r="S16" s="87" t="n">
        <f aca="false">'기본-투수'!AJ16</f>
        <v>9.3</v>
      </c>
      <c r="T16" s="60" t="n">
        <f aca="false">ROUND(Q16/R16,1)</f>
        <v>1.3</v>
      </c>
      <c r="U16" s="9" t="str">
        <f aca="false">'기본-투수'!AC16</f>
        <v>123.3</v>
      </c>
      <c r="V16" s="9" t="str">
        <f aca="false">'기본-투수'!AD16</f>
        <v>108.8</v>
      </c>
      <c r="W16" s="46" t="n">
        <f aca="false">ROUND((('연도별 상수'!$N$45*('기본-투수'!U16-'기본-투수'!W16))+('연도별 상수'!$O$45*'기본-투수'!V16)+('연도별 상수'!$P$45*('기본-투수'!Q16-'기본-투수'!R16-'기본-투수'!S16-'기본-투수'!T16))+('연도별 상수'!$Q$45*'기본-투수'!R16)+('연도별 상수'!$R$44*'기본-투수'!S16)+('연도별 상수'!$S$45*'기본-투수'!T16))/('기본-투수'!P16-'기본-투수'!W16),3)</f>
        <v>0.308</v>
      </c>
      <c r="X16" s="24" t="n">
        <f aca="false">ROUND(50+15*((50-(ROUND((1-(_xlfn.RANK.EQ(G16,G$2:G$278,1)-1)/(COUNT(G$2:G$278)-1))*100,0)*0.3+ROUND((1-(_xlfn.RANK.EQ(H16,H$2:H$278,1)-1)/(COUNT(H$2:H$278)-1))*100,0)*0.25+ROUND((1-(_xlfn.RANK.EQ(I16,I$2:I$278,1)-1)/(COUNT(I$2:I$278)-1))*100,0)*0.25+ROUND((1-(_xlfn.RANK.EQ(J16,J$2:J$278,1)-1)/(COUNT(J$2:J$278)-1))*100,0)*0.2))/21.13),1)</f>
        <v>37.5</v>
      </c>
      <c r="Y16" s="24" t="n">
        <f aca="false">ROUND(_xlfn.NORM.DIST(X16,50,15,TRUE())*100,1)+1</f>
        <v>21.2</v>
      </c>
      <c r="Z16" s="88" t="n">
        <f aca="false">IF((50+_xlfn.NORM.S.INV(1-Y16/100)*10)&gt;=50,_xlfn.FLOOR.MATH((50+_xlfn.NORM.S.INV(1-Y16/100)*10),5),_xlfn.CEILING.MATH((50+_xlfn.NORM.S.INV(1-Y16/100)*10),5))</f>
        <v>55</v>
      </c>
    </row>
    <row r="17" customFormat="false" ht="26.25" hidden="false" customHeight="true" outlineLevel="0" collapsed="false">
      <c r="A17" s="85" t="n">
        <f aca="false">'기본-투수'!A17</f>
        <v>15</v>
      </c>
      <c r="B17" s="24" t="str">
        <f aca="false">'기본-투수'!B17</f>
        <v>임찬규</v>
      </c>
      <c r="C17" s="24" t="str">
        <f aca="false">'기본-투수'!C17</f>
        <v>SP</v>
      </c>
      <c r="D17" s="24" t="str">
        <f aca="false">'기본-투수'!D17</f>
        <v>LG</v>
      </c>
      <c r="E17" s="44" t="n">
        <f aca="false">'기본-투수'!E17</f>
        <v>2026</v>
      </c>
      <c r="F17" s="45" t="n">
        <f aca="false">ROUND((0.54*G17)+(0.25*H17)+(1.46*W17)+0.21,2)</f>
        <v>4.78</v>
      </c>
      <c r="G17" s="45" t="n">
        <f aca="false">ROUND(('연도별 상수'!$Y$45*(P17*(R17/100)*('리그 투수'!$W$45/100))+'연도별 상수'!$Z$45*('기본-투수'!U17+'기본-투수'!V17)+'연도별 상수'!$AA$45*'기본-투수'!X17)/('기본-투수'!P17/('리그 타자'!$C$45/'리그 투수'!$D$45))+'연도별 상수'!$V$45,2)</f>
        <v>5.12</v>
      </c>
      <c r="H17" s="45" t="n">
        <f aca="false">ROUND('리그 투수'!$V$45-16.986*('기본-투수'!X17/'기본-투수'!P17)+11.434*('기본-투수'!U17/'기본-투수'!P17)-1.858*((P17*Q17/100)/'기본-투수'!P17)+7.653*('기본-투수'!X17/'기본-투수'!P17)^2-6.664*((P17*Q17/100)/'기본-투수'!P17)*('기본-투수'!X17/'기본-투수'!P17)+7.374*((P17*Q17/100)/'기본-투수'!P17)*('기본-투수'!U17/'기본-투수'!P17)-7.706*((P17*Q17/100)/'기본-투수'!P17)*('기본-투수'!X17/'기본-투수'!P17)^2,2)</f>
        <v>5.28</v>
      </c>
      <c r="I17" s="45" t="n">
        <f aca="false">ROUND(('연도별 상수'!$Y$45*'기본-투수'!T17+'연도별 상수'!$Z$45*('기본-투수'!U17+'기본-투수'!V17)+'연도별 상수'!$AA$45*'기본-투수'!X17)/('기본-투수'!P17/('리그 타자'!$C$45/'리그 투수'!$D$45))+'연도별 상수'!$V$45,2)</f>
        <v>4.43</v>
      </c>
      <c r="J17" s="45" t="n">
        <f aca="false">ROUND(W17^2*('리그 투수'!$P$45/('리그 타자'!$B$45^2))/'기본-투수'!AE17,2)</f>
        <v>4.66</v>
      </c>
      <c r="K17" s="45" t="n">
        <f aca="false">'기본-투수'!F17</f>
        <v>1.18</v>
      </c>
      <c r="L17" s="9" t="n">
        <f aca="false">'기본-투수'!G17</f>
        <v>14</v>
      </c>
      <c r="M17" s="86" t="n">
        <f aca="false">'기본-투수'!M17</f>
        <v>78.3333333333333</v>
      </c>
      <c r="N17" s="24" t="n">
        <f aca="false">ROUND(100*'기본-투수'!X17/'기본-투수'!P17,1)</f>
        <v>11.9</v>
      </c>
      <c r="O17" s="24" t="n">
        <f aca="false">ROUND(100*'기본-투수'!U17/'기본-투수'!P17,1)</f>
        <v>6.8</v>
      </c>
      <c r="P17" s="87" t="n">
        <f aca="false">'기본-투수'!AG17</f>
        <v>264</v>
      </c>
      <c r="Q17" s="87" t="n">
        <f aca="false">'기본-투수'!AH17</f>
        <v>42.6</v>
      </c>
      <c r="R17" s="87" t="n">
        <f aca="false">'기본-투수'!AI17</f>
        <v>43.4</v>
      </c>
      <c r="S17" s="87" t="n">
        <f aca="false">'기본-투수'!AJ17</f>
        <v>14</v>
      </c>
      <c r="T17" s="60" t="n">
        <f aca="false">ROUND(Q17/R17,1)</f>
        <v>1</v>
      </c>
      <c r="U17" s="9" t="str">
        <f aca="false">'기본-투수'!AC17</f>
        <v>118.5</v>
      </c>
      <c r="V17" s="9" t="str">
        <f aca="false">'기본-투수'!AD17</f>
        <v>93.3</v>
      </c>
      <c r="W17" s="46" t="n">
        <f aca="false">ROUND((('연도별 상수'!$N$45*('기본-투수'!U17-'기본-투수'!W17))+('연도별 상수'!$O$45*'기본-투수'!V17)+('연도별 상수'!$P$45*('기본-투수'!Q17-'기본-투수'!R17-'기본-투수'!S17-'기본-투수'!T17))+('연도별 상수'!$Q$45*'기본-투수'!R17)+('연도별 상수'!$R$44*'기본-투수'!S17)+('연도별 상수'!$S$45*'기본-투수'!T17))/('기본-투수'!P17-'기본-투수'!W17),3)</f>
        <v>0.332</v>
      </c>
      <c r="X17" s="24" t="n">
        <f aca="false">ROUND(50+15*((50-(ROUND((1-(_xlfn.RANK.EQ(G17,G$2:G$278,1)-1)/(COUNT(G$2:G$278)-1))*100,0)*0.3+ROUND((1-(_xlfn.RANK.EQ(H17,H$2:H$278,1)-1)/(COUNT(H$2:H$278)-1))*100,0)*0.25+ROUND((1-(_xlfn.RANK.EQ(I17,I$2:I$278,1)-1)/(COUNT(I$2:I$278)-1))*100,0)*0.25+ROUND((1-(_xlfn.RANK.EQ(J17,J$2:J$278,1)-1)/(COUNT(J$2:J$278)-1))*100,0)*0.2))/21.13),1)</f>
        <v>71.5</v>
      </c>
      <c r="Y17" s="24" t="n">
        <f aca="false">ROUND(_xlfn.NORM.DIST(X17,50,15,TRUE())*100,1)+1</f>
        <v>93.4</v>
      </c>
      <c r="Z17" s="88" t="n">
        <f aca="false">IF((50+_xlfn.NORM.S.INV(1-Y17/100)*10)&gt;=50,_xlfn.FLOOR.MATH((50+_xlfn.NORM.S.INV(1-Y17/100)*10),5),_xlfn.CEILING.MATH((50+_xlfn.NORM.S.INV(1-Y17/100)*10),5))</f>
        <v>35</v>
      </c>
    </row>
    <row r="18" customFormat="false" ht="26.25" hidden="false" customHeight="true" outlineLevel="0" collapsed="false">
      <c r="A18" s="85" t="n">
        <f aca="false">'기본-투수'!A18</f>
        <v>16</v>
      </c>
      <c r="B18" s="24" t="str">
        <f aca="false">'기본-투수'!B18</f>
        <v>김진욱</v>
      </c>
      <c r="C18" s="24" t="str">
        <f aca="false">'기본-투수'!C18</f>
        <v>SP</v>
      </c>
      <c r="D18" s="24" t="str">
        <f aca="false">'기본-투수'!D18</f>
        <v>LOT</v>
      </c>
      <c r="E18" s="44" t="n">
        <f aca="false">'기본-투수'!E18</f>
        <v>2026</v>
      </c>
      <c r="F18" s="45" t="n">
        <f aca="false">ROUND((0.54*G18)+(0.25*H18)+(1.46*W18)+0.21,2)</f>
        <v>3.97</v>
      </c>
      <c r="G18" s="45" t="n">
        <f aca="false">ROUND(('연도별 상수'!$Y$45*(P18*(R18/100)*('리그 투수'!$W$45/100))+'연도별 상수'!$Z$45*('기본-투수'!U18+'기본-투수'!V18)+'연도별 상수'!$AA$45*'기본-투수'!X18)/('기본-투수'!P18/('리그 타자'!$C$45/'리그 투수'!$D$45))+'연도별 상수'!$V$45,2)</f>
        <v>4.23</v>
      </c>
      <c r="H18" s="45" t="n">
        <f aca="false">ROUND('리그 투수'!$V$45-16.986*('기본-투수'!X18/'기본-투수'!P18)+11.434*('기본-투수'!U18/'기본-투수'!P18)-1.858*((P18*Q18/100)/'기본-투수'!P18)+7.653*('기본-투수'!X18/'기본-투수'!P18)^2-6.664*((P18*Q18/100)/'기본-투수'!P18)*('기본-투수'!X18/'기본-투수'!P18)+7.374*((P18*Q18/100)/'기본-투수'!P18)*('기본-투수'!U18/'기본-투수'!P18)-7.706*((P18*Q18/100)/'기본-투수'!P18)*('기본-투수'!X18/'기본-투수'!P18)^2,2)</f>
        <v>4.14</v>
      </c>
      <c r="I18" s="45" t="n">
        <f aca="false">ROUND(('연도별 상수'!$Y$45*'기본-투수'!T18+'연도별 상수'!$Z$45*('기본-투수'!U18+'기본-투수'!V18)+'연도별 상수'!$AA$45*'기본-투수'!X18)/('기본-투수'!P18/('리그 타자'!$C$45/'리그 투수'!$D$45))+'연도별 상수'!$V$45,2)</f>
        <v>4.46</v>
      </c>
      <c r="J18" s="45" t="n">
        <f aca="false">ROUND(W18^2*('리그 투수'!$P$45/('리그 타자'!$B$45^2))/'기본-투수'!AE18,2)</f>
        <v>3.05</v>
      </c>
      <c r="K18" s="45" t="n">
        <f aca="false">'기본-투수'!F18</f>
        <v>1.5</v>
      </c>
      <c r="L18" s="9" t="n">
        <f aca="false">'기본-투수'!G18</f>
        <v>13</v>
      </c>
      <c r="M18" s="86" t="n">
        <f aca="false">'기본-투수'!M18</f>
        <v>75.6666666666667</v>
      </c>
      <c r="N18" s="24" t="n">
        <f aca="false">ROUND(100*'기본-투수'!X18/'기본-투수'!P18,1)</f>
        <v>18.4</v>
      </c>
      <c r="O18" s="24" t="n">
        <f aca="false">ROUND(100*'기본-투수'!U18/'기본-투수'!P18,1)</f>
        <v>6.9</v>
      </c>
      <c r="P18" s="87" t="n">
        <f aca="false">'기본-투수'!AG18</f>
        <v>222</v>
      </c>
      <c r="Q18" s="87" t="n">
        <f aca="false">'기본-투수'!AH18</f>
        <v>47.7</v>
      </c>
      <c r="R18" s="87" t="n">
        <f aca="false">'기본-투수'!AI18</f>
        <v>41.8</v>
      </c>
      <c r="S18" s="87" t="n">
        <f aca="false">'기본-투수'!AJ18</f>
        <v>10.5</v>
      </c>
      <c r="T18" s="60" t="n">
        <f aca="false">ROUND(Q18/R18,1)</f>
        <v>1.1</v>
      </c>
      <c r="U18" s="9" t="str">
        <f aca="false">'기본-투수'!AC18</f>
        <v>137.0</v>
      </c>
      <c r="V18" s="9" t="str">
        <f aca="false">'기본-투수'!AD18</f>
        <v>114.1</v>
      </c>
      <c r="W18" s="46" t="n">
        <f aca="false">ROUND((('연도별 상수'!$N$45*('기본-투수'!U18-'기본-투수'!W18))+('연도별 상수'!$O$45*'기본-투수'!V18)+('연도별 상수'!$P$45*('기본-투수'!Q18-'기본-투수'!R18-'기본-투수'!S18-'기본-투수'!T18))+('연도별 상수'!$Q$45*'기본-투수'!R18)+('연도별 상수'!$R$44*'기본-투수'!S18)+('연도별 상수'!$S$45*'기본-투수'!T18))/('기본-투수'!P18-'기본-투수'!W18),3)</f>
        <v>0.3</v>
      </c>
      <c r="X18" s="24" t="n">
        <f aca="false">ROUND(50+15*((50-(ROUND((1-(_xlfn.RANK.EQ(G18,G$2:G$278,1)-1)/(COUNT(G$2:G$278)-1))*100,0)*0.3+ROUND((1-(_xlfn.RANK.EQ(H18,H$2:H$278,1)-1)/(COUNT(H$2:H$278)-1))*100,0)*0.25+ROUND((1-(_xlfn.RANK.EQ(I18,I$2:I$278,1)-1)/(COUNT(I$2:I$278)-1))*100,0)*0.25+ROUND((1-(_xlfn.RANK.EQ(J18,J$2:J$278,1)-1)/(COUNT(J$2:J$278)-1))*100,0)*0.2))/21.13),1)</f>
        <v>43.5</v>
      </c>
      <c r="Y18" s="24" t="n">
        <f aca="false">ROUND(_xlfn.NORM.DIST(X18,50,15,TRUE())*100,1)+1</f>
        <v>34.2</v>
      </c>
      <c r="Z18" s="88" t="n">
        <f aca="false">IF((50+_xlfn.NORM.S.INV(1-Y18/100)*10)&gt;=50,_xlfn.FLOOR.MATH((50+_xlfn.NORM.S.INV(1-Y18/100)*10),5),_xlfn.CEILING.MATH((50+_xlfn.NORM.S.INV(1-Y18/100)*10),5))</f>
        <v>50</v>
      </c>
    </row>
    <row r="19" customFormat="false" ht="26.25" hidden="false" customHeight="true" outlineLevel="0" collapsed="false">
      <c r="A19" s="85" t="n">
        <f aca="false">'기본-투수'!A19</f>
        <v>17</v>
      </c>
      <c r="B19" s="24" t="str">
        <f aca="false">'기본-투수'!B19</f>
        <v>톨허스트</v>
      </c>
      <c r="C19" s="24" t="str">
        <f aca="false">'기본-투수'!C19</f>
        <v>SP</v>
      </c>
      <c r="D19" s="24" t="str">
        <f aca="false">'기본-투수'!D19</f>
        <v>LG</v>
      </c>
      <c r="E19" s="44" t="n">
        <f aca="false">'기본-투수'!E19</f>
        <v>2026</v>
      </c>
      <c r="F19" s="45" t="n">
        <f aca="false">ROUND((0.54*G19)+(0.25*H19)+(1.46*W19)+0.21,2)</f>
        <v>4.06</v>
      </c>
      <c r="G19" s="45" t="n">
        <f aca="false">ROUND(('연도별 상수'!$Y$45*(P19*(R19/100)*('리그 투수'!$W$45/100))+'연도별 상수'!$Z$45*('기본-투수'!U19+'기본-투수'!V19)+'연도별 상수'!$AA$45*'기본-투수'!X19)/('기본-투수'!P19/('리그 타자'!$C$45/'리그 투수'!$D$45))+'연도별 상수'!$V$45,2)</f>
        <v>4.39</v>
      </c>
      <c r="H19" s="45" t="n">
        <f aca="false">ROUND('리그 투수'!$V$45-16.986*('기본-투수'!X19/'기본-투수'!P19)+11.434*('기본-투수'!U19/'기본-투수'!P19)-1.858*((P19*Q19/100)/'기본-투수'!P19)+7.653*('기본-투수'!X19/'기본-투수'!P19)^2-6.664*((P19*Q19/100)/'기본-투수'!P19)*('기본-투수'!X19/'기본-투수'!P19)+7.374*((P19*Q19/100)/'기본-투수'!P19)*('기본-투수'!U19/'기본-투수'!P19)-7.706*((P19*Q19/100)/'기본-투수'!P19)*('기본-투수'!X19/'기본-투수'!P19)^2,2)</f>
        <v>4.14</v>
      </c>
      <c r="I19" s="45" t="n">
        <f aca="false">ROUND(('연도별 상수'!$Y$45*'기본-투수'!T19+'연도별 상수'!$Z$45*('기본-투수'!U19+'기본-투수'!V19)+'연도별 상수'!$AA$45*'기본-투수'!X19)/('기본-투수'!P19/('리그 타자'!$C$45/'리그 투수'!$D$45))+'연도별 상수'!$V$45,2)</f>
        <v>3.99</v>
      </c>
      <c r="J19" s="45" t="n">
        <f aca="false">ROUND(W19^2*('리그 투수'!$P$45/('리그 타자'!$B$45^2))/'기본-투수'!AE19,2)</f>
        <v>3.93</v>
      </c>
      <c r="K19" s="45" t="n">
        <f aca="false">'기본-투수'!F19</f>
        <v>1.12</v>
      </c>
      <c r="L19" s="9" t="n">
        <f aca="false">'기본-투수'!G19</f>
        <v>14</v>
      </c>
      <c r="M19" s="86" t="n">
        <f aca="false">'기본-투수'!M19</f>
        <v>76</v>
      </c>
      <c r="N19" s="24" t="n">
        <f aca="false">ROUND(100*'기본-투수'!X19/'기본-투수'!P19,1)</f>
        <v>18.7</v>
      </c>
      <c r="O19" s="24" t="n">
        <f aca="false">ROUND(100*'기본-투수'!U19/'기본-투수'!P19,1)</f>
        <v>6.1</v>
      </c>
      <c r="P19" s="87" t="n">
        <f aca="false">'기본-투수'!AG19</f>
        <v>230</v>
      </c>
      <c r="Q19" s="87" t="n">
        <f aca="false">'기본-투수'!AH19</f>
        <v>39.1</v>
      </c>
      <c r="R19" s="87" t="n">
        <f aca="false">'기본-투수'!AI19</f>
        <v>45</v>
      </c>
      <c r="S19" s="87" t="n">
        <f aca="false">'기본-투수'!AJ19</f>
        <v>16</v>
      </c>
      <c r="T19" s="60" t="n">
        <f aca="false">ROUND(Q19/R19,1)</f>
        <v>0.9</v>
      </c>
      <c r="U19" s="9" t="str">
        <f aca="false">'기본-투수'!AC19</f>
        <v>104.8</v>
      </c>
      <c r="V19" s="9" t="str">
        <f aca="false">'기본-투수'!AD19</f>
        <v>103.4</v>
      </c>
      <c r="W19" s="46" t="n">
        <f aca="false">ROUND((('연도별 상수'!$N$45*('기본-투수'!U19-'기본-투수'!W19))+('연도별 상수'!$O$45*'기본-투수'!V19)+('연도별 상수'!$P$45*('기본-투수'!Q19-'기본-투수'!R19-'기본-투수'!S19-'기본-투수'!T19))+('연도별 상수'!$Q$45*'기본-투수'!R19)+('연도별 상수'!$R$44*'기본-투수'!S19)+('연도별 상수'!$S$45*'기본-투수'!T19))/('기본-투수'!P19-'기본-투수'!W19),3)</f>
        <v>0.305</v>
      </c>
      <c r="X19" s="24" t="n">
        <f aca="false">ROUND(50+15*((50-(ROUND((1-(_xlfn.RANK.EQ(G19,G$2:G$278,1)-1)/(COUNT(G$2:G$278)-1))*100,0)*0.3+ROUND((1-(_xlfn.RANK.EQ(H19,H$2:H$278,1)-1)/(COUNT(H$2:H$278)-1))*100,0)*0.25+ROUND((1-(_xlfn.RANK.EQ(I19,I$2:I$278,1)-1)/(COUNT(I$2:I$278)-1))*100,0)*0.25+ROUND((1-(_xlfn.RANK.EQ(J19,J$2:J$278,1)-1)/(COUNT(J$2:J$278)-1))*100,0)*0.2))/21.13),1)</f>
        <v>47.3</v>
      </c>
      <c r="Y19" s="24" t="n">
        <f aca="false">ROUND(_xlfn.NORM.DIST(X19,50,15,TRUE())*100,1)+1</f>
        <v>43.9</v>
      </c>
      <c r="Z19" s="88" t="n">
        <f aca="false">IF((50+_xlfn.NORM.S.INV(1-Y19/100)*10)&gt;=50,_xlfn.FLOOR.MATH((50+_xlfn.NORM.S.INV(1-Y19/100)*10),5),_xlfn.CEILING.MATH((50+_xlfn.NORM.S.INV(1-Y19/100)*10),5))</f>
        <v>50</v>
      </c>
    </row>
    <row r="20" customFormat="false" ht="26.25" hidden="false" customHeight="true" outlineLevel="0" collapsed="false">
      <c r="A20" s="85" t="n">
        <f aca="false">'기본-투수'!A20</f>
        <v>18</v>
      </c>
      <c r="B20" s="24" t="str">
        <f aca="false">'기본-투수'!B20</f>
        <v>오러클린</v>
      </c>
      <c r="C20" s="24" t="str">
        <f aca="false">'기본-투수'!C20</f>
        <v>SP</v>
      </c>
      <c r="D20" s="24" t="str">
        <f aca="false">'기본-투수'!D20</f>
        <v>SAM</v>
      </c>
      <c r="E20" s="44" t="n">
        <f aca="false">'기본-투수'!E20</f>
        <v>2026</v>
      </c>
      <c r="F20" s="45" t="n">
        <f aca="false">ROUND((0.54*G20)+(0.25*H20)+(1.46*W20)+0.21,2)</f>
        <v>4.05</v>
      </c>
      <c r="G20" s="45" t="n">
        <f aca="false">ROUND(('연도별 상수'!$Y$45*(P20*(R20/100)*('리그 투수'!$W$45/100))+'연도별 상수'!$Z$45*('기본-투수'!U20+'기본-투수'!V20)+'연도별 상수'!$AA$45*'기본-투수'!X20)/('기본-투수'!P20/('리그 타자'!$C$45/'리그 투수'!$D$45))+'연도별 상수'!$V$45,2)</f>
        <v>4.41</v>
      </c>
      <c r="H20" s="45" t="n">
        <f aca="false">ROUND('리그 투수'!$V$45-16.986*('기본-투수'!X20/'기본-투수'!P20)+11.434*('기본-투수'!U20/'기본-투수'!P20)-1.858*((P20*Q20/100)/'기본-투수'!P20)+7.653*('기본-투수'!X20/'기본-투수'!P20)^2-6.664*((P20*Q20/100)/'기본-투수'!P20)*('기본-투수'!X20/'기본-투수'!P20)+7.374*((P20*Q20/100)/'기본-투수'!P20)*('기본-투수'!U20/'기본-투수'!P20)-7.706*((P20*Q20/100)/'기본-투수'!P20)*('기본-투수'!X20/'기본-투수'!P20)^2,2)</f>
        <v>4</v>
      </c>
      <c r="I20" s="45" t="n">
        <f aca="false">ROUND(('연도별 상수'!$Y$45*'기본-투수'!T20+'연도별 상수'!$Z$45*('기본-투수'!U20+'기본-투수'!V20)+'연도별 상수'!$AA$45*'기본-투수'!X20)/('기본-투수'!P20/('리그 타자'!$C$45/'리그 투수'!$D$45))+'연도별 상수'!$V$45,2)</f>
        <v>4.35</v>
      </c>
      <c r="J20" s="45" t="n">
        <f aca="false">ROUND(W20^2*('리그 투수'!$P$45/('리그 타자'!$B$45^2))/'기본-투수'!AE20,2)</f>
        <v>3.58</v>
      </c>
      <c r="K20" s="45" t="n">
        <f aca="false">'기본-투수'!F20</f>
        <v>1.21</v>
      </c>
      <c r="L20" s="9" t="n">
        <f aca="false">'기본-투수'!G20</f>
        <v>14</v>
      </c>
      <c r="M20" s="86" t="n">
        <f aca="false">'기본-투수'!M20</f>
        <v>71.6666666666667</v>
      </c>
      <c r="N20" s="24" t="n">
        <f aca="false">ROUND(100*'기본-투수'!X20/'기본-투수'!P20,1)</f>
        <v>22.7</v>
      </c>
      <c r="O20" s="24" t="n">
        <f aca="false">ROUND(100*'기본-투수'!U20/'기본-투수'!P20,1)</f>
        <v>10.7</v>
      </c>
      <c r="P20" s="87" t="n">
        <f aca="false">'기본-투수'!AG20</f>
        <v>186</v>
      </c>
      <c r="Q20" s="87" t="n">
        <f aca="false">'기본-투수'!AH20</f>
        <v>51.8</v>
      </c>
      <c r="R20" s="87" t="n">
        <f aca="false">'기본-투수'!AI20</f>
        <v>41.6</v>
      </c>
      <c r="S20" s="87" t="n">
        <f aca="false">'기본-투수'!AJ20</f>
        <v>6.6</v>
      </c>
      <c r="T20" s="60" t="n">
        <f aca="false">ROUND(Q20/R20,1)</f>
        <v>1.2</v>
      </c>
      <c r="U20" s="9" t="str">
        <f aca="false">'기본-투수'!AC20</f>
        <v>120.4</v>
      </c>
      <c r="V20" s="9" t="str">
        <f aca="false">'기본-투수'!AD20</f>
        <v>109.2</v>
      </c>
      <c r="W20" s="46" t="n">
        <f aca="false">ROUND((('연도별 상수'!$N$45*('기본-투수'!U20-'기본-투수'!W20))+('연도별 상수'!$O$45*'기본-투수'!V20)+('연도별 상수'!$P$45*('기본-투수'!Q20-'기본-투수'!R20-'기본-투수'!S20-'기본-투수'!T20))+('연도별 상수'!$Q$45*'기본-투수'!R20)+('연도별 상수'!$R$44*'기본-투수'!S20)+('연도별 상수'!$S$45*'기본-투수'!T20))/('기본-투수'!P20-'기본-투수'!W20),3)</f>
        <v>0.313</v>
      </c>
      <c r="X20" s="24" t="n">
        <f aca="false">ROUND(50+15*((50-(ROUND((1-(_xlfn.RANK.EQ(G20,G$2:G$278,1)-1)/(COUNT(G$2:G$278)-1))*100,0)*0.3+ROUND((1-(_xlfn.RANK.EQ(H20,H$2:H$278,1)-1)/(COUNT(H$2:H$278)-1))*100,0)*0.25+ROUND((1-(_xlfn.RANK.EQ(I20,I$2:I$278,1)-1)/(COUNT(I$2:I$278)-1))*100,0)*0.25+ROUND((1-(_xlfn.RANK.EQ(J20,J$2:J$278,1)-1)/(COUNT(J$2:J$278)-1))*100,0)*0.2))/21.13),1)</f>
        <v>46.9</v>
      </c>
      <c r="Y20" s="24" t="n">
        <f aca="false">ROUND(_xlfn.NORM.DIST(X20,50,15,TRUE())*100,1)+1</f>
        <v>42.8</v>
      </c>
      <c r="Z20" s="88" t="n">
        <f aca="false">IF((50+_xlfn.NORM.S.INV(1-Y20/100)*10)&gt;=50,_xlfn.FLOOR.MATH((50+_xlfn.NORM.S.INV(1-Y20/100)*10),5),_xlfn.CEILING.MATH((50+_xlfn.NORM.S.INV(1-Y20/100)*10),5))</f>
        <v>50</v>
      </c>
    </row>
    <row r="21" customFormat="false" ht="26.25" hidden="false" customHeight="true" outlineLevel="0" collapsed="false">
      <c r="A21" s="85" t="n">
        <f aca="false">'기본-투수'!A21</f>
        <v>19</v>
      </c>
      <c r="B21" s="24" t="str">
        <f aca="false">'기본-투수'!B21</f>
        <v>나균안</v>
      </c>
      <c r="C21" s="24" t="str">
        <f aca="false">'기본-투수'!C21</f>
        <v>SP</v>
      </c>
      <c r="D21" s="24" t="str">
        <f aca="false">'기본-투수'!D21</f>
        <v>LOT</v>
      </c>
      <c r="E21" s="44" t="n">
        <f aca="false">'기본-투수'!E21</f>
        <v>2026</v>
      </c>
      <c r="F21" s="45" t="n">
        <f aca="false">ROUND((0.54*G21)+(0.25*H21)+(1.46*W21)+0.21,2)</f>
        <v>3.9</v>
      </c>
      <c r="G21" s="45" t="n">
        <f aca="false">ROUND(('연도별 상수'!$Y$45*(P21*(R21/100)*('리그 투수'!$W$45/100))+'연도별 상수'!$Z$45*('기본-투수'!U21+'기본-투수'!V21)+'연도별 상수'!$AA$45*'기본-투수'!X21)/('기본-투수'!P21/('리그 타자'!$C$45/'리그 투수'!$D$45))+'연도별 상수'!$V$45,2)</f>
        <v>3.98</v>
      </c>
      <c r="H21" s="45" t="n">
        <f aca="false">ROUND('리그 투수'!$V$45-16.986*('기본-투수'!X21/'기본-투수'!P21)+11.434*('기본-투수'!U21/'기본-투수'!P21)-1.858*((P21*Q21/100)/'기본-투수'!P21)+7.653*('기본-투수'!X21/'기본-투수'!P21)^2-6.664*((P21*Q21/100)/'기본-투수'!P21)*('기본-투수'!X21/'기본-투수'!P21)+7.374*((P21*Q21/100)/'기본-투수'!P21)*('기본-투수'!U21/'기본-투수'!P21)-7.706*((P21*Q21/100)/'기본-투수'!P21)*('기본-투수'!X21/'기본-투수'!P21)^2,2)</f>
        <v>4.13</v>
      </c>
      <c r="I21" s="45" t="n">
        <f aca="false">ROUND(('연도별 상수'!$Y$45*'기본-투수'!T21+'연도별 상수'!$Z$45*('기본-투수'!U21+'기본-투수'!V21)+'연도별 상수'!$AA$45*'기본-투수'!X21)/('기본-투수'!P21/('리그 타자'!$C$45/'리그 투수'!$D$45))+'연도별 상수'!$V$45,2)</f>
        <v>4.64</v>
      </c>
      <c r="J21" s="45" t="n">
        <f aca="false">ROUND(W21^2*('리그 투수'!$P$45/('리그 타자'!$B$45^2))/'기본-투수'!AE21,2)</f>
        <v>4.1</v>
      </c>
      <c r="K21" s="45" t="n">
        <f aca="false">'기본-투수'!F21</f>
        <v>1.29</v>
      </c>
      <c r="L21" s="9" t="n">
        <f aca="false">'기본-투수'!G21</f>
        <v>13</v>
      </c>
      <c r="M21" s="86" t="n">
        <f aca="false">'기본-투수'!M21</f>
        <v>74.6666666666667</v>
      </c>
      <c r="N21" s="24" t="n">
        <f aca="false">ROUND(100*'기본-투수'!X21/'기본-투수'!P21,1)</f>
        <v>19.4</v>
      </c>
      <c r="O21" s="24" t="n">
        <f aca="false">ROUND(100*'기본-투수'!U21/'기본-투수'!P21,1)</f>
        <v>7.1</v>
      </c>
      <c r="P21" s="87" t="n">
        <f aca="false">'기본-투수'!AG21</f>
        <v>221</v>
      </c>
      <c r="Q21" s="87" t="n">
        <f aca="false">'기본-투수'!AH21</f>
        <v>41.8</v>
      </c>
      <c r="R21" s="87" t="n">
        <f aca="false">'기본-투수'!AI21</f>
        <v>38</v>
      </c>
      <c r="S21" s="87" t="n">
        <f aca="false">'기본-투수'!AJ21</f>
        <v>20.3</v>
      </c>
      <c r="T21" s="60" t="n">
        <f aca="false">ROUND(Q21/R21,1)</f>
        <v>1.1</v>
      </c>
      <c r="U21" s="9" t="str">
        <f aca="false">'기본-투수'!AC21</f>
        <v>127.0</v>
      </c>
      <c r="V21" s="9" t="str">
        <f aca="false">'기본-투수'!AD21</f>
        <v>110.5</v>
      </c>
      <c r="W21" s="46" t="n">
        <f aca="false">ROUND((('연도별 상수'!$N$45*('기본-투수'!U21-'기본-투수'!W21))+('연도별 상수'!$O$45*'기본-투수'!V21)+('연도별 상수'!$P$45*('기본-투수'!Q21-'기본-투수'!R21-'기본-투수'!S21-'기본-투수'!T21))+('연도별 상수'!$Q$45*'기본-투수'!R21)+('연도별 상수'!$R$44*'기본-투수'!S21)+('연도별 상수'!$S$45*'기본-투수'!T21))/('기본-투수'!P21-'기본-투수'!W21),3)</f>
        <v>0.348</v>
      </c>
      <c r="X21" s="24" t="n">
        <f aca="false">ROUND(50+15*((50-(ROUND((1-(_xlfn.RANK.EQ(G21,G$2:G$278,1)-1)/(COUNT(G$2:G$278)-1))*100,0)*0.3+ROUND((1-(_xlfn.RANK.EQ(H21,H$2:H$278,1)-1)/(COUNT(H$2:H$278)-1))*100,0)*0.25+ROUND((1-(_xlfn.RANK.EQ(I21,I$2:I$278,1)-1)/(COUNT(I$2:I$278)-1))*100,0)*0.25+ROUND((1-(_xlfn.RANK.EQ(J21,J$2:J$278,1)-1)/(COUNT(J$2:J$278)-1))*100,0)*0.2))/21.13),1)</f>
        <v>49.9</v>
      </c>
      <c r="Y21" s="24" t="n">
        <f aca="false">ROUND(_xlfn.NORM.DIST(X21,50,15,TRUE())*100,1)+1</f>
        <v>50.7</v>
      </c>
      <c r="Z21" s="88" t="n">
        <f aca="false">IF((50+_xlfn.NORM.S.INV(1-Y21/100)*10)&gt;=50,_xlfn.FLOOR.MATH((50+_xlfn.NORM.S.INV(1-Y21/100)*10),5),_xlfn.CEILING.MATH((50+_xlfn.NORM.S.INV(1-Y21/100)*10),5))</f>
        <v>50</v>
      </c>
    </row>
    <row r="22" customFormat="false" ht="26.25" hidden="false" customHeight="true" outlineLevel="0" collapsed="false">
      <c r="A22" s="85" t="n">
        <f aca="false">'기본-투수'!A22</f>
        <v>20</v>
      </c>
      <c r="B22" s="24" t="str">
        <f aca="false">'기본-투수'!B22</f>
        <v>최원태</v>
      </c>
      <c r="C22" s="24" t="str">
        <f aca="false">'기본-투수'!C22</f>
        <v>SP</v>
      </c>
      <c r="D22" s="24" t="str">
        <f aca="false">'기본-투수'!D22</f>
        <v>SAM</v>
      </c>
      <c r="E22" s="44" t="n">
        <f aca="false">'기본-투수'!E22</f>
        <v>2026</v>
      </c>
      <c r="F22" s="45" t="n">
        <f aca="false">ROUND((0.54*G22)+(0.25*H22)+(1.46*W22)+0.21,2)</f>
        <v>4.08</v>
      </c>
      <c r="G22" s="45" t="n">
        <f aca="false">ROUND(('연도별 상수'!$Y$45*(P22*(R22/100)*('리그 투수'!$W$45/100))+'연도별 상수'!$Z$45*('기본-투수'!U22+'기본-투수'!V22)+'연도별 상수'!$AA$45*'기본-투수'!X22)/('기본-투수'!P22/('리그 타자'!$C$45/'리그 투수'!$D$45))+'연도별 상수'!$V$45,2)</f>
        <v>4.29</v>
      </c>
      <c r="H22" s="45" t="n">
        <f aca="false">ROUND('리그 투수'!$V$45-16.986*('기본-투수'!X22/'기본-투수'!P22)+11.434*('기본-투수'!U22/'기본-투수'!P22)-1.858*((P22*Q22/100)/'기본-투수'!P22)+7.653*('기본-투수'!X22/'기본-투수'!P22)^2-6.664*((P22*Q22/100)/'기본-투수'!P22)*('기본-투수'!X22/'기본-투수'!P22)+7.374*((P22*Q22/100)/'기본-투수'!P22)*('기본-투수'!U22/'기본-투수'!P22)-7.706*((P22*Q22/100)/'기본-투수'!P22)*('기본-투수'!X22/'기본-투수'!P22)^2,2)</f>
        <v>4.21</v>
      </c>
      <c r="I22" s="45" t="n">
        <f aca="false">ROUND(('연도별 상수'!$Y$45*'기본-투수'!T22+'연도별 상수'!$Z$45*('기본-투수'!U22+'기본-투수'!V22)+'연도별 상수'!$AA$45*'기본-투수'!X22)/('기본-투수'!P22/('리그 타자'!$C$45/'리그 투수'!$D$45))+'연도별 상수'!$V$45,2)</f>
        <v>4.09</v>
      </c>
      <c r="J22" s="45" t="n">
        <f aca="false">ROUND(W22^2*('리그 투수'!$P$45/('리그 타자'!$B$45^2))/'기본-투수'!AE22,2)</f>
        <v>4.32</v>
      </c>
      <c r="K22" s="45" t="n">
        <f aca="false">'기본-투수'!F22</f>
        <v>1.03</v>
      </c>
      <c r="L22" s="9" t="n">
        <f aca="false">'기본-투수'!G22</f>
        <v>12</v>
      </c>
      <c r="M22" s="86" t="n">
        <f aca="false">'기본-투수'!M22</f>
        <v>65.6666666666667</v>
      </c>
      <c r="N22" s="24" t="n">
        <f aca="false">ROUND(100*'기본-투수'!X22/'기본-투수'!P22,1)</f>
        <v>20.8</v>
      </c>
      <c r="O22" s="24" t="n">
        <f aca="false">ROUND(100*'기본-투수'!U22/'기본-투수'!P22,1)</f>
        <v>10.2</v>
      </c>
      <c r="P22" s="87" t="n">
        <f aca="false">'기본-투수'!AG22</f>
        <v>185</v>
      </c>
      <c r="Q22" s="87" t="n">
        <f aca="false">'기본-투수'!AH22</f>
        <v>49.2</v>
      </c>
      <c r="R22" s="87" t="n">
        <f aca="false">'기본-투수'!AI22</f>
        <v>39.9</v>
      </c>
      <c r="S22" s="87" t="n">
        <f aca="false">'기본-투수'!AJ22</f>
        <v>10.9</v>
      </c>
      <c r="T22" s="60" t="n">
        <f aca="false">ROUND(Q22/R22,1)</f>
        <v>1.2</v>
      </c>
      <c r="U22" s="9" t="str">
        <f aca="false">'기본-투수'!AC22</f>
        <v>110.4</v>
      </c>
      <c r="V22" s="9" t="str">
        <f aca="false">'기본-투수'!AD22</f>
        <v>114.5</v>
      </c>
      <c r="W22" s="46" t="n">
        <f aca="false">ROUND((('연도별 상수'!$N$45*('기본-투수'!U22-'기본-투수'!W22))+('연도별 상수'!$O$45*'기본-투수'!V22)+('연도별 상수'!$P$45*('기본-투수'!Q22-'기본-투수'!R22-'기본-투수'!S22-'기본-투수'!T22))+('연도별 상수'!$Q$45*'기본-투수'!R22)+('연도별 상수'!$R$44*'기본-투수'!S22)+('연도별 상수'!$S$45*'기본-투수'!T22))/('기본-투수'!P22-'기본-투수'!W22),3)</f>
        <v>0.344</v>
      </c>
      <c r="X22" s="24" t="n">
        <f aca="false">ROUND(50+15*((50-(ROUND((1-(_xlfn.RANK.EQ(G22,G$2:G$278,1)-1)/(COUNT(G$2:G$278)-1))*100,0)*0.3+ROUND((1-(_xlfn.RANK.EQ(H22,H$2:H$278,1)-1)/(COUNT(H$2:H$278)-1))*100,0)*0.25+ROUND((1-(_xlfn.RANK.EQ(I22,I$2:I$278,1)-1)/(COUNT(I$2:I$278)-1))*100,0)*0.25+ROUND((1-(_xlfn.RANK.EQ(J22,J$2:J$278,1)-1)/(COUNT(J$2:J$278)-1))*100,0)*0.2))/21.13),1)</f>
        <v>52.7</v>
      </c>
      <c r="Y22" s="24" t="n">
        <f aca="false">ROUND(_xlfn.NORM.DIST(X22,50,15,TRUE())*100,1)+1</f>
        <v>58.1</v>
      </c>
      <c r="Z22" s="88" t="n">
        <f aca="false">IF((50+_xlfn.NORM.S.INV(1-Y22/100)*10)&gt;=50,_xlfn.FLOOR.MATH((50+_xlfn.NORM.S.INV(1-Y22/100)*10),5),_xlfn.CEILING.MATH((50+_xlfn.NORM.S.INV(1-Y22/100)*10),5))</f>
        <v>50</v>
      </c>
    </row>
    <row r="23" customFormat="false" ht="26.25" hidden="false" customHeight="true" outlineLevel="0" collapsed="false">
      <c r="A23" s="85" t="n">
        <f aca="false">'기본-투수'!A23</f>
        <v>21</v>
      </c>
      <c r="B23" s="24" t="str">
        <f aca="false">'기본-투수'!B23</f>
        <v>사우어</v>
      </c>
      <c r="C23" s="24" t="str">
        <f aca="false">'기본-투수'!C23</f>
        <v>SP</v>
      </c>
      <c r="D23" s="24" t="str">
        <f aca="false">'기본-투수'!D23</f>
        <v>KT</v>
      </c>
      <c r="E23" s="44" t="n">
        <f aca="false">'기본-투수'!E23</f>
        <v>2026</v>
      </c>
      <c r="F23" s="45" t="n">
        <f aca="false">ROUND((0.54*G23)+(0.25*H23)+(1.46*W23)+0.21,2)</f>
        <v>4.62</v>
      </c>
      <c r="G23" s="45" t="n">
        <f aca="false">ROUND(('연도별 상수'!$Y$45*(P23*(R23/100)*('리그 투수'!$W$45/100))+'연도별 상수'!$Z$45*('기본-투수'!U23+'기본-투수'!V23)+'연도별 상수'!$AA$45*'기본-투수'!X23)/('기본-투수'!P23/('리그 타자'!$C$45/'리그 투수'!$D$45))+'연도별 상수'!$V$45,2)</f>
        <v>5.08</v>
      </c>
      <c r="H23" s="45" t="n">
        <f aca="false">ROUND('리그 투수'!$V$45-16.986*('기본-투수'!X23/'기본-투수'!P23)+11.434*('기본-투수'!U23/'기본-투수'!P23)-1.858*((P23*Q23/100)/'기본-투수'!P23)+7.653*('기본-투수'!X23/'기본-투수'!P23)^2-6.664*((P23*Q23/100)/'기본-투수'!P23)*('기본-투수'!X23/'기본-투수'!P23)+7.374*((P23*Q23/100)/'기본-투수'!P23)*('기본-투수'!U23/'기본-투수'!P23)-7.706*((P23*Q23/100)/'기본-투수'!P23)*('기본-투수'!X23/'기본-투수'!P23)^2,2)</f>
        <v>4.75</v>
      </c>
      <c r="I23" s="45" t="n">
        <f aca="false">ROUND(('연도별 상수'!$Y$45*'기본-투수'!T23+'연도별 상수'!$Z$45*('기본-투수'!U23+'기본-투수'!V23)+'연도별 상수'!$AA$45*'기본-투수'!X23)/('기본-투수'!P23/('리그 타자'!$C$45/'리그 투수'!$D$45))+'연도별 상수'!$V$45,2)</f>
        <v>4.74</v>
      </c>
      <c r="J23" s="45" t="n">
        <f aca="false">ROUND(W23^2*('리그 투수'!$P$45/('리그 타자'!$B$45^2))/'기본-투수'!AE23,2)</f>
        <v>3.87</v>
      </c>
      <c r="K23" s="45" t="n">
        <f aca="false">'기본-투수'!F23</f>
        <v>1.11</v>
      </c>
      <c r="L23" s="9" t="n">
        <f aca="false">'기본-투수'!G23</f>
        <v>14</v>
      </c>
      <c r="M23" s="86" t="n">
        <f aca="false">'기본-투수'!M23</f>
        <v>81.3333333333333</v>
      </c>
      <c r="N23" s="24" t="n">
        <f aca="false">ROUND(100*'기본-투수'!X23/'기본-투수'!P23,1)</f>
        <v>17.8</v>
      </c>
      <c r="O23" s="24" t="n">
        <f aca="false">ROUND(100*'기본-투수'!U23/'기본-투수'!P23,1)</f>
        <v>9.3</v>
      </c>
      <c r="P23" s="87" t="n">
        <f aca="false">'기본-투수'!AG23</f>
        <v>239</v>
      </c>
      <c r="Q23" s="87" t="n">
        <f aca="false">'기본-투수'!AH23</f>
        <v>39.3</v>
      </c>
      <c r="R23" s="87" t="n">
        <f aca="false">'기본-투수'!AI23</f>
        <v>47.4</v>
      </c>
      <c r="S23" s="87" t="n">
        <f aca="false">'기본-투수'!AJ23</f>
        <v>13.4</v>
      </c>
      <c r="T23" s="60" t="n">
        <f aca="false">ROUND(Q23/R23,1)</f>
        <v>0.8</v>
      </c>
      <c r="U23" s="9" t="str">
        <f aca="false">'기본-투수'!AC23</f>
        <v>115.0</v>
      </c>
      <c r="V23" s="9" t="str">
        <f aca="false">'기본-투수'!AD23</f>
        <v>102.4</v>
      </c>
      <c r="W23" s="46" t="n">
        <f aca="false">ROUND((('연도별 상수'!$N$45*('기본-투수'!U23-'기본-투수'!W23))+('연도별 상수'!$O$45*'기본-투수'!V23)+('연도별 상수'!$P$45*('기본-투수'!Q23-'기본-투수'!R23-'기본-투수'!S23-'기본-투수'!T23))+('연도별 상수'!$Q$45*'기본-투수'!R23)+('연도별 상수'!$R$44*'기본-투수'!S23)+('연도별 상수'!$S$45*'기본-투수'!T23))/('기본-투수'!P23-'기본-투수'!W23),3)</f>
        <v>0.327</v>
      </c>
      <c r="X23" s="24" t="n">
        <f aca="false">ROUND(50+15*((50-(ROUND((1-(_xlfn.RANK.EQ(G23,G$2:G$278,1)-1)/(COUNT(G$2:G$278)-1))*100,0)*0.3+ROUND((1-(_xlfn.RANK.EQ(H23,H$2:H$278,1)-1)/(COUNT(H$2:H$278)-1))*100,0)*0.25+ROUND((1-(_xlfn.RANK.EQ(I23,I$2:I$278,1)-1)/(COUNT(I$2:I$278)-1))*100,0)*0.25+ROUND((1-(_xlfn.RANK.EQ(J23,J$2:J$278,1)-1)/(COUNT(J$2:J$278)-1))*100,0)*0.2))/21.13),1)</f>
        <v>66.5</v>
      </c>
      <c r="Y23" s="24" t="n">
        <f aca="false">ROUND(_xlfn.NORM.DIST(X23,50,15,TRUE())*100,1)+1</f>
        <v>87.4</v>
      </c>
      <c r="Z23" s="88" t="n">
        <f aca="false">IF((50+_xlfn.NORM.S.INV(1-Y23/100)*10)&gt;=50,_xlfn.FLOOR.MATH((50+_xlfn.NORM.S.INV(1-Y23/100)*10),5),_xlfn.CEILING.MATH((50+_xlfn.NORM.S.INV(1-Y23/100)*10),5))</f>
        <v>40</v>
      </c>
    </row>
    <row r="24" customFormat="false" ht="26.25" hidden="false" customHeight="true" outlineLevel="0" collapsed="false">
      <c r="A24" s="85" t="n">
        <f aca="false">'기본-투수'!A24</f>
        <v>22</v>
      </c>
      <c r="B24" s="24" t="str">
        <f aca="false">'기본-투수'!B24</f>
        <v>왕옌청</v>
      </c>
      <c r="C24" s="24" t="str">
        <f aca="false">'기본-투수'!C24</f>
        <v>SP</v>
      </c>
      <c r="D24" s="24" t="str">
        <f aca="false">'기본-투수'!D24</f>
        <v>HAN</v>
      </c>
      <c r="E24" s="44" t="n">
        <f aca="false">'기본-투수'!E24</f>
        <v>2026</v>
      </c>
      <c r="F24" s="45" t="n">
        <f aca="false">ROUND((0.54*G24)+(0.25*H24)+(1.46*W24)+0.21,2)</f>
        <v>4.22</v>
      </c>
      <c r="G24" s="45" t="n">
        <f aca="false">ROUND(('연도별 상수'!$Y$45*(P24*(R24/100)*('리그 투수'!$W$45/100))+'연도별 상수'!$Z$45*('기본-투수'!U24+'기본-투수'!V24)+'연도별 상수'!$AA$45*'기본-투수'!X24)/('기본-투수'!P24/('리그 타자'!$C$45/'리그 투수'!$D$45))+'연도별 상수'!$V$45,2)</f>
        <v>4.45</v>
      </c>
      <c r="H24" s="45" t="n">
        <f aca="false">ROUND('리그 투수'!$V$45-16.986*('기본-투수'!X24/'기본-투수'!P24)+11.434*('기본-투수'!U24/'기본-투수'!P24)-1.858*((P24*Q24/100)/'기본-투수'!P24)+7.653*('기본-투수'!X24/'기본-투수'!P24)^2-6.664*((P24*Q24/100)/'기본-투수'!P24)*('기본-투수'!X24/'기본-투수'!P24)+7.374*((P24*Q24/100)/'기본-투수'!P24)*('기본-투수'!U24/'기본-투수'!P24)-7.706*((P24*Q24/100)/'기본-투수'!P24)*('기본-투수'!X24/'기본-투수'!P24)^2,2)</f>
        <v>4.45</v>
      </c>
      <c r="I24" s="45" t="n">
        <f aca="false">ROUND(('연도별 상수'!$Y$45*'기본-투수'!T24+'연도별 상수'!$Z$45*('기본-투수'!U24+'기본-투수'!V24)+'연도별 상수'!$AA$45*'기본-투수'!X24)/('기본-투수'!P24/('리그 타자'!$C$45/'리그 투수'!$D$45))+'연도별 상수'!$V$45,2)</f>
        <v>4.51</v>
      </c>
      <c r="J24" s="45" t="n">
        <f aca="false">ROUND(W24^2*('리그 투수'!$P$45/('리그 타자'!$B$45^2))/'기본-투수'!AE24,2)</f>
        <v>3.85</v>
      </c>
      <c r="K24" s="45" t="n">
        <f aca="false">'기본-투수'!F24</f>
        <v>1.21</v>
      </c>
      <c r="L24" s="9" t="n">
        <f aca="false">'기본-투수'!G24</f>
        <v>15</v>
      </c>
      <c r="M24" s="86" t="n">
        <f aca="false">'기본-투수'!M24</f>
        <v>74.6666666666667</v>
      </c>
      <c r="N24" s="24" t="n">
        <f aca="false">ROUND(100*'기본-투수'!X24/'기본-투수'!P24,1)</f>
        <v>18.8</v>
      </c>
      <c r="O24" s="24" t="n">
        <f aca="false">ROUND(100*'기본-투수'!U24/'기본-투수'!P24,1)</f>
        <v>10.4</v>
      </c>
      <c r="P24" s="87" t="n">
        <f aca="false">'기본-투수'!AG24</f>
        <v>224</v>
      </c>
      <c r="Q24" s="87" t="n">
        <f aca="false">'기본-투수'!AH24</f>
        <v>56.3</v>
      </c>
      <c r="R24" s="87" t="n">
        <f aca="false">'기본-투수'!AI24</f>
        <v>30.7</v>
      </c>
      <c r="S24" s="87" t="n">
        <f aca="false">'기본-투수'!AJ24</f>
        <v>13</v>
      </c>
      <c r="T24" s="60" t="n">
        <f aca="false">ROUND(Q24/R24,1)</f>
        <v>1.8</v>
      </c>
      <c r="U24" s="9" t="str">
        <f aca="false">'기본-투수'!AC24</f>
        <v>129.6</v>
      </c>
      <c r="V24" s="9" t="str">
        <f aca="false">'기본-투수'!AD24</f>
        <v>113.1</v>
      </c>
      <c r="W24" s="46" t="n">
        <f aca="false">ROUND((('연도별 상수'!$N$45*('기본-투수'!U24-'기본-투수'!W24))+('연도별 상수'!$O$45*'기본-투수'!V24)+('연도별 상수'!$P$45*('기본-투수'!Q24-'기본-투수'!R24-'기본-투수'!S24-'기본-투수'!T24))+('연도별 상수'!$Q$45*'기본-투수'!R24)+('연도별 상수'!$R$44*'기본-투수'!S24)+('연도별 상수'!$S$45*'기본-투수'!T24))/('기본-투수'!P24-'기본-투수'!W24),3)</f>
        <v>0.338</v>
      </c>
      <c r="X24" s="24" t="n">
        <f aca="false">ROUND(50+15*((50-(ROUND((1-(_xlfn.RANK.EQ(G24,G$2:G$278,1)-1)/(COUNT(G$2:G$278)-1))*100,0)*0.3+ROUND((1-(_xlfn.RANK.EQ(H24,H$2:H$278,1)-1)/(COUNT(H$2:H$278)-1))*100,0)*0.25+ROUND((1-(_xlfn.RANK.EQ(I24,I$2:I$278,1)-1)/(COUNT(I$2:I$278)-1))*100,0)*0.25+ROUND((1-(_xlfn.RANK.EQ(J24,J$2:J$278,1)-1)/(COUNT(J$2:J$278)-1))*100,0)*0.2))/21.13),1)</f>
        <v>54.8</v>
      </c>
      <c r="Y24" s="24" t="n">
        <f aca="false">ROUND(_xlfn.NORM.DIST(X24,50,15,TRUE())*100,1)+1</f>
        <v>63.6</v>
      </c>
      <c r="Z24" s="88" t="n">
        <f aca="false">IF((50+_xlfn.NORM.S.INV(1-Y24/100)*10)&gt;=50,_xlfn.FLOOR.MATH((50+_xlfn.NORM.S.INV(1-Y24/100)*10),5),_xlfn.CEILING.MATH((50+_xlfn.NORM.S.INV(1-Y24/100)*10),5))</f>
        <v>50</v>
      </c>
    </row>
    <row r="25" customFormat="false" ht="26.25" hidden="false" customHeight="true" outlineLevel="0" collapsed="false">
      <c r="A25" s="85" t="n">
        <f aca="false">'기본-투수'!A25</f>
        <v>23</v>
      </c>
      <c r="B25" s="24" t="str">
        <f aca="false">'기본-투수'!B25</f>
        <v>잭로그</v>
      </c>
      <c r="C25" s="24" t="str">
        <f aca="false">'기본-투수'!C25</f>
        <v>SP</v>
      </c>
      <c r="D25" s="24" t="str">
        <f aca="false">'기본-투수'!D25</f>
        <v>DOO</v>
      </c>
      <c r="E25" s="44" t="n">
        <f aca="false">'기본-투수'!E25</f>
        <v>2026</v>
      </c>
      <c r="F25" s="45" t="n">
        <f aca="false">ROUND((0.54*G25)+(0.25*H25)+(1.46*W25)+0.21,2)</f>
        <v>3.53</v>
      </c>
      <c r="G25" s="45" t="n">
        <f aca="false">ROUND(('연도별 상수'!$Y$45*(P25*(R25/100)*('리그 투수'!$W$45/100))+'연도별 상수'!$Z$45*('기본-투수'!U25+'기본-투수'!V25)+'연도별 상수'!$AA$45*'기본-투수'!X25)/('기본-투수'!P25/('리그 타자'!$C$45/'리그 투수'!$D$45))+'연도별 상수'!$V$45,2)</f>
        <v>3.59</v>
      </c>
      <c r="H25" s="45" t="n">
        <f aca="false">ROUND('리그 투수'!$V$45-16.986*('기본-투수'!X25/'기본-투수'!P25)+11.434*('기본-투수'!U25/'기본-투수'!P25)-1.858*((P25*Q25/100)/'기본-투수'!P25)+7.653*('기본-투수'!X25/'기본-투수'!P25)^2-6.664*((P25*Q25/100)/'기본-투수'!P25)*('기본-투수'!X25/'기본-투수'!P25)+7.374*((P25*Q25/100)/'기본-투수'!P25)*('기본-투수'!U25/'기본-투수'!P25)-7.706*((P25*Q25/100)/'기본-투수'!P25)*('기본-투수'!X25/'기본-투수'!P25)^2,2)</f>
        <v>3.44</v>
      </c>
      <c r="I25" s="45" t="n">
        <f aca="false">ROUND(('연도별 상수'!$Y$45*'기본-투수'!T25+'연도별 상수'!$Z$45*('기본-투수'!U25+'기본-투수'!V25)+'연도별 상수'!$AA$45*'기본-투수'!X25)/('기본-투수'!P25/('리그 타자'!$C$45/'리그 투수'!$D$45))+'연도별 상수'!$V$45,2)</f>
        <v>3.98</v>
      </c>
      <c r="J25" s="45" t="n">
        <f aca="false">ROUND(W25^2*('리그 투수'!$P$45/('리그 타자'!$B$45^2))/'기본-투수'!AE25,2)</f>
        <v>5.39</v>
      </c>
      <c r="K25" s="45" t="n">
        <f aca="false">'기본-투수'!F25</f>
        <v>0.79</v>
      </c>
      <c r="L25" s="9" t="n">
        <f aca="false">'기본-투수'!G25</f>
        <v>14</v>
      </c>
      <c r="M25" s="86" t="n">
        <f aca="false">'기본-투수'!M25</f>
        <v>75</v>
      </c>
      <c r="N25" s="24" t="n">
        <f aca="false">ROUND(100*'기본-투수'!X25/'기본-투수'!P25,1)</f>
        <v>19.1</v>
      </c>
      <c r="O25" s="24" t="n">
        <f aca="false">ROUND(100*'기본-투수'!U25/'기본-투수'!P25,1)</f>
        <v>3.9</v>
      </c>
      <c r="P25" s="87" t="n">
        <f aca="false">'기본-투수'!AG25</f>
        <v>242</v>
      </c>
      <c r="Q25" s="87" t="n">
        <f aca="false">'기본-투수'!AH25</f>
        <v>53</v>
      </c>
      <c r="R25" s="87" t="n">
        <f aca="false">'기본-투수'!AI25</f>
        <v>32.8</v>
      </c>
      <c r="S25" s="87" t="n">
        <f aca="false">'기본-투수'!AJ25</f>
        <v>14.2</v>
      </c>
      <c r="T25" s="60" t="n">
        <f aca="false">ROUND(Q25/R25,1)</f>
        <v>1.6</v>
      </c>
      <c r="U25" s="9" t="str">
        <f aca="false">'기본-투수'!AC25</f>
        <v>95.0</v>
      </c>
      <c r="V25" s="9" t="str">
        <f aca="false">'기본-투수'!AD25</f>
        <v>103.5</v>
      </c>
      <c r="W25" s="46" t="n">
        <f aca="false">ROUND((('연도별 상수'!$N$45*('기본-투수'!U25-'기본-투수'!W25))+('연도별 상수'!$O$45*'기본-투수'!V25)+('연도별 상수'!$P$45*('기본-투수'!Q25-'기본-투수'!R25-'기본-투수'!S25-'기본-투수'!T25))+('연도별 상수'!$Q$45*'기본-투수'!R25)+('연도별 상수'!$R$44*'기본-투수'!S25)+('연도별 상수'!$S$45*'기본-투수'!T25))/('기본-투수'!P25-'기본-투수'!W25),3)</f>
        <v>0.357</v>
      </c>
      <c r="X25" s="24" t="n">
        <f aca="false">ROUND(50+15*((50-(ROUND((1-(_xlfn.RANK.EQ(G25,G$2:G$278,1)-1)/(COUNT(G$2:G$278)-1))*100,0)*0.3+ROUND((1-(_xlfn.RANK.EQ(H25,H$2:H$278,1)-1)/(COUNT(H$2:H$278)-1))*100,0)*0.25+ROUND((1-(_xlfn.RANK.EQ(I25,I$2:I$278,1)-1)/(COUNT(I$2:I$278)-1))*100,0)*0.25+ROUND((1-(_xlfn.RANK.EQ(J25,J$2:J$278,1)-1)/(COUNT(J$2:J$278)-1))*100,0)*0.2))/21.13),1)</f>
        <v>41.3</v>
      </c>
      <c r="Y25" s="24" t="n">
        <f aca="false">ROUND(_xlfn.NORM.DIST(X25,50,15,TRUE())*100,1)+1</f>
        <v>29.1</v>
      </c>
      <c r="Z25" s="88" t="n">
        <f aca="false">IF((50+_xlfn.NORM.S.INV(1-Y25/100)*10)&gt;=50,_xlfn.FLOOR.MATH((50+_xlfn.NORM.S.INV(1-Y25/100)*10),5),_xlfn.CEILING.MATH((50+_xlfn.NORM.S.INV(1-Y25/100)*10),5))</f>
        <v>55</v>
      </c>
    </row>
    <row r="26" customFormat="false" ht="26.25" hidden="false" customHeight="true" outlineLevel="0" collapsed="false">
      <c r="A26" s="85" t="n">
        <f aca="false">'기본-투수'!A26</f>
        <v>24</v>
      </c>
      <c r="B26" s="24" t="str">
        <f aca="false">'기본-투수'!B26</f>
        <v>테일러</v>
      </c>
      <c r="C26" s="24" t="str">
        <f aca="false">'기본-투수'!C26</f>
        <v>SP</v>
      </c>
      <c r="D26" s="24" t="str">
        <f aca="false">'기본-투수'!D26</f>
        <v>NC</v>
      </c>
      <c r="E26" s="44" t="n">
        <f aca="false">'기본-투수'!E26</f>
        <v>2026</v>
      </c>
      <c r="F26" s="45" t="n">
        <f aca="false">ROUND((0.54*G26)+(0.25*H26)+(1.46*W26)+0.21,2)</f>
        <v>4.44</v>
      </c>
      <c r="G26" s="45" t="n">
        <f aca="false">ROUND(('연도별 상수'!$Y$45*(P26*(R26/100)*('리그 투수'!$W$45/100))+'연도별 상수'!$Z$45*('기본-투수'!U26+'기본-투수'!V26)+'연도별 상수'!$AA$45*'기본-투수'!X26)/('기본-투수'!P26/('리그 타자'!$C$45/'리그 투수'!$D$45))+'연도별 상수'!$V$45,2)</f>
        <v>4.76</v>
      </c>
      <c r="H26" s="45" t="n">
        <f aca="false">ROUND('리그 투수'!$V$45-16.986*('기본-투수'!X26/'기본-투수'!P26)+11.434*('기본-투수'!U26/'기본-투수'!P26)-1.858*((P26*Q26/100)/'기본-투수'!P26)+7.653*('기본-투수'!X26/'기본-투수'!P26)^2-6.664*((P26*Q26/100)/'기본-투수'!P26)*('기본-투수'!X26/'기본-투수'!P26)+7.374*((P26*Q26/100)/'기본-투수'!P26)*('기본-투수'!U26/'기본-투수'!P26)-7.706*((P26*Q26/100)/'기본-투수'!P26)*('기본-투수'!X26/'기본-투수'!P26)^2,2)</f>
        <v>4.75</v>
      </c>
      <c r="I26" s="45" t="n">
        <f aca="false">ROUND(('연도별 상수'!$Y$45*'기본-투수'!T26+'연도별 상수'!$Z$45*('기본-투수'!U26+'기본-투수'!V26)+'연도별 상수'!$AA$45*'기본-투수'!X26)/('기본-투수'!P26/('리그 타자'!$C$45/'리그 투수'!$D$45))+'연도별 상수'!$V$45,2)</f>
        <v>4.2</v>
      </c>
      <c r="J26" s="45" t="n">
        <f aca="false">ROUND(W26^2*('리그 투수'!$P$45/('리그 타자'!$B$45^2))/'기본-투수'!AE26,2)</f>
        <v>4.1</v>
      </c>
      <c r="K26" s="45" t="n">
        <f aca="false">'기본-투수'!F26</f>
        <v>0.76</v>
      </c>
      <c r="L26" s="9" t="n">
        <f aca="false">'기본-투수'!G26</f>
        <v>13</v>
      </c>
      <c r="M26" s="86" t="n">
        <f aca="false">'기본-투수'!M26</f>
        <v>68.3333333333333</v>
      </c>
      <c r="N26" s="24" t="n">
        <f aca="false">ROUND(100*'기본-투수'!X26/'기본-투수'!P26,1)</f>
        <v>17.1</v>
      </c>
      <c r="O26" s="24" t="n">
        <f aca="false">ROUND(100*'기본-투수'!U26/'기본-투수'!P26,1)</f>
        <v>9.9</v>
      </c>
      <c r="P26" s="87" t="n">
        <f aca="false">'기본-투수'!AG26</f>
        <v>205</v>
      </c>
      <c r="Q26" s="87" t="n">
        <f aca="false">'기본-투수'!AH26</f>
        <v>49.8</v>
      </c>
      <c r="R26" s="87" t="n">
        <f aca="false">'기본-투수'!AI26</f>
        <v>36.4</v>
      </c>
      <c r="S26" s="87" t="n">
        <f aca="false">'기본-투수'!AJ26</f>
        <v>13.9</v>
      </c>
      <c r="T26" s="60" t="n">
        <f aca="false">ROUND(Q26/R26,1)</f>
        <v>1.4</v>
      </c>
      <c r="U26" s="9" t="str">
        <f aca="false">'기본-투수'!AC26</f>
        <v>102.2</v>
      </c>
      <c r="V26" s="9" t="str">
        <f aca="false">'기본-투수'!AD26</f>
        <v>106.2</v>
      </c>
      <c r="W26" s="46" t="n">
        <f aca="false">ROUND((('연도별 상수'!$N$45*('기본-투수'!U26-'기본-투수'!W26))+('연도별 상수'!$O$45*'기본-투수'!V26)+('연도별 상수'!$P$45*('기본-투수'!Q26-'기본-투수'!R26-'기본-투수'!S26-'기본-투수'!T26))+('연도별 상수'!$Q$45*'기본-투수'!R26)+('연도별 상수'!$R$44*'기본-투수'!S26)+('연도별 상수'!$S$45*'기본-투수'!T26))/('기본-투수'!P26-'기본-투수'!W26),3)</f>
        <v>0.324</v>
      </c>
      <c r="X26" s="24" t="n">
        <f aca="false">ROUND(50+15*((50-(ROUND((1-(_xlfn.RANK.EQ(G26,G$2:G$278,1)-1)/(COUNT(G$2:G$278)-1))*100,0)*0.3+ROUND((1-(_xlfn.RANK.EQ(H26,H$2:H$278,1)-1)/(COUNT(H$2:H$278)-1))*100,0)*0.25+ROUND((1-(_xlfn.RANK.EQ(I26,I$2:I$278,1)-1)/(COUNT(I$2:I$278)-1))*100,0)*0.25+ROUND((1-(_xlfn.RANK.EQ(J26,J$2:J$278,1)-1)/(COUNT(J$2:J$278)-1))*100,0)*0.2))/21.13),1)</f>
        <v>60.2</v>
      </c>
      <c r="Y26" s="24" t="n">
        <f aca="false">ROUND(_xlfn.NORM.DIST(X26,50,15,TRUE())*100,1)+1</f>
        <v>76.2</v>
      </c>
      <c r="Z26" s="88" t="n">
        <f aca="false">IF((50+_xlfn.NORM.S.INV(1-Y26/100)*10)&gt;=50,_xlfn.FLOOR.MATH((50+_xlfn.NORM.S.INV(1-Y26/100)*10),5),_xlfn.CEILING.MATH((50+_xlfn.NORM.S.INV(1-Y26/100)*10),5))</f>
        <v>45</v>
      </c>
    </row>
    <row r="27" customFormat="false" ht="26.25" hidden="false" customHeight="true" outlineLevel="0" collapsed="false">
      <c r="A27" s="85" t="n">
        <f aca="false">'기본-투수'!A27</f>
        <v>25</v>
      </c>
      <c r="B27" s="24" t="str">
        <f aca="false">'기본-투수'!B27</f>
        <v>에르난데스</v>
      </c>
      <c r="C27" s="24" t="str">
        <f aca="false">'기본-투수'!C27</f>
        <v>SP</v>
      </c>
      <c r="D27" s="24" t="str">
        <f aca="false">'기본-투수'!D27</f>
        <v>HAN</v>
      </c>
      <c r="E27" s="44" t="n">
        <f aca="false">'기본-투수'!E27</f>
        <v>2026</v>
      </c>
      <c r="F27" s="45" t="n">
        <f aca="false">ROUND((0.54*G27)+(0.25*H27)+(1.46*W27)+0.21,2)</f>
        <v>4.56</v>
      </c>
      <c r="G27" s="45" t="n">
        <f aca="false">ROUND(('연도별 상수'!$Y$45*(P27*(R27/100)*('리그 투수'!$W$45/100))+'연도별 상수'!$Z$45*('기본-투수'!U27+'기본-투수'!V27)+'연도별 상수'!$AA$45*'기본-투수'!X27)/('기본-투수'!P27/('리그 타자'!$C$45/'리그 투수'!$D$45))+'연도별 상수'!$V$45,2)</f>
        <v>4.86</v>
      </c>
      <c r="H27" s="45" t="n">
        <f aca="false">ROUND('리그 투수'!$V$45-16.986*('기본-투수'!X27/'기본-투수'!P27)+11.434*('기본-투수'!U27/'기본-투수'!P27)-1.858*((P27*Q27/100)/'기본-투수'!P27)+7.653*('기본-투수'!X27/'기본-투수'!P27)^2-6.664*((P27*Q27/100)/'기본-투수'!P27)*('기본-투수'!X27/'기본-투수'!P27)+7.374*((P27*Q27/100)/'기본-투수'!P27)*('기본-투수'!U27/'기본-투수'!P27)-7.706*((P27*Q27/100)/'기본-투수'!P27)*('기본-투수'!X27/'기본-투수'!P27)^2,2)</f>
        <v>4.93</v>
      </c>
      <c r="I27" s="45" t="n">
        <f aca="false">ROUND(('연도별 상수'!$Y$45*'기본-투수'!T27+'연도별 상수'!$Z$45*('기본-투수'!U27+'기본-투수'!V27)+'연도별 상수'!$AA$45*'기본-투수'!X27)/('기본-투수'!P27/('리그 타자'!$C$45/'리그 투수'!$D$45))+'연도별 상수'!$V$45,2)</f>
        <v>4.63</v>
      </c>
      <c r="J27" s="45" t="n">
        <f aca="false">ROUND(W27^2*('리그 투수'!$P$45/('리그 타자'!$B$45^2))/'기본-투수'!AE27,2)</f>
        <v>3.78</v>
      </c>
      <c r="K27" s="45" t="n">
        <f aca="false">'기본-투수'!F27</f>
        <v>1.06</v>
      </c>
      <c r="L27" s="9" t="n">
        <f aca="false">'기본-투수'!G27</f>
        <v>13</v>
      </c>
      <c r="M27" s="86" t="n">
        <f aca="false">'기본-투수'!M27</f>
        <v>66.3333333333333</v>
      </c>
      <c r="N27" s="24" t="n">
        <f aca="false">ROUND(100*'기본-투수'!X27/'기본-투수'!P27,1)</f>
        <v>16.1</v>
      </c>
      <c r="O27" s="24" t="n">
        <f aca="false">ROUND(100*'기본-투수'!U27/'기본-투수'!P27,1)</f>
        <v>9.3</v>
      </c>
      <c r="P27" s="87" t="n">
        <f aca="false">'기본-투수'!AG27</f>
        <v>199</v>
      </c>
      <c r="Q27" s="87" t="n">
        <f aca="false">'기본-투수'!AH27</f>
        <v>43</v>
      </c>
      <c r="R27" s="87" t="n">
        <f aca="false">'기본-투수'!AI27</f>
        <v>44.4</v>
      </c>
      <c r="S27" s="87" t="n">
        <f aca="false">'기본-투수'!AJ27</f>
        <v>12.6</v>
      </c>
      <c r="T27" s="60" t="n">
        <f aca="false">ROUND(Q27/R27,1)</f>
        <v>1</v>
      </c>
      <c r="U27" s="9" t="str">
        <f aca="false">'기본-투수'!AC27</f>
        <v>120.8</v>
      </c>
      <c r="V27" s="9" t="str">
        <f aca="false">'기본-투수'!AD27</f>
        <v>111.6</v>
      </c>
      <c r="W27" s="46" t="n">
        <f aca="false">ROUND((('연도별 상수'!$N$45*('기본-투수'!U27-'기본-투수'!W27))+('연도별 상수'!$O$45*'기본-투수'!V27)+('연도별 상수'!$P$45*('기본-투수'!Q27-'기본-투수'!R27-'기본-투수'!S27-'기본-투수'!T27))+('연도별 상수'!$Q$45*'기본-투수'!R27)+('연도별 상수'!$R$44*'기본-투수'!S27)+('연도별 상수'!$S$45*'기본-투수'!T27))/('기본-투수'!P27-'기본-투수'!W27),3)</f>
        <v>0.335</v>
      </c>
      <c r="X27" s="24" t="n">
        <f aca="false">ROUND(50+15*((50-(ROUND((1-(_xlfn.RANK.EQ(G27,G$2:G$278,1)-1)/(COUNT(G$2:G$278)-1))*100,0)*0.3+ROUND((1-(_xlfn.RANK.EQ(H27,H$2:H$278,1)-1)/(COUNT(H$2:H$278)-1))*100,0)*0.25+ROUND((1-(_xlfn.RANK.EQ(I27,I$2:I$278,1)-1)/(COUNT(I$2:I$278)-1))*100,0)*0.25+ROUND((1-(_xlfn.RANK.EQ(J27,J$2:J$278,1)-1)/(COUNT(J$2:J$278)-1))*100,0)*0.2))/21.13),1)</f>
        <v>64.6</v>
      </c>
      <c r="Y27" s="24" t="n">
        <f aca="false">ROUND(_xlfn.NORM.DIST(X27,50,15,TRUE())*100,1)+1</f>
        <v>84.5</v>
      </c>
      <c r="Z27" s="88" t="n">
        <f aca="false">IF((50+_xlfn.NORM.S.INV(1-Y27/100)*10)&gt;=50,_xlfn.FLOOR.MATH((50+_xlfn.NORM.S.INV(1-Y27/100)*10),5),_xlfn.CEILING.MATH((50+_xlfn.NORM.S.INV(1-Y27/100)*10),5))</f>
        <v>40</v>
      </c>
    </row>
    <row r="28" customFormat="false" ht="26.25" hidden="false" customHeight="true" outlineLevel="0" collapsed="false">
      <c r="A28" s="85" t="n">
        <f aca="false">'기본-투수'!A28</f>
        <v>26</v>
      </c>
      <c r="B28" s="24" t="str">
        <f aca="false">'기본-투수'!B28</f>
        <v>박세웅</v>
      </c>
      <c r="C28" s="24" t="str">
        <f aca="false">'기본-투수'!C28</f>
        <v>SP</v>
      </c>
      <c r="D28" s="24" t="str">
        <f aca="false">'기본-투수'!D28</f>
        <v>LOT</v>
      </c>
      <c r="E28" s="44" t="n">
        <f aca="false">'기본-투수'!E28</f>
        <v>2026</v>
      </c>
      <c r="F28" s="45" t="n">
        <f aca="false">ROUND((0.54*G28)+(0.25*H28)+(1.46*W28)+0.21,2)</f>
        <v>4.31</v>
      </c>
      <c r="G28" s="45" t="n">
        <f aca="false">ROUND(('연도별 상수'!$Y$45*(P28*(R28/100)*('리그 투수'!$W$45/100))+'연도별 상수'!$Z$45*('기본-투수'!U28+'기본-투수'!V28)+'연도별 상수'!$AA$45*'기본-투수'!X28)/('기본-투수'!P28/('리그 타자'!$C$45/'리그 투수'!$D$45))+'연도별 상수'!$V$45,2)</f>
        <v>4.54</v>
      </c>
      <c r="H28" s="45" t="n">
        <f aca="false">ROUND('리그 투수'!$V$45-16.986*('기본-투수'!X28/'기본-투수'!P28)+11.434*('기본-투수'!U28/'기본-투수'!P28)-1.858*((P28*Q28/100)/'기본-투수'!P28)+7.653*('기본-투수'!X28/'기본-투수'!P28)^2-6.664*((P28*Q28/100)/'기본-투수'!P28)*('기본-투수'!X28/'기본-투수'!P28)+7.374*((P28*Q28/100)/'기본-투수'!P28)*('기본-투수'!U28/'기본-투수'!P28)-7.706*((P28*Q28/100)/'기본-투수'!P28)*('기본-투수'!X28/'기본-투수'!P28)^2,2)</f>
        <v>4.48</v>
      </c>
      <c r="I28" s="45" t="n">
        <f aca="false">ROUND(('연도별 상수'!$Y$45*'기본-투수'!T28+'연도별 상수'!$Z$45*('기본-투수'!U28+'기본-투수'!V28)+'연도별 상수'!$AA$45*'기본-투수'!X28)/('기본-투수'!P28/('리그 타자'!$C$45/'리그 투수'!$D$45))+'연도별 상수'!$V$45,2)</f>
        <v>4.3</v>
      </c>
      <c r="J28" s="45" t="n">
        <f aca="false">ROUND(W28^2*('리그 투수'!$P$45/('리그 타자'!$B$45^2))/'기본-투수'!AE28,2)</f>
        <v>4.39</v>
      </c>
      <c r="K28" s="45" t="n">
        <f aca="false">'기본-투수'!F28</f>
        <v>0.93</v>
      </c>
      <c r="L28" s="9" t="n">
        <f aca="false">'기본-투수'!G28</f>
        <v>13</v>
      </c>
      <c r="M28" s="86" t="n">
        <f aca="false">'기본-투수'!M28</f>
        <v>70.6666666666667</v>
      </c>
      <c r="N28" s="24" t="n">
        <f aca="false">ROUND(100*'기본-투수'!X28/'기본-투수'!P28,1)</f>
        <v>18.7</v>
      </c>
      <c r="O28" s="24" t="n">
        <f aca="false">ROUND(100*'기본-투수'!U28/'기본-투수'!P28,1)</f>
        <v>9.7</v>
      </c>
      <c r="P28" s="87" t="n">
        <f aca="false">'기본-투수'!AG28</f>
        <v>216</v>
      </c>
      <c r="Q28" s="87" t="n">
        <f aca="false">'기본-투수'!AH28</f>
        <v>49.1</v>
      </c>
      <c r="R28" s="87" t="n">
        <f aca="false">'기본-투수'!AI28</f>
        <v>36.6</v>
      </c>
      <c r="S28" s="87" t="n">
        <f aca="false">'기본-투수'!AJ28</f>
        <v>14.3</v>
      </c>
      <c r="T28" s="60" t="n">
        <f aca="false">ROUND(Q28/R28,1)</f>
        <v>1.3</v>
      </c>
      <c r="U28" s="9" t="str">
        <f aca="false">'기본-투수'!AC28</f>
        <v>108.4</v>
      </c>
      <c r="V28" s="9" t="str">
        <f aca="false">'기본-투수'!AD28</f>
        <v>116.6</v>
      </c>
      <c r="W28" s="46" t="n">
        <f aca="false">ROUND((('연도별 상수'!$N$45*('기본-투수'!U28-'기본-투수'!W28))+('연도별 상수'!$O$45*'기본-투수'!V28)+('연도별 상수'!$P$45*('기본-투수'!Q28-'기본-투수'!R28-'기본-투수'!S28-'기본-투수'!T28))+('연도별 상수'!$Q$45*'기본-투수'!R28)+('연도별 상수'!$R$44*'기본-투수'!S28)+('연도별 상수'!$S$45*'기본-투수'!T28))/('기본-투수'!P28-'기본-투수'!W28),3)</f>
        <v>0.36</v>
      </c>
      <c r="X28" s="24" t="n">
        <f aca="false">ROUND(50+15*((50-(ROUND((1-(_xlfn.RANK.EQ(G28,G$2:G$278,1)-1)/(COUNT(G$2:G$278)-1))*100,0)*0.3+ROUND((1-(_xlfn.RANK.EQ(H28,H$2:H$278,1)-1)/(COUNT(H$2:H$278)-1))*100,0)*0.25+ROUND((1-(_xlfn.RANK.EQ(I28,I$2:I$278,1)-1)/(COUNT(I$2:I$278)-1))*100,0)*0.25+ROUND((1-(_xlfn.RANK.EQ(J28,J$2:J$278,1)-1)/(COUNT(J$2:J$278)-1))*100,0)*0.2))/21.13),1)</f>
        <v>58.7</v>
      </c>
      <c r="Y28" s="24" t="n">
        <f aca="false">ROUND(_xlfn.NORM.DIST(X28,50,15,TRUE())*100,1)+1</f>
        <v>72.9</v>
      </c>
      <c r="Z28" s="88" t="n">
        <f aca="false">IF((50+_xlfn.NORM.S.INV(1-Y28/100)*10)&gt;=50,_xlfn.FLOOR.MATH((50+_xlfn.NORM.S.INV(1-Y28/100)*10),5),_xlfn.CEILING.MATH((50+_xlfn.NORM.S.INV(1-Y28/100)*10),5))</f>
        <v>45</v>
      </c>
    </row>
    <row r="29" customFormat="false" ht="26.25" hidden="false" customHeight="true" outlineLevel="0" collapsed="false">
      <c r="A29" s="85" t="n">
        <f aca="false">'기본-투수'!A29</f>
        <v>27</v>
      </c>
      <c r="B29" s="24" t="str">
        <f aca="false">'기본-투수'!B29</f>
        <v>로드리게스</v>
      </c>
      <c r="C29" s="24" t="str">
        <f aca="false">'기본-투수'!C29</f>
        <v>SP</v>
      </c>
      <c r="D29" s="24" t="str">
        <f aca="false">'기본-투수'!D29</f>
        <v>LOT</v>
      </c>
      <c r="E29" s="44" t="n">
        <f aca="false">'기본-투수'!E29</f>
        <v>2026</v>
      </c>
      <c r="F29" s="45" t="n">
        <f aca="false">ROUND((0.54*G29)+(0.25*H29)+(1.46*W29)+0.21,2)</f>
        <v>3.5</v>
      </c>
      <c r="G29" s="45" t="n">
        <f aca="false">ROUND(('연도별 상수'!$Y$45*(P29*(R29/100)*('리그 투수'!$W$45/100))+'연도별 상수'!$Z$45*('기본-투수'!U29+'기본-투수'!V29)+'연도별 상수'!$AA$45*'기본-투수'!X29)/('기본-투수'!P29/('리그 타자'!$C$45/'리그 투수'!$D$45))+'연도별 상수'!$V$45,2)</f>
        <v>3.56</v>
      </c>
      <c r="H29" s="45" t="n">
        <f aca="false">ROUND('리그 투수'!$V$45-16.986*('기본-투수'!X29/'기본-투수'!P29)+11.434*('기본-투수'!U29/'기본-투수'!P29)-1.858*((P29*Q29/100)/'기본-투수'!P29)+7.653*('기본-투수'!X29/'기본-투수'!P29)^2-6.664*((P29*Q29/100)/'기본-투수'!P29)*('기본-투수'!X29/'기본-투수'!P29)+7.374*((P29*Q29/100)/'기본-투수'!P29)*('기본-투수'!U29/'기본-투수'!P29)-7.706*((P29*Q29/100)/'기본-투수'!P29)*('기본-투수'!X29/'기본-투수'!P29)^2,2)</f>
        <v>3.43</v>
      </c>
      <c r="I29" s="45" t="n">
        <f aca="false">ROUND(('연도별 상수'!$Y$45*'기본-투수'!T29+'연도별 상수'!$Z$45*('기본-투수'!U29+'기본-투수'!V29)+'연도별 상수'!$AA$45*'기본-투수'!X29)/('기본-투수'!P29/('리그 타자'!$C$45/'리그 투수'!$D$45))+'연도별 상수'!$V$45,2)</f>
        <v>4.54</v>
      </c>
      <c r="J29" s="45" t="n">
        <f aca="false">ROUND(W29^2*('리그 투수'!$P$45/('리그 타자'!$B$45^2))/'기본-투수'!AE29,2)</f>
        <v>4.1</v>
      </c>
      <c r="K29" s="45" t="n">
        <f aca="false">'기본-투수'!F29</f>
        <v>0.89</v>
      </c>
      <c r="L29" s="9" t="n">
        <f aca="false">'기본-투수'!G29</f>
        <v>13</v>
      </c>
      <c r="M29" s="86" t="n">
        <f aca="false">'기본-투수'!M29</f>
        <v>69.6666666666667</v>
      </c>
      <c r="N29" s="24" t="n">
        <f aca="false">ROUND(100*'기본-투수'!X29/'기본-투수'!P29,1)</f>
        <v>25.2</v>
      </c>
      <c r="O29" s="24" t="n">
        <f aca="false">ROUND(100*'기본-투수'!U29/'기본-투수'!P29,1)</f>
        <v>8.5</v>
      </c>
      <c r="P29" s="87" t="n">
        <f aca="false">'기본-투수'!AG29</f>
        <v>186</v>
      </c>
      <c r="Q29" s="87" t="n">
        <f aca="false">'기본-투수'!AH29</f>
        <v>44</v>
      </c>
      <c r="R29" s="87" t="n">
        <f aca="false">'기본-투수'!AI29</f>
        <v>41</v>
      </c>
      <c r="S29" s="87" t="n">
        <f aca="false">'기본-투수'!AJ29</f>
        <v>15</v>
      </c>
      <c r="T29" s="60" t="n">
        <f aca="false">ROUND(Q29/R29,1)</f>
        <v>1.1</v>
      </c>
      <c r="U29" s="9" t="str">
        <f aca="false">'기본-투수'!AC29</f>
        <v>107.1</v>
      </c>
      <c r="V29" s="9" t="str">
        <f aca="false">'기본-투수'!AD29</f>
        <v>112.2</v>
      </c>
      <c r="W29" s="46" t="n">
        <f aca="false">ROUND((('연도별 상수'!$N$45*('기본-투수'!U29-'기본-투수'!W29))+('연도별 상수'!$O$45*'기본-투수'!V29)+('연도별 상수'!$P$45*('기본-투수'!Q29-'기본-투수'!R29-'기본-투수'!S29-'기본-투수'!T29))+('연도별 상수'!$Q$45*'기본-투수'!R29)+('연도별 상수'!$R$44*'기본-투수'!S29)+('연도별 상수'!$S$45*'기본-투수'!T29))/('기본-투수'!P29-'기본-투수'!W29),3)</f>
        <v>0.348</v>
      </c>
      <c r="X29" s="24" t="n">
        <f aca="false">ROUND(50+15*((50-(ROUND((1-(_xlfn.RANK.EQ(G29,G$2:G$278,1)-1)/(COUNT(G$2:G$278)-1))*100,0)*0.3+ROUND((1-(_xlfn.RANK.EQ(H29,H$2:H$278,1)-1)/(COUNT(H$2:H$278)-1))*100,0)*0.25+ROUND((1-(_xlfn.RANK.EQ(I29,I$2:I$278,1)-1)/(COUNT(I$2:I$278)-1))*100,0)*0.25+ROUND((1-(_xlfn.RANK.EQ(J29,J$2:J$278,1)-1)/(COUNT(J$2:J$278)-1))*100,0)*0.2))/21.13),1)</f>
        <v>40</v>
      </c>
      <c r="Y29" s="24" t="n">
        <f aca="false">ROUND(_xlfn.NORM.DIST(X29,50,15,TRUE())*100,1)+1</f>
        <v>26.2</v>
      </c>
      <c r="Z29" s="88" t="n">
        <f aca="false">IF((50+_xlfn.NORM.S.INV(1-Y29/100)*10)&gt;=50,_xlfn.FLOOR.MATH((50+_xlfn.NORM.S.INV(1-Y29/100)*10),5),_xlfn.CEILING.MATH((50+_xlfn.NORM.S.INV(1-Y29/100)*10),5))</f>
        <v>55</v>
      </c>
    </row>
    <row r="30" customFormat="false" ht="26.25" hidden="false" customHeight="true" outlineLevel="0" collapsed="false">
      <c r="A30" s="85" t="n">
        <f aca="false">'기본-투수'!A30</f>
        <v>28</v>
      </c>
      <c r="B30" s="24" t="str">
        <f aca="false">'기본-투수'!B30</f>
        <v>양창섭</v>
      </c>
      <c r="C30" s="24" t="str">
        <f aca="false">'기본-투수'!C30</f>
        <v>SP</v>
      </c>
      <c r="D30" s="24" t="str">
        <f aca="false">'기본-투수'!D30</f>
        <v>SAM</v>
      </c>
      <c r="E30" s="44" t="n">
        <f aca="false">'기본-투수'!E30</f>
        <v>2026</v>
      </c>
      <c r="F30" s="45" t="n">
        <f aca="false">ROUND((0.54*G30)+(0.25*H30)+(1.46*W30)+0.21,2)</f>
        <v>3.99</v>
      </c>
      <c r="G30" s="45" t="n">
        <f aca="false">ROUND(('연도별 상수'!$Y$45*(P30*(R30/100)*('리그 투수'!$W$45/100))+'연도별 상수'!$Z$45*('기본-투수'!U30+'기본-투수'!V30)+'연도별 상수'!$AA$45*'기본-투수'!X30)/('기본-투수'!P30/('리그 타자'!$C$45/'리그 투수'!$D$45))+'연도별 상수'!$V$45,2)</f>
        <v>4.26</v>
      </c>
      <c r="H30" s="45" t="n">
        <f aca="false">ROUND('리그 투수'!$V$45-16.986*('기본-투수'!X30/'기본-투수'!P30)+11.434*('기본-투수'!U30/'기본-투수'!P30)-1.858*((P30*Q30/100)/'기본-투수'!P30)+7.653*('기본-투수'!X30/'기본-투수'!P30)^2-6.664*((P30*Q30/100)/'기본-투수'!P30)*('기본-투수'!X30/'기본-투수'!P30)+7.374*((P30*Q30/100)/'기본-투수'!P30)*('기본-투수'!U30/'기본-투수'!P30)-7.706*((P30*Q30/100)/'기본-투수'!P30)*('기본-투수'!X30/'기본-투수'!P30)^2,2)</f>
        <v>3.93</v>
      </c>
      <c r="I30" s="45" t="n">
        <f aca="false">ROUND(('연도별 상수'!$Y$45*'기본-투수'!T30+'연도별 상수'!$Z$45*('기본-투수'!U30+'기본-투수'!V30)+'연도별 상수'!$AA$45*'기본-투수'!X30)/('기본-투수'!P30/('리그 타자'!$C$45/'리그 투수'!$D$45))+'연도별 상수'!$V$45,2)</f>
        <v>4.54</v>
      </c>
      <c r="J30" s="45" t="n">
        <f aca="false">ROUND(W30^2*('리그 투수'!$P$45/('리그 타자'!$B$45^2))/'기본-투수'!AE30,2)</f>
        <v>4.18</v>
      </c>
      <c r="K30" s="45" t="n">
        <f aca="false">'기본-투수'!F30</f>
        <v>0.59</v>
      </c>
      <c r="L30" s="9" t="n">
        <f aca="false">'기본-투수'!G30</f>
        <v>12</v>
      </c>
      <c r="M30" s="86" t="n">
        <f aca="false">'기본-투수'!M30</f>
        <v>49.6666666666667</v>
      </c>
      <c r="N30" s="24" t="n">
        <f aca="false">ROUND(100*'기본-투수'!X30/'기본-투수'!P30,1)</f>
        <v>19.9</v>
      </c>
      <c r="O30" s="24" t="n">
        <f aca="false">ROUND(100*'기본-투수'!U30/'기본-투수'!P30,1)</f>
        <v>6.5</v>
      </c>
      <c r="P30" s="87" t="n">
        <f aca="false">'기본-투수'!AG30</f>
        <v>149</v>
      </c>
      <c r="Q30" s="87" t="n">
        <f aca="false">'기본-투수'!AH30</f>
        <v>42.9</v>
      </c>
      <c r="R30" s="87" t="n">
        <f aca="false">'기본-투수'!AI30</f>
        <v>48.1</v>
      </c>
      <c r="S30" s="87" t="n">
        <f aca="false">'기본-투수'!AJ30</f>
        <v>9</v>
      </c>
      <c r="T30" s="60" t="n">
        <f aca="false">ROUND(Q30/R30,1)</f>
        <v>0.9</v>
      </c>
      <c r="U30" s="9" t="str">
        <f aca="false">'기본-투수'!AC30</f>
        <v>107.4</v>
      </c>
      <c r="V30" s="9" t="str">
        <f aca="false">'기본-투수'!AD30</f>
        <v>105.5</v>
      </c>
      <c r="W30" s="46" t="n">
        <f aca="false">ROUND((('연도별 상수'!$N$45*('기본-투수'!U30-'기본-투수'!W30))+('연도별 상수'!$O$45*'기본-투수'!V30)+('연도별 상수'!$P$45*('기본-투수'!Q30-'기본-투수'!R30-'기본-투수'!S30-'기본-투수'!T30))+('연도별 상수'!$Q$45*'기본-투수'!R30)+('연도별 상수'!$R$44*'기본-투수'!S30)+('연도별 상수'!$S$45*'기본-투수'!T30))/('기본-투수'!P30-'기본-투수'!W30),3)</f>
        <v>0.338</v>
      </c>
      <c r="X30" s="24" t="n">
        <f aca="false">ROUND(50+15*((50-(ROUND((1-(_xlfn.RANK.EQ(G30,G$2:G$278,1)-1)/(COUNT(G$2:G$278)-1))*100,0)*0.3+ROUND((1-(_xlfn.RANK.EQ(H30,H$2:H$278,1)-1)/(COUNT(H$2:H$278)-1))*100,0)*0.25+ROUND((1-(_xlfn.RANK.EQ(I30,I$2:I$278,1)-1)/(COUNT(I$2:I$278)-1))*100,0)*0.25+ROUND((1-(_xlfn.RANK.EQ(J30,J$2:J$278,1)-1)/(COUNT(J$2:J$278)-1))*100,0)*0.2))/21.13),1)</f>
        <v>52.4</v>
      </c>
      <c r="Y30" s="24" t="n">
        <f aca="false">ROUND(_xlfn.NORM.DIST(X30,50,15,TRUE())*100,1)+1</f>
        <v>57.4</v>
      </c>
      <c r="Z30" s="88" t="n">
        <f aca="false">IF((50+_xlfn.NORM.S.INV(1-Y30/100)*10)&gt;=50,_xlfn.FLOOR.MATH((50+_xlfn.NORM.S.INV(1-Y30/100)*10),5),_xlfn.CEILING.MATH((50+_xlfn.NORM.S.INV(1-Y30/100)*10),5))</f>
        <v>50</v>
      </c>
    </row>
    <row r="31" customFormat="false" ht="26.25" hidden="false" customHeight="true" outlineLevel="0" collapsed="false">
      <c r="A31" s="85" t="n">
        <f aca="false">'기본-투수'!A31</f>
        <v>29</v>
      </c>
      <c r="B31" s="24" t="str">
        <f aca="false">'기본-투수'!B31</f>
        <v>배동현</v>
      </c>
      <c r="C31" s="24" t="str">
        <f aca="false">'기본-투수'!C31</f>
        <v>SP</v>
      </c>
      <c r="D31" s="24" t="str">
        <f aca="false">'기본-투수'!D31</f>
        <v>KIW</v>
      </c>
      <c r="E31" s="44" t="n">
        <f aca="false">'기본-투수'!E31</f>
        <v>2026</v>
      </c>
      <c r="F31" s="45" t="n">
        <f aca="false">ROUND((0.54*G31)+(0.25*H31)+(1.46*W31)+0.21,2)</f>
        <v>4.08</v>
      </c>
      <c r="G31" s="45" t="n">
        <f aca="false">ROUND(('연도별 상수'!$Y$45*(P31*(R31/100)*('리그 투수'!$W$45/100))+'연도별 상수'!$Z$45*('기본-투수'!U31+'기본-투수'!V31)+'연도별 상수'!$AA$45*'기본-투수'!X31)/('기본-투수'!P31/('리그 타자'!$C$45/'리그 투수'!$D$45))+'연도별 상수'!$V$45,2)</f>
        <v>4.24</v>
      </c>
      <c r="H31" s="45" t="n">
        <f aca="false">ROUND('리그 투수'!$V$45-16.986*('기본-투수'!X31/'기본-투수'!P31)+11.434*('기본-투수'!U31/'기본-투수'!P31)-1.858*((P31*Q31/100)/'기본-투수'!P31)+7.653*('기본-투수'!X31/'기본-투수'!P31)^2-6.664*((P31*Q31/100)/'기본-투수'!P31)*('기본-투수'!X31/'기본-투수'!P31)+7.374*((P31*Q31/100)/'기본-투수'!P31)*('기본-투수'!U31/'기본-투수'!P31)-7.706*((P31*Q31/100)/'기본-투수'!P31)*('기본-투수'!X31/'기본-투수'!P31)^2,2)</f>
        <v>4.11</v>
      </c>
      <c r="I31" s="45" t="n">
        <f aca="false">ROUND(('연도별 상수'!$Y$45*'기본-투수'!T31+'연도별 상수'!$Z$45*('기본-투수'!U31+'기본-투수'!V31)+'연도별 상수'!$AA$45*'기본-투수'!X31)/('기본-투수'!P31/('리그 타자'!$C$45/'리그 투수'!$D$45))+'연도별 상수'!$V$45,2)</f>
        <v>3.94</v>
      </c>
      <c r="J31" s="45" t="n">
        <f aca="false">ROUND(W31^2*('리그 투수'!$P$45/('리그 타자'!$B$45^2))/'기본-투수'!AE31,2)</f>
        <v>5.69</v>
      </c>
      <c r="K31" s="45" t="n">
        <f aca="false">'기본-투수'!F31</f>
        <v>0.58</v>
      </c>
      <c r="L31" s="9" t="n">
        <f aca="false">'기본-투수'!G31</f>
        <v>14</v>
      </c>
      <c r="M31" s="86" t="n">
        <f aca="false">'기본-투수'!M31</f>
        <v>60</v>
      </c>
      <c r="N31" s="24" t="n">
        <f aca="false">ROUND(100*'기본-투수'!X31/'기본-투수'!P31,1)</f>
        <v>18.8</v>
      </c>
      <c r="O31" s="24" t="n">
        <f aca="false">ROUND(100*'기본-투수'!U31/'기본-투수'!P31,1)</f>
        <v>5.9</v>
      </c>
      <c r="P31" s="87" t="n">
        <f aca="false">'기본-투수'!AG31</f>
        <v>195</v>
      </c>
      <c r="Q31" s="87" t="n">
        <f aca="false">'기본-투수'!AH31</f>
        <v>37.9</v>
      </c>
      <c r="R31" s="87" t="n">
        <f aca="false">'기본-투수'!AI31</f>
        <v>47.3</v>
      </c>
      <c r="S31" s="87" t="n">
        <f aca="false">'기본-투수'!AJ31</f>
        <v>14.8</v>
      </c>
      <c r="T31" s="60" t="n">
        <f aca="false">ROUND(Q31/R31,1)</f>
        <v>0.8</v>
      </c>
      <c r="U31" s="9" t="str">
        <f aca="false">'기본-투수'!AC31</f>
        <v>85.3</v>
      </c>
      <c r="V31" s="9" t="str">
        <f aca="false">'기본-투수'!AD31</f>
        <v>109.1</v>
      </c>
      <c r="W31" s="46" t="n">
        <f aca="false">ROUND((('연도별 상수'!$N$45*('기본-투수'!U31-'기본-투수'!W31))+('연도별 상수'!$O$45*'기본-투수'!V31)+('연도별 상수'!$P$45*('기본-투수'!Q31-'기본-투수'!R31-'기본-투수'!S31-'기본-투수'!T31))+('연도별 상수'!$Q$45*'기본-투수'!R31)+('연도별 상수'!$R$44*'기본-투수'!S31)+('연도별 상수'!$S$45*'기본-투수'!T31))/('기본-투수'!P31-'기본-투수'!W31),3)</f>
        <v>0.376</v>
      </c>
      <c r="X31" s="24" t="n">
        <f aca="false">ROUND(50+15*((50-(ROUND((1-(_xlfn.RANK.EQ(G31,G$2:G$278,1)-1)/(COUNT(G$2:G$278)-1))*100,0)*0.3+ROUND((1-(_xlfn.RANK.EQ(H31,H$2:H$278,1)-1)/(COUNT(H$2:H$278)-1))*100,0)*0.25+ROUND((1-(_xlfn.RANK.EQ(I31,I$2:I$278,1)-1)/(COUNT(I$2:I$278)-1))*100,0)*0.25+ROUND((1-(_xlfn.RANK.EQ(J31,J$2:J$278,1)-1)/(COUNT(J$2:J$278)-1))*100,0)*0.2))/21.13),1)</f>
        <v>51.4</v>
      </c>
      <c r="Y31" s="24" t="n">
        <f aca="false">ROUND(_xlfn.NORM.DIST(X31,50,15,TRUE())*100,1)+1</f>
        <v>54.7</v>
      </c>
      <c r="Z31" s="88" t="n">
        <f aca="false">IF((50+_xlfn.NORM.S.INV(1-Y31/100)*10)&gt;=50,_xlfn.FLOOR.MATH((50+_xlfn.NORM.S.INV(1-Y31/100)*10),5),_xlfn.CEILING.MATH((50+_xlfn.NORM.S.INV(1-Y31/100)*10),5))</f>
        <v>50</v>
      </c>
    </row>
    <row r="32" customFormat="false" ht="26.25" hidden="false" customHeight="true" outlineLevel="0" collapsed="false">
      <c r="A32" s="85" t="n">
        <f aca="false">'기본-투수'!A32</f>
        <v>30</v>
      </c>
      <c r="B32" s="24" t="str">
        <f aca="false">'기본-투수'!B32</f>
        <v>오원석</v>
      </c>
      <c r="C32" s="24" t="str">
        <f aca="false">'기본-투수'!C32</f>
        <v>SP</v>
      </c>
      <c r="D32" s="24" t="str">
        <f aca="false">'기본-투수'!D32</f>
        <v>KT</v>
      </c>
      <c r="E32" s="44" t="n">
        <f aca="false">'기본-투수'!E32</f>
        <v>2026</v>
      </c>
      <c r="F32" s="45" t="n">
        <f aca="false">ROUND((0.54*G32)+(0.25*H32)+(1.46*W32)+0.21,2)</f>
        <v>3.62</v>
      </c>
      <c r="G32" s="45" t="n">
        <f aca="false">ROUND(('연도별 상수'!$Y$45*(P32*(R32/100)*('리그 투수'!$W$45/100))+'연도별 상수'!$Z$45*('기본-투수'!U32+'기본-투수'!V32)+'연도별 상수'!$AA$45*'기본-투수'!X32)/('기본-투수'!P32/('리그 타자'!$C$45/'리그 투수'!$D$45))+'연도별 상수'!$V$45,2)</f>
        <v>3.62</v>
      </c>
      <c r="H32" s="45" t="n">
        <f aca="false">ROUND('리그 투수'!$V$45-16.986*('기본-투수'!X32/'기본-투수'!P32)+11.434*('기본-투수'!U32/'기본-투수'!P32)-1.858*((P32*Q32/100)/'기본-투수'!P32)+7.653*('기본-투수'!X32/'기본-투수'!P32)^2-6.664*((P32*Q32/100)/'기본-투수'!P32)*('기본-투수'!X32/'기본-투수'!P32)+7.374*((P32*Q32/100)/'기본-투수'!P32)*('기본-투수'!U32/'기본-투수'!P32)-7.706*((P32*Q32/100)/'기본-투수'!P32)*('기본-투수'!X32/'기본-투수'!P32)^2,2)</f>
        <v>3.76</v>
      </c>
      <c r="I32" s="45" t="n">
        <f aca="false">ROUND(('연도별 상수'!$Y$45*'기본-투수'!T32+'연도별 상수'!$Z$45*('기본-투수'!U32+'기본-투수'!V32)+'연도별 상수'!$AA$45*'기본-투수'!X32)/('기본-투수'!P32/('리그 타자'!$C$45/'리그 투수'!$D$45))+'연도별 상수'!$V$45,2)</f>
        <v>4</v>
      </c>
      <c r="J32" s="45" t="n">
        <f aca="false">ROUND(W32^2*('리그 투수'!$P$45/('리그 타자'!$B$45^2))/'기본-투수'!AE32,2)</f>
        <v>4.56</v>
      </c>
      <c r="K32" s="45" t="n">
        <f aca="false">'기본-투수'!F32</f>
        <v>0.62</v>
      </c>
      <c r="L32" s="9" t="n">
        <f aca="false">'기본-투수'!G32</f>
        <v>13</v>
      </c>
      <c r="M32" s="86" t="n">
        <f aca="false">'기본-투수'!M32</f>
        <v>66.3333333333333</v>
      </c>
      <c r="N32" s="24" t="n">
        <f aca="false">ROUND(100*'기본-투수'!X32/'기본-투수'!P32,1)</f>
        <v>19.9</v>
      </c>
      <c r="O32" s="24" t="n">
        <f aca="false">ROUND(100*'기본-투수'!U32/'기본-투수'!P32,1)</f>
        <v>6.9</v>
      </c>
      <c r="P32" s="87" t="n">
        <f aca="false">'기본-투수'!AG32</f>
        <v>203</v>
      </c>
      <c r="Q32" s="87" t="n">
        <f aca="false">'기본-투수'!AH32</f>
        <v>52.8</v>
      </c>
      <c r="R32" s="87" t="n">
        <f aca="false">'기본-투수'!AI32</f>
        <v>29.2</v>
      </c>
      <c r="S32" s="87" t="n">
        <f aca="false">'기본-투수'!AJ32</f>
        <v>17.9</v>
      </c>
      <c r="T32" s="60" t="n">
        <f aca="false">ROUND(Q32/R32,1)</f>
        <v>1.8</v>
      </c>
      <c r="U32" s="9" t="str">
        <f aca="false">'기본-투수'!AC32</f>
        <v>87.5</v>
      </c>
      <c r="V32" s="9" t="str">
        <f aca="false">'기본-투수'!AD32</f>
        <v>117.1</v>
      </c>
      <c r="W32" s="46" t="n">
        <f aca="false">ROUND((('연도별 상수'!$N$45*('기본-투수'!U32-'기본-투수'!W32))+('연도별 상수'!$O$45*'기본-투수'!V32)+('연도별 상수'!$P$45*('기본-투수'!Q32-'기본-투수'!R32-'기본-투수'!S32-'기본-투수'!T32))+('연도별 상수'!$Q$45*'기본-투수'!R32)+('연도별 상수'!$R$44*'기본-투수'!S32)+('연도별 상수'!$S$45*'기본-투수'!T32))/('기본-투수'!P32-'기본-투수'!W32),3)</f>
        <v>0.355</v>
      </c>
      <c r="X32" s="24" t="n">
        <f aca="false">ROUND(50+15*((50-(ROUND((1-(_xlfn.RANK.EQ(G32,G$2:G$278,1)-1)/(COUNT(G$2:G$278)-1))*100,0)*0.3+ROUND((1-(_xlfn.RANK.EQ(H32,H$2:H$278,1)-1)/(COUNT(H$2:H$278)-1))*100,0)*0.25+ROUND((1-(_xlfn.RANK.EQ(I32,I$2:I$278,1)-1)/(COUNT(I$2:I$278)-1))*100,0)*0.25+ROUND((1-(_xlfn.RANK.EQ(J32,J$2:J$278,1)-1)/(COUNT(J$2:J$278)-1))*100,0)*0.2))/21.13),1)</f>
        <v>41.8</v>
      </c>
      <c r="Y32" s="24" t="n">
        <f aca="false">ROUND(_xlfn.NORM.DIST(X32,50,15,TRUE())*100,1)+1</f>
        <v>30.2</v>
      </c>
      <c r="Z32" s="88" t="n">
        <f aca="false">IF((50+_xlfn.NORM.S.INV(1-Y32/100)*10)&gt;=50,_xlfn.FLOOR.MATH((50+_xlfn.NORM.S.INV(1-Y32/100)*10),5),_xlfn.CEILING.MATH((50+_xlfn.NORM.S.INV(1-Y32/100)*10),5))</f>
        <v>55</v>
      </c>
    </row>
    <row r="33" customFormat="false" ht="26.25" hidden="false" customHeight="true" outlineLevel="0" collapsed="false">
      <c r="A33" s="85" t="n">
        <f aca="false">'기본-투수'!A33</f>
        <v>31</v>
      </c>
      <c r="B33" s="24" t="str">
        <f aca="false">'기본-투수'!B33</f>
        <v>토다</v>
      </c>
      <c r="C33" s="24" t="str">
        <f aca="false">'기본-투수'!C33</f>
        <v>SP</v>
      </c>
      <c r="D33" s="24" t="str">
        <f aca="false">'기본-투수'!D33</f>
        <v>NC</v>
      </c>
      <c r="E33" s="44" t="n">
        <f aca="false">'기본-투수'!E33</f>
        <v>2026</v>
      </c>
      <c r="F33" s="45" t="n">
        <f aca="false">ROUND((0.54*G33)+(0.25*H33)+(1.46*W33)+0.21,2)</f>
        <v>4.31</v>
      </c>
      <c r="G33" s="45" t="n">
        <f aca="false">ROUND(('연도별 상수'!$Y$45*(P33*(R33/100)*('리그 투수'!$W$45/100))+'연도별 상수'!$Z$45*('기본-투수'!U33+'기본-투수'!V33)+'연도별 상수'!$AA$45*'기본-투수'!X33)/('기본-투수'!P33/('리그 타자'!$C$45/'리그 투수'!$D$45))+'연도별 상수'!$V$45,2)</f>
        <v>4.48</v>
      </c>
      <c r="H33" s="45" t="n">
        <f aca="false">ROUND('리그 투수'!$V$45-16.986*('기본-투수'!X33/'기본-투수'!P33)+11.434*('기본-투수'!U33/'기본-투수'!P33)-1.858*((P33*Q33/100)/'기본-투수'!P33)+7.653*('기본-투수'!X33/'기본-투수'!P33)^2-6.664*((P33*Q33/100)/'기본-투수'!P33)*('기본-투수'!X33/'기본-투수'!P33)+7.374*((P33*Q33/100)/'기본-투수'!P33)*('기본-투수'!U33/'기본-투수'!P33)-7.706*((P33*Q33/100)/'기본-투수'!P33)*('기본-투수'!X33/'기본-투수'!P33)^2,2)</f>
        <v>4.63</v>
      </c>
      <c r="I33" s="45" t="n">
        <f aca="false">ROUND(('연도별 상수'!$Y$45*'기본-투수'!T33+'연도별 상수'!$Z$45*('기본-투수'!U33+'기본-투수'!V33)+'연도별 상수'!$AA$45*'기본-투수'!X33)/('기본-투수'!P33/('리그 타자'!$C$45/'리그 투수'!$D$45))+'연도별 상수'!$V$45,2)</f>
        <v>4.65</v>
      </c>
      <c r="J33" s="45" t="n">
        <f aca="false">ROUND(W33^2*('리그 투수'!$P$45/('리그 타자'!$B$45^2))/'기본-투수'!AE33,2)</f>
        <v>4.98</v>
      </c>
      <c r="K33" s="45" t="n">
        <f aca="false">'기본-투수'!F33</f>
        <v>0.37</v>
      </c>
      <c r="L33" s="9" t="n">
        <f aca="false">'기본-투수'!G33</f>
        <v>13</v>
      </c>
      <c r="M33" s="86" t="n">
        <f aca="false">'기본-투수'!M33</f>
        <v>66.6666666666667</v>
      </c>
      <c r="N33" s="24" t="n">
        <f aca="false">ROUND(100*'기본-투수'!X33/'기본-투수'!P33,1)</f>
        <v>16.4</v>
      </c>
      <c r="O33" s="24" t="n">
        <f aca="false">ROUND(100*'기본-투수'!U33/'기본-투수'!P33,1)</f>
        <v>7.7</v>
      </c>
      <c r="P33" s="87" t="n">
        <f aca="false">'기본-투수'!AG33</f>
        <v>214</v>
      </c>
      <c r="Q33" s="87" t="n">
        <f aca="false">'기본-투수'!AH33</f>
        <v>44.4</v>
      </c>
      <c r="R33" s="87" t="n">
        <f aca="false">'기본-투수'!AI33</f>
        <v>40</v>
      </c>
      <c r="S33" s="87" t="n">
        <f aca="false">'기본-투수'!AJ33</f>
        <v>15.6</v>
      </c>
      <c r="T33" s="60" t="n">
        <f aca="false">ROUND(Q33/R33,1)</f>
        <v>1.1</v>
      </c>
      <c r="U33" s="9" t="str">
        <f aca="false">'기본-투수'!AC33</f>
        <v>96.8</v>
      </c>
      <c r="V33" s="9" t="str">
        <f aca="false">'기본-투수'!AD33</f>
        <v>96.1</v>
      </c>
      <c r="W33" s="46" t="n">
        <f aca="false">ROUND((('연도별 상수'!$N$45*('기본-투수'!U33-'기본-투수'!W33))+('연도별 상수'!$O$45*'기본-투수'!V33)+('연도별 상수'!$P$45*('기본-투수'!Q33-'기본-투수'!R33-'기본-투수'!S33-'기본-투수'!T33))+('연도별 상수'!$Q$45*'기본-투수'!R33)+('연도별 상수'!$R$44*'기본-투수'!S33)+('연도별 상수'!$S$45*'기본-투수'!T33))/('기본-투수'!P33-'기본-투수'!W33),3)</f>
        <v>0.357</v>
      </c>
      <c r="X33" s="24" t="n">
        <f aca="false">ROUND(50+15*((50-(ROUND((1-(_xlfn.RANK.EQ(G33,G$2:G$278,1)-1)/(COUNT(G$2:G$278)-1))*100,0)*0.3+ROUND((1-(_xlfn.RANK.EQ(H33,H$2:H$278,1)-1)/(COUNT(H$2:H$278)-1))*100,0)*0.25+ROUND((1-(_xlfn.RANK.EQ(I33,I$2:I$278,1)-1)/(COUNT(I$2:I$278)-1))*100,0)*0.25+ROUND((1-(_xlfn.RANK.EQ(J33,J$2:J$278,1)-1)/(COUNT(J$2:J$278)-1))*100,0)*0.2))/21.13),1)</f>
        <v>66.1</v>
      </c>
      <c r="Y33" s="24" t="n">
        <f aca="false">ROUND(_xlfn.NORM.DIST(X33,50,15,TRUE())*100,1)+1</f>
        <v>86.8</v>
      </c>
      <c r="Z33" s="88" t="n">
        <f aca="false">IF((50+_xlfn.NORM.S.INV(1-Y33/100)*10)&gt;=50,_xlfn.FLOOR.MATH((50+_xlfn.NORM.S.INV(1-Y33/100)*10),5),_xlfn.CEILING.MATH((50+_xlfn.NORM.S.INV(1-Y33/100)*10),5))</f>
        <v>40</v>
      </c>
    </row>
    <row r="34" customFormat="false" ht="26.25" hidden="false" customHeight="true" outlineLevel="0" collapsed="false">
      <c r="A34" s="85" t="n">
        <f aca="false">'기본-투수'!A34</f>
        <v>33</v>
      </c>
      <c r="B34" s="24" t="str">
        <f aca="false">'기본-투수'!B34</f>
        <v>하영민</v>
      </c>
      <c r="C34" s="24" t="str">
        <f aca="false">'기본-투수'!C34</f>
        <v>SP</v>
      </c>
      <c r="D34" s="24" t="str">
        <f aca="false">'기본-투수'!D34</f>
        <v>KIW</v>
      </c>
      <c r="E34" s="44" t="n">
        <f aca="false">'기본-투수'!E34</f>
        <v>2026</v>
      </c>
      <c r="F34" s="45" t="n">
        <f aca="false">ROUND((0.54*G34)+(0.25*H34)+(1.46*W34)+0.21,2)</f>
        <v>4.42</v>
      </c>
      <c r="G34" s="45" t="n">
        <f aca="false">ROUND(('연도별 상수'!$Y$45*(P34*(R34/100)*('리그 투수'!$W$45/100))+'연도별 상수'!$Z$45*('기본-투수'!U34+'기본-투수'!V34)+'연도별 상수'!$AA$45*'기본-투수'!X34)/('기본-투수'!P34/('리그 타자'!$C$45/'리그 투수'!$D$45))+'연도별 상수'!$V$45,2)</f>
        <v>4.65</v>
      </c>
      <c r="H34" s="45" t="n">
        <f aca="false">ROUND('리그 투수'!$V$45-16.986*('기본-투수'!X34/'기본-투수'!P34)+11.434*('기본-투수'!U34/'기본-투수'!P34)-1.858*((P34*Q34/100)/'기본-투수'!P34)+7.653*('기본-투수'!X34/'기본-투수'!P34)^2-6.664*((P34*Q34/100)/'기본-투수'!P34)*('기본-투수'!X34/'기본-투수'!P34)+7.374*((P34*Q34/100)/'기본-투수'!P34)*('기본-투수'!U34/'기본-투수'!P34)-7.706*((P34*Q34/100)/'기본-투수'!P34)*('기본-투수'!X34/'기본-투수'!P34)^2,2)</f>
        <v>4.77</v>
      </c>
      <c r="I34" s="45" t="n">
        <f aca="false">ROUND(('연도별 상수'!$Y$45*'기본-투수'!T34+'연도별 상수'!$Z$45*('기본-투수'!U34+'기본-투수'!V34)+'연도별 상수'!$AA$45*'기본-투수'!X34)/('기본-투수'!P34/('리그 타자'!$C$45/'리그 투수'!$D$45))+'연도별 상수'!$V$45,2)</f>
        <v>4.76</v>
      </c>
      <c r="J34" s="45" t="n">
        <f aca="false">ROUND(W34^2*('리그 투수'!$P$45/('리그 타자'!$B$45^2))/'기본-투수'!AE34,2)</f>
        <v>4.9</v>
      </c>
      <c r="K34" s="45" t="n">
        <f aca="false">'기본-투수'!F34</f>
        <v>0.25</v>
      </c>
      <c r="L34" s="9" t="n">
        <f aca="false">'기본-투수'!G34</f>
        <v>13</v>
      </c>
      <c r="M34" s="86" t="n">
        <f aca="false">'기본-투수'!M34</f>
        <v>54</v>
      </c>
      <c r="N34" s="24" t="n">
        <f aca="false">ROUND(100*'기본-투수'!X34/'기본-투수'!P34,1)</f>
        <v>19.3</v>
      </c>
      <c r="O34" s="24" t="n">
        <f aca="false">ROUND(100*'기본-투수'!U34/'기본-투수'!P34,1)</f>
        <v>10.7</v>
      </c>
      <c r="P34" s="87" t="n">
        <f aca="false">'기본-투수'!AG34</f>
        <v>160</v>
      </c>
      <c r="Q34" s="87" t="n">
        <f aca="false">'기본-투수'!AH34</f>
        <v>35.5</v>
      </c>
      <c r="R34" s="87" t="n">
        <f aca="false">'기본-투수'!AI34</f>
        <v>42</v>
      </c>
      <c r="S34" s="87" t="n">
        <f aca="false">'기본-투수'!AJ34</f>
        <v>22.5</v>
      </c>
      <c r="T34" s="60" t="n">
        <f aca="false">ROUND(Q34/R34,1)</f>
        <v>0.8</v>
      </c>
      <c r="U34" s="9" t="str">
        <f aca="false">'기본-투수'!AC34</f>
        <v>98.8</v>
      </c>
      <c r="V34" s="9" t="str">
        <f aca="false">'기본-투수'!AD34</f>
        <v>90.3</v>
      </c>
      <c r="W34" s="46" t="n">
        <f aca="false">ROUND((('연도별 상수'!$N$45*('기본-투수'!U34-'기본-투수'!W34))+('연도별 상수'!$O$45*'기본-투수'!V34)+('연도별 상수'!$P$45*('기본-투수'!Q34-'기본-투수'!R34-'기본-투수'!S34-'기본-투수'!T34))+('연도별 상수'!$Q$45*'기본-투수'!R34)+('연도별 상수'!$R$44*'기본-투수'!S34)+('연도별 상수'!$S$45*'기본-투수'!T34))/('기본-투수'!P34-'기본-투수'!W34),3)</f>
        <v>0.349</v>
      </c>
      <c r="X34" s="24" t="n">
        <f aca="false">ROUND(50+15*((50-(ROUND((1-(_xlfn.RANK.EQ(G34,G$2:G$278,1)-1)/(COUNT(G$2:G$278)-1))*100,0)*0.3+ROUND((1-(_xlfn.RANK.EQ(H34,H$2:H$278,1)-1)/(COUNT(H$2:H$278)-1))*100,0)*0.25+ROUND((1-(_xlfn.RANK.EQ(I34,I$2:I$278,1)-1)/(COUNT(I$2:I$278)-1))*100,0)*0.25+ROUND((1-(_xlfn.RANK.EQ(J34,J$2:J$278,1)-1)/(COUNT(J$2:J$278)-1))*100,0)*0.2))/21.13),1)</f>
        <v>71.7</v>
      </c>
      <c r="Y34" s="24" t="n">
        <f aca="false">ROUND(_xlfn.NORM.DIST(X34,50,15,TRUE())*100,1)+1</f>
        <v>93.6</v>
      </c>
      <c r="Z34" s="88" t="n">
        <f aca="false">IF((50+_xlfn.NORM.S.INV(1-Y34/100)*10)&gt;=50,_xlfn.FLOOR.MATH((50+_xlfn.NORM.S.INV(1-Y34/100)*10),5),_xlfn.CEILING.MATH((50+_xlfn.NORM.S.INV(1-Y34/100)*10),5))</f>
        <v>35</v>
      </c>
    </row>
    <row r="35" customFormat="false" ht="26.25" hidden="false" customHeight="true" outlineLevel="0" collapsed="false">
      <c r="A35" s="85" t="n">
        <f aca="false">'기본-투수'!A35</f>
        <v>34</v>
      </c>
      <c r="B35" s="24" t="str">
        <f aca="false">'기본-투수'!B35</f>
        <v>양현종</v>
      </c>
      <c r="C35" s="24" t="str">
        <f aca="false">'기본-투수'!C35</f>
        <v>SP</v>
      </c>
      <c r="D35" s="24" t="str">
        <f aca="false">'기본-투수'!D35</f>
        <v>KIA</v>
      </c>
      <c r="E35" s="44" t="n">
        <f aca="false">'기본-투수'!E35</f>
        <v>2026</v>
      </c>
      <c r="F35" s="45" t="n">
        <f aca="false">ROUND((0.54*G35)+(0.25*H35)+(1.46*W35)+0.21,2)</f>
        <v>4.99</v>
      </c>
      <c r="G35" s="45" t="n">
        <f aca="false">ROUND(('연도별 상수'!$Y$45*(P35*(R35/100)*('리그 투수'!$W$45/100))+'연도별 상수'!$Z$45*('기본-투수'!U35+'기본-투수'!V35)+'연도별 상수'!$AA$45*'기본-투수'!X35)/('기본-투수'!P35/('리그 타자'!$C$45/'리그 투수'!$D$45))+'연도별 상수'!$V$45,2)</f>
        <v>5.36</v>
      </c>
      <c r="H35" s="45" t="n">
        <f aca="false">ROUND('리그 투수'!$V$45-16.986*('기본-투수'!X35/'기본-투수'!P35)+11.434*('기본-투수'!U35/'기본-투수'!P35)-1.858*((P35*Q35/100)/'기본-투수'!P35)+7.653*('기본-투수'!X35/'기본-투수'!P35)^2-6.664*((P35*Q35/100)/'기본-투수'!P35)*('기본-투수'!X35/'기본-투수'!P35)+7.374*((P35*Q35/100)/'기본-투수'!P35)*('기본-투수'!U35/'기본-투수'!P35)-7.706*((P35*Q35/100)/'기본-투수'!P35)*('기본-투수'!X35/'기본-투수'!P35)^2,2)</f>
        <v>5.54</v>
      </c>
      <c r="I35" s="45" t="n">
        <f aca="false">ROUND(('연도별 상수'!$Y$45*'기본-투수'!T35+'연도별 상수'!$Z$45*('기본-투수'!U35+'기본-투수'!V35)+'연도별 상수'!$AA$45*'기본-투수'!X35)/('기본-투수'!P35/('리그 타자'!$C$45/'리그 투수'!$D$45))+'연도별 상수'!$V$45,2)</f>
        <v>5.87</v>
      </c>
      <c r="J35" s="45" t="n">
        <f aca="false">ROUND(W35^2*('리그 투수'!$P$45/('리그 타자'!$B$45^2))/'기본-투수'!AE35,2)</f>
        <v>4.72</v>
      </c>
      <c r="K35" s="45" t="n">
        <f aca="false">'기본-투수'!F35</f>
        <v>0.03</v>
      </c>
      <c r="L35" s="9" t="n">
        <f aca="false">'기본-투수'!G35</f>
        <v>13</v>
      </c>
      <c r="M35" s="86" t="n">
        <f aca="false">'기본-투수'!M35</f>
        <v>63.3333333333333</v>
      </c>
      <c r="N35" s="24" t="n">
        <f aca="false">ROUND(100*'기본-투수'!X35/'기본-투수'!P35,1)</f>
        <v>14.5</v>
      </c>
      <c r="O35" s="24" t="n">
        <f aca="false">ROUND(100*'기본-투수'!U35/'기본-투수'!P35,1)</f>
        <v>11.7</v>
      </c>
      <c r="P35" s="87" t="n">
        <f aca="false">'기본-투수'!AG35</f>
        <v>193</v>
      </c>
      <c r="Q35" s="87" t="n">
        <f aca="false">'기본-투수'!AH35</f>
        <v>44.4</v>
      </c>
      <c r="R35" s="87" t="n">
        <f aca="false">'기본-투수'!AI35</f>
        <v>45.9</v>
      </c>
      <c r="S35" s="87" t="n">
        <f aca="false">'기본-투수'!AJ35</f>
        <v>9.7</v>
      </c>
      <c r="T35" s="60" t="n">
        <f aca="false">ROUND(Q35/R35,1)</f>
        <v>1</v>
      </c>
      <c r="U35" s="9" t="str">
        <f aca="false">'기본-투수'!AC35</f>
        <v>106.4</v>
      </c>
      <c r="V35" s="9" t="str">
        <f aca="false">'기본-투수'!AD35</f>
        <v>64.0</v>
      </c>
      <c r="W35" s="46" t="n">
        <f aca="false">ROUND((('연도별 상수'!$N$45*('기본-투수'!U35-'기본-투수'!W35))+('연도별 상수'!$O$45*'기본-투수'!V35)+('연도별 상수'!$P$45*('기본-투수'!Q35-'기본-투수'!R35-'기본-투수'!S35-'기본-투수'!T35))+('연도별 상수'!$Q$45*'기본-투수'!R35)+('연도별 상수'!$R$44*'기본-투수'!S35)+('연도별 상수'!$S$45*'기본-투수'!T35))/('기본-투수'!P35-'기본-투수'!W35),3)</f>
        <v>0.341</v>
      </c>
      <c r="X35" s="24" t="n">
        <f aca="false">ROUND(50+15*((50-(ROUND((1-(_xlfn.RANK.EQ(G35,G$2:G$278,1)-1)/(COUNT(G$2:G$278)-1))*100,0)*0.3+ROUND((1-(_xlfn.RANK.EQ(H35,H$2:H$278,1)-1)/(COUNT(H$2:H$278)-1))*100,0)*0.25+ROUND((1-(_xlfn.RANK.EQ(I35,I$2:I$278,1)-1)/(COUNT(I$2:I$278)-1))*100,0)*0.25+ROUND((1-(_xlfn.RANK.EQ(J35,J$2:J$278,1)-1)/(COUNT(J$2:J$278)-1))*100,0)*0.2))/21.13),1)</f>
        <v>82.2</v>
      </c>
      <c r="Y35" s="24" t="n">
        <f aca="false">ROUND(_xlfn.NORM.DIST(X35,50,15,TRUE())*100,1)+1</f>
        <v>99.4</v>
      </c>
      <c r="Z35" s="88" t="n">
        <f aca="false">IF((50+_xlfn.NORM.S.INV(1-Y35/100)*10)&gt;=50,_xlfn.FLOOR.MATH((50+_xlfn.NORM.S.INV(1-Y35/100)*10),5),_xlfn.CEILING.MATH((50+_xlfn.NORM.S.INV(1-Y35/100)*10),5))</f>
        <v>25</v>
      </c>
    </row>
    <row r="36" customFormat="false" ht="26.25" hidden="false" customHeight="true" outlineLevel="0" collapsed="false">
      <c r="A36" s="85" t="n">
        <f aca="false">'기본-투수'!A36</f>
        <v>35</v>
      </c>
      <c r="B36" s="24" t="str">
        <f aca="false">'기본-투수'!B36</f>
        <v>장찬희</v>
      </c>
      <c r="C36" s="24" t="str">
        <f aca="false">'기본-투수'!C36</f>
        <v>SP</v>
      </c>
      <c r="D36" s="24" t="str">
        <f aca="false">'기본-투수'!D36</f>
        <v>SAM</v>
      </c>
      <c r="E36" s="44" t="n">
        <f aca="false">'기본-투수'!E36</f>
        <v>2026</v>
      </c>
      <c r="F36" s="45" t="n">
        <f aca="false">ROUND((0.54*G36)+(0.25*H36)+(1.46*W36)+0.21,2)</f>
        <v>4.71</v>
      </c>
      <c r="G36" s="45" t="n">
        <f aca="false">ROUND(('연도별 상수'!$Y$45*(P36*(R36/100)*('리그 투수'!$W$45/100))+'연도별 상수'!$Z$45*('기본-투수'!U36+'기본-투수'!V36)+'연도별 상수'!$AA$45*'기본-투수'!X36)/('기본-투수'!P36/('리그 타자'!$C$45/'리그 투수'!$D$45))+'연도별 상수'!$V$45,2)</f>
        <v>5.12</v>
      </c>
      <c r="H36" s="45" t="n">
        <f aca="false">ROUND('리그 투수'!$V$45-16.986*('기본-투수'!X36/'기본-투수'!P36)+11.434*('기본-투수'!U36/'기본-투수'!P36)-1.858*((P36*Q36/100)/'기본-투수'!P36)+7.653*('기본-투수'!X36/'기본-투수'!P36)^2-6.664*((P36*Q36/100)/'기본-투수'!P36)*('기본-투수'!X36/'기본-투수'!P36)+7.374*((P36*Q36/100)/'기본-투수'!P36)*('기본-투수'!U36/'기본-투수'!P36)-7.706*((P36*Q36/100)/'기본-투수'!P36)*('기본-투수'!X36/'기본-투수'!P36)^2,2)</f>
        <v>5</v>
      </c>
      <c r="I36" s="45" t="n">
        <f aca="false">ROUND(('연도별 상수'!$Y$45*'기본-투수'!T36+'연도별 상수'!$Z$45*('기본-투수'!U36+'기본-투수'!V36)+'연도별 상수'!$AA$45*'기본-투수'!X36)/('기본-투수'!P36/('리그 타자'!$C$45/'리그 투수'!$D$45))+'연도별 상수'!$V$45,2)</f>
        <v>5.69</v>
      </c>
      <c r="J36" s="45" t="n">
        <f aca="false">ROUND(W36^2*('리그 투수'!$P$45/('리그 타자'!$B$45^2))/'기본-투수'!AE36,2)</f>
        <v>4.1</v>
      </c>
      <c r="K36" s="45" t="n">
        <f aca="false">'기본-투수'!F36</f>
        <v>0.12</v>
      </c>
      <c r="L36" s="9" t="n">
        <f aca="false">'기본-투수'!G36</f>
        <v>17</v>
      </c>
      <c r="M36" s="86" t="n">
        <f aca="false">'기본-투수'!M36</f>
        <v>50</v>
      </c>
      <c r="N36" s="24" t="n">
        <f aca="false">ROUND(100*'기본-투수'!X36/'기본-투수'!P36,1)</f>
        <v>16.7</v>
      </c>
      <c r="O36" s="24" t="n">
        <f aca="false">ROUND(100*'기본-투수'!U36/'기본-투수'!P36,1)</f>
        <v>10.4</v>
      </c>
      <c r="P36" s="87" t="n">
        <f aca="false">'기본-투수'!AG36</f>
        <v>147</v>
      </c>
      <c r="Q36" s="87" t="n">
        <f aca="false">'기본-투수'!AH36</f>
        <v>44.6</v>
      </c>
      <c r="R36" s="87" t="n">
        <f aca="false">'기본-투수'!AI36</f>
        <v>46.5</v>
      </c>
      <c r="S36" s="87" t="n">
        <f aca="false">'기본-투수'!AJ36</f>
        <v>8.9</v>
      </c>
      <c r="T36" s="60" t="n">
        <f aca="false">ROUND(Q36/R36,1)</f>
        <v>1</v>
      </c>
      <c r="U36" s="9" t="str">
        <f aca="false">'기본-투수'!AC36</f>
        <v>100.7</v>
      </c>
      <c r="V36" s="9" t="str">
        <f aca="false">'기본-투수'!AD36</f>
        <v>81.6</v>
      </c>
      <c r="W36" s="46" t="n">
        <f aca="false">ROUND((('연도별 상수'!$N$45*('기본-투수'!U36-'기본-투수'!W36))+('연도별 상수'!$O$45*'기본-투수'!V36)+('연도별 상수'!$P$45*('기본-투수'!Q36-'기본-투수'!R36-'기본-투수'!S36-'기본-투수'!T36))+('연도별 상수'!$Q$45*'기본-투수'!R36)+('연도별 상수'!$R$44*'기본-투수'!S36)+('연도별 상수'!$S$45*'기본-투수'!T36))/('기본-투수'!P36-'기본-투수'!W36),3)</f>
        <v>0.335</v>
      </c>
      <c r="X36" s="24" t="n">
        <f aca="false">ROUND(50+15*((50-(ROUND((1-(_xlfn.RANK.EQ(G36,G$2:G$278,1)-1)/(COUNT(G$2:G$278)-1))*100,0)*0.3+ROUND((1-(_xlfn.RANK.EQ(H36,H$2:H$278,1)-1)/(COUNT(H$2:H$278)-1))*100,0)*0.25+ROUND((1-(_xlfn.RANK.EQ(I36,I$2:I$278,1)-1)/(COUNT(I$2:I$278)-1))*100,0)*0.25+ROUND((1-(_xlfn.RANK.EQ(J36,J$2:J$278,1)-1)/(COUNT(J$2:J$278)-1))*100,0)*0.2))/21.13),1)</f>
        <v>73.8</v>
      </c>
      <c r="Y36" s="24" t="n">
        <f aca="false">ROUND(_xlfn.NORM.DIST(X36,50,15,TRUE())*100,1)+1</f>
        <v>95.4</v>
      </c>
      <c r="Z36" s="88" t="n">
        <f aca="false">IF((50+_xlfn.NORM.S.INV(1-Y36/100)*10)&gt;=50,_xlfn.FLOOR.MATH((50+_xlfn.NORM.S.INV(1-Y36/100)*10),5),_xlfn.CEILING.MATH((50+_xlfn.NORM.S.INV(1-Y36/100)*10),5))</f>
        <v>35</v>
      </c>
    </row>
    <row r="37" customFormat="false" ht="26.25" hidden="false" customHeight="true" outlineLevel="0" collapsed="false">
      <c r="A37" s="85" t="n">
        <f aca="false">'기본-투수'!A37</f>
        <v>36</v>
      </c>
      <c r="B37" s="24" t="str">
        <f aca="false">'기본-투수'!B37</f>
        <v>최민준</v>
      </c>
      <c r="C37" s="24" t="str">
        <f aca="false">'기본-투수'!C37</f>
        <v>SP</v>
      </c>
      <c r="D37" s="24" t="str">
        <f aca="false">'기본-투수'!D37</f>
        <v>SSG</v>
      </c>
      <c r="E37" s="44" t="n">
        <f aca="false">'기본-투수'!E37</f>
        <v>2026</v>
      </c>
      <c r="F37" s="45" t="n">
        <f aca="false">ROUND((0.54*G37)+(0.25*H37)+(1.46*W37)+0.21,2)</f>
        <v>4.36</v>
      </c>
      <c r="G37" s="45" t="n">
        <f aca="false">ROUND(('연도별 상수'!$Y$45*(P37*(R37/100)*('리그 투수'!$W$45/100))+'연도별 상수'!$Z$45*('기본-투수'!U37+'기본-투수'!V37)+'연도별 상수'!$AA$45*'기본-투수'!X37)/('기본-투수'!P37/('리그 타자'!$C$45/'리그 투수'!$D$45))+'연도별 상수'!$V$45,2)</f>
        <v>4.62</v>
      </c>
      <c r="H37" s="45" t="n">
        <f aca="false">ROUND('리그 투수'!$V$45-16.986*('기본-투수'!X37/'기본-투수'!P37)+11.434*('기본-투수'!U37/'기본-투수'!P37)-1.858*((P37*Q37/100)/'기본-투수'!P37)+7.653*('기본-투수'!X37/'기본-투수'!P37)^2-6.664*((P37*Q37/100)/'기본-투수'!P37)*('기본-투수'!X37/'기본-투수'!P37)+7.374*((P37*Q37/100)/'기본-투수'!P37)*('기본-투수'!U37/'기본-투수'!P37)-7.706*((P37*Q37/100)/'기본-투수'!P37)*('기본-투수'!X37/'기본-투수'!P37)^2,2)</f>
        <v>4.63</v>
      </c>
      <c r="I37" s="45" t="n">
        <f aca="false">ROUND(('연도별 상수'!$Y$45*'기본-투수'!T37+'연도별 상수'!$Z$45*('기본-투수'!U37+'기본-투수'!V37)+'연도별 상수'!$AA$45*'기본-투수'!X37)/('기본-투수'!P37/('리그 타자'!$C$45/'리그 투수'!$D$45))+'연도별 상수'!$V$45,2)</f>
        <v>5.4</v>
      </c>
      <c r="J37" s="45" t="n">
        <f aca="false">ROUND(W37^2*('리그 투수'!$P$45/('리그 타자'!$B$45^2))/'기본-투수'!AE37,2)</f>
        <v>4.71</v>
      </c>
      <c r="K37" s="45" t="n">
        <f aca="false">'기본-투수'!F37</f>
        <v>-0.03</v>
      </c>
      <c r="L37" s="9" t="n">
        <f aca="false">'기본-투수'!G37</f>
        <v>13</v>
      </c>
      <c r="M37" s="86" t="n">
        <f aca="false">'기본-투수'!M37</f>
        <v>57.6666666666667</v>
      </c>
      <c r="N37" s="24" t="n">
        <f aca="false">ROUND(100*'기본-투수'!X37/'기본-투수'!P37,1)</f>
        <v>18.4</v>
      </c>
      <c r="O37" s="24" t="n">
        <f aca="false">ROUND(100*'기본-투수'!U37/'기본-투수'!P37,1)</f>
        <v>10.6</v>
      </c>
      <c r="P37" s="87" t="n">
        <f aca="false">'기본-투수'!AG37</f>
        <v>168</v>
      </c>
      <c r="Q37" s="87" t="n">
        <f aca="false">'기본-투수'!AH37</f>
        <v>51.1</v>
      </c>
      <c r="R37" s="87" t="n">
        <f aca="false">'기본-투수'!AI37</f>
        <v>38.2</v>
      </c>
      <c r="S37" s="87" t="n">
        <f aca="false">'기본-투수'!AJ37</f>
        <v>10.7</v>
      </c>
      <c r="T37" s="60" t="n">
        <f aca="false">ROUND(Q37/R37,1)</f>
        <v>1.3</v>
      </c>
      <c r="U37" s="9" t="str">
        <f aca="false">'기본-투수'!AC37</f>
        <v>92.2</v>
      </c>
      <c r="V37" s="9" t="str">
        <f aca="false">'기본-투수'!AD37</f>
        <v>77.6</v>
      </c>
      <c r="W37" s="46" t="n">
        <f aca="false">ROUND((('연도별 상수'!$N$45*('기본-투수'!U37-'기본-투수'!W37))+('연도별 상수'!$O$45*'기본-투수'!V37)+('연도별 상수'!$P$45*('기본-투수'!Q37-'기본-투수'!R37-'기본-투수'!S37-'기본-투수'!T37))+('연도별 상수'!$Q$45*'기본-투수'!R37)+('연도별 상수'!$R$44*'기본-투수'!S37)+('연도별 상수'!$S$45*'기본-투수'!T37))/('기본-투수'!P37-'기본-투수'!W37),3)</f>
        <v>0.344</v>
      </c>
      <c r="X37" s="24" t="n">
        <f aca="false">ROUND(50+15*((50-(ROUND((1-(_xlfn.RANK.EQ(G37,G$2:G$278,1)-1)/(COUNT(G$2:G$278)-1))*100,0)*0.3+ROUND((1-(_xlfn.RANK.EQ(H37,H$2:H$278,1)-1)/(COUNT(H$2:H$278)-1))*100,0)*0.25+ROUND((1-(_xlfn.RANK.EQ(I37,I$2:I$278,1)-1)/(COUNT(I$2:I$278)-1))*100,0)*0.25+ROUND((1-(_xlfn.RANK.EQ(J37,J$2:J$278,1)-1)/(COUNT(J$2:J$278)-1))*100,0)*0.2))/21.13),1)</f>
        <v>69</v>
      </c>
      <c r="Y37" s="24" t="n">
        <f aca="false">ROUND(_xlfn.NORM.DIST(X37,50,15,TRUE())*100,1)+1</f>
        <v>90.7</v>
      </c>
      <c r="Z37" s="88" t="n">
        <f aca="false">IF((50+_xlfn.NORM.S.INV(1-Y37/100)*10)&gt;=50,_xlfn.FLOOR.MATH((50+_xlfn.NORM.S.INV(1-Y37/100)*10),5),_xlfn.CEILING.MATH((50+_xlfn.NORM.S.INV(1-Y37/100)*10),5))</f>
        <v>40</v>
      </c>
    </row>
    <row r="38" customFormat="false" ht="26.25" hidden="false" customHeight="true" outlineLevel="0" collapsed="false">
      <c r="A38" s="85" t="n">
        <f aca="false">'기본-투수'!A38</f>
        <v>37</v>
      </c>
      <c r="B38" s="24" t="str">
        <f aca="false">'기본-투수'!B38</f>
        <v>김건우</v>
      </c>
      <c r="C38" s="24" t="str">
        <f aca="false">'기본-투수'!C38</f>
        <v>SP</v>
      </c>
      <c r="D38" s="24" t="str">
        <f aca="false">'기본-투수'!D38</f>
        <v>SSG</v>
      </c>
      <c r="E38" s="44" t="n">
        <f aca="false">'기본-투수'!E38</f>
        <v>2026</v>
      </c>
      <c r="F38" s="45" t="n">
        <f aca="false">ROUND((0.54*G38)+(0.25*H38)+(1.46*W38)+0.21,2)</f>
        <v>4.77</v>
      </c>
      <c r="G38" s="45" t="n">
        <f aca="false">ROUND(('연도별 상수'!$Y$45*(P38*(R38/100)*('리그 투수'!$W$45/100))+'연도별 상수'!$Z$45*('기본-투수'!U38+'기본-투수'!V38)+'연도별 상수'!$AA$45*'기본-투수'!X38)/('기본-투수'!P38/('리그 타자'!$C$45/'리그 투수'!$D$45))+'연도별 상수'!$V$45,2)</f>
        <v>5.13</v>
      </c>
      <c r="H38" s="45" t="n">
        <f aca="false">ROUND('리그 투수'!$V$45-16.986*('기본-투수'!X38/'기본-투수'!P38)+11.434*('기본-투수'!U38/'기본-투수'!P38)-1.858*((P38*Q38/100)/'기본-투수'!P38)+7.653*('기본-투수'!X38/'기본-투수'!P38)^2-6.664*((P38*Q38/100)/'기본-투수'!P38)*('기본-투수'!X38/'기본-투수'!P38)+7.374*((P38*Q38/100)/'기본-투수'!P38)*('기본-투수'!U38/'기본-투수'!P38)-7.706*((P38*Q38/100)/'기본-투수'!P38)*('기본-투수'!X38/'기본-투수'!P38)^2,2)</f>
        <v>5.08</v>
      </c>
      <c r="I38" s="45" t="n">
        <f aca="false">ROUND(('연도별 상수'!$Y$45*'기본-투수'!T38+'연도별 상수'!$Z$45*('기본-투수'!U38+'기본-투수'!V38)+'연도별 상수'!$AA$45*'기본-투수'!X38)/('기본-투수'!P38/('리그 타자'!$C$45/'리그 투수'!$D$45))+'연도별 상수'!$V$45,2)</f>
        <v>5.36</v>
      </c>
      <c r="J38" s="45" t="n">
        <f aca="false">ROUND(W38^2*('리그 투수'!$P$45/('리그 타자'!$B$45^2))/'기본-투수'!AE38,2)</f>
        <v>5.13</v>
      </c>
      <c r="K38" s="45" t="n">
        <f aca="false">'기본-투수'!F38</f>
        <v>-0.14</v>
      </c>
      <c r="L38" s="9" t="n">
        <f aca="false">'기본-투수'!G38</f>
        <v>14</v>
      </c>
      <c r="M38" s="86" t="n">
        <f aca="false">'기본-투수'!M38</f>
        <v>68</v>
      </c>
      <c r="N38" s="24" t="n">
        <f aca="false">ROUND(100*'기본-투수'!X38/'기본-투수'!P38,1)</f>
        <v>17.7</v>
      </c>
      <c r="O38" s="24" t="n">
        <f aca="false">ROUND(100*'기본-투수'!U38/'기본-투수'!P38,1)</f>
        <v>11.8</v>
      </c>
      <c r="P38" s="87" t="n">
        <f aca="false">'기본-투수'!AG38</f>
        <v>200</v>
      </c>
      <c r="Q38" s="87" t="n">
        <f aca="false">'기본-투수'!AH38</f>
        <v>41.7</v>
      </c>
      <c r="R38" s="87" t="n">
        <f aca="false">'기본-투수'!AI38</f>
        <v>46.9</v>
      </c>
      <c r="S38" s="87" t="n">
        <f aca="false">'기본-투수'!AJ38</f>
        <v>11.4</v>
      </c>
      <c r="T38" s="60" t="n">
        <f aca="false">ROUND(Q38/R38,1)</f>
        <v>0.9</v>
      </c>
      <c r="U38" s="9" t="str">
        <f aca="false">'기본-투수'!AC38</f>
        <v>79.1</v>
      </c>
      <c r="V38" s="9" t="str">
        <f aca="false">'기본-투수'!AD38</f>
        <v>77.9</v>
      </c>
      <c r="W38" s="46" t="n">
        <f aca="false">ROUND((('연도별 상수'!$N$45*('기본-투수'!U38-'기본-투수'!W38))+('연도별 상수'!$O$45*'기본-투수'!V38)+('연도별 상수'!$P$45*('기본-투수'!Q38-'기본-투수'!R38-'기본-투수'!S38-'기본-투수'!T38))+('연도별 상수'!$Q$45*'기본-투수'!R38)+('연도별 상수'!$R$44*'기본-투수'!S38)+('연도별 상수'!$S$45*'기본-투수'!T38))/('기본-투수'!P38-'기본-투수'!W38),3)</f>
        <v>0.359</v>
      </c>
      <c r="X38" s="24" t="n">
        <f aca="false">ROUND(50+15*((50-(ROUND((1-(_xlfn.RANK.EQ(G38,G$2:G$278,1)-1)/(COUNT(G$2:G$278)-1))*100,0)*0.3+ROUND((1-(_xlfn.RANK.EQ(H38,H$2:H$278,1)-1)/(COUNT(H$2:H$278)-1))*100,0)*0.25+ROUND((1-(_xlfn.RANK.EQ(I38,I$2:I$278,1)-1)/(COUNT(I$2:I$278)-1))*100,0)*0.25+ROUND((1-(_xlfn.RANK.EQ(J38,J$2:J$278,1)-1)/(COUNT(J$2:J$278)-1))*100,0)*0.2))/21.13),1)</f>
        <v>79.3</v>
      </c>
      <c r="Y38" s="24" t="n">
        <f aca="false">ROUND(_xlfn.NORM.DIST(X38,50,15,TRUE())*100,1)+1</f>
        <v>98.5</v>
      </c>
      <c r="Z38" s="88" t="n">
        <f aca="false">IF((50+_xlfn.NORM.S.INV(1-Y38/100)*10)&gt;=50,_xlfn.FLOOR.MATH((50+_xlfn.NORM.S.INV(1-Y38/100)*10),5),_xlfn.CEILING.MATH((50+_xlfn.NORM.S.INV(1-Y38/100)*10),5))</f>
        <v>30</v>
      </c>
    </row>
    <row r="39" customFormat="false" ht="26.25" hidden="false" customHeight="true" outlineLevel="0" collapsed="false">
      <c r="A39" s="85" t="n">
        <f aca="false">'기본-투수'!A39</f>
        <v>38</v>
      </c>
      <c r="B39" s="24" t="str">
        <f aca="false">'기본-투수'!B39</f>
        <v>최승용</v>
      </c>
      <c r="C39" s="24" t="str">
        <f aca="false">'기본-투수'!C39</f>
        <v>SP</v>
      </c>
      <c r="D39" s="24" t="str">
        <f aca="false">'기본-투수'!D39</f>
        <v>DOO</v>
      </c>
      <c r="E39" s="44" t="n">
        <f aca="false">'기본-투수'!E39</f>
        <v>2026</v>
      </c>
      <c r="F39" s="45" t="n">
        <f aca="false">ROUND((0.54*G39)+(0.25*H39)+(1.46*W39)+0.21,2)</f>
        <v>4.71</v>
      </c>
      <c r="G39" s="45" t="n">
        <f aca="false">ROUND(('연도별 상수'!$Y$45*(P39*(R39/100)*('리그 투수'!$W$45/100))+'연도별 상수'!$Z$45*('기본-투수'!U39+'기본-투수'!V39)+'연도별 상수'!$AA$45*'기본-투수'!X39)/('기본-투수'!P39/('리그 타자'!$C$45/'리그 투수'!$D$45))+'연도별 상수'!$V$45,2)</f>
        <v>4.99</v>
      </c>
      <c r="H39" s="45" t="n">
        <f aca="false">ROUND('리그 투수'!$V$45-16.986*('기본-투수'!X39/'기본-투수'!P39)+11.434*('기본-투수'!U39/'기본-투수'!P39)-1.858*((P39*Q39/100)/'기본-투수'!P39)+7.653*('기본-투수'!X39/'기본-투수'!P39)^2-6.664*((P39*Q39/100)/'기본-투수'!P39)*('기본-투수'!X39/'기본-투수'!P39)+7.374*((P39*Q39/100)/'기본-투수'!P39)*('기본-투수'!U39/'기본-투수'!P39)-7.706*((P39*Q39/100)/'기본-투수'!P39)*('기본-투수'!X39/'기본-투수'!P39)^2,2)</f>
        <v>5.13</v>
      </c>
      <c r="I39" s="45" t="n">
        <f aca="false">ROUND(('연도별 상수'!$Y$45*'기본-투수'!T39+'연도별 상수'!$Z$45*('기본-투수'!U39+'기본-투수'!V39)+'연도별 상수'!$AA$45*'기본-투수'!X39)/('기본-투수'!P39/('리그 타자'!$C$45/'리그 투수'!$D$45))+'연도별 상수'!$V$45,2)</f>
        <v>4.8</v>
      </c>
      <c r="J39" s="45" t="n">
        <f aca="false">ROUND(W39^2*('리그 투수'!$P$45/('리그 타자'!$B$45^2))/'기본-투수'!AE39,2)</f>
        <v>5.39</v>
      </c>
      <c r="K39" s="45" t="n">
        <f aca="false">'기본-투수'!F39</f>
        <v>-0.17</v>
      </c>
      <c r="L39" s="9" t="n">
        <f aca="false">'기본-투수'!G39</f>
        <v>13</v>
      </c>
      <c r="M39" s="86" t="n">
        <f aca="false">'기본-투수'!M39</f>
        <v>62.6666666666667</v>
      </c>
      <c r="N39" s="24" t="n">
        <f aca="false">ROUND(100*'기본-투수'!X39/'기본-투수'!P39,1)</f>
        <v>13.9</v>
      </c>
      <c r="O39" s="24" t="n">
        <f aca="false">ROUND(100*'기본-투수'!U39/'기본-투수'!P39,1)</f>
        <v>8.3</v>
      </c>
      <c r="P39" s="87" t="n">
        <f aca="false">'기본-투수'!AG39</f>
        <v>209</v>
      </c>
      <c r="Q39" s="87" t="n">
        <f aca="false">'기본-투수'!AH39</f>
        <v>45.7</v>
      </c>
      <c r="R39" s="87" t="n">
        <f aca="false">'기본-투수'!AI39</f>
        <v>41.2</v>
      </c>
      <c r="S39" s="87" t="n">
        <f aca="false">'기본-투수'!AJ39</f>
        <v>13.1</v>
      </c>
      <c r="T39" s="60" t="n">
        <f aca="false">ROUND(Q39/R39,1)</f>
        <v>1.1</v>
      </c>
      <c r="U39" s="9" t="str">
        <f aca="false">'기본-투수'!AC39</f>
        <v>71.0</v>
      </c>
      <c r="V39" s="9" t="str">
        <f aca="false">'기본-투수'!AD39</f>
        <v>83.4</v>
      </c>
      <c r="W39" s="46" t="n">
        <f aca="false">ROUND((('연도별 상수'!$N$45*('기본-투수'!U39-'기본-투수'!W39))+('연도별 상수'!$O$45*'기본-투수'!V39)+('연도별 상수'!$P$45*('기본-투수'!Q39-'기본-투수'!R39-'기본-투수'!S39-'기본-투수'!T39))+('연도별 상수'!$Q$45*'기본-투수'!R39)+('연도별 상수'!$R$44*'기본-투수'!S39)+('연도별 상수'!$S$45*'기본-투수'!T39))/('기본-투수'!P39-'기본-투수'!W39),3)</f>
        <v>0.357</v>
      </c>
      <c r="X39" s="24" t="n">
        <f aca="false">ROUND(50+15*((50-(ROUND((1-(_xlfn.RANK.EQ(G39,G$2:G$278,1)-1)/(COUNT(G$2:G$278)-1))*100,0)*0.3+ROUND((1-(_xlfn.RANK.EQ(H39,H$2:H$278,1)-1)/(COUNT(H$2:H$278)-1))*100,0)*0.25+ROUND((1-(_xlfn.RANK.EQ(I39,I$2:I$278,1)-1)/(COUNT(I$2:I$278)-1))*100,0)*0.25+ROUND((1-(_xlfn.RANK.EQ(J39,J$2:J$278,1)-1)/(COUNT(J$2:J$278)-1))*100,0)*0.2))/21.13),1)</f>
        <v>77.8</v>
      </c>
      <c r="Y39" s="24" t="n">
        <f aca="false">ROUND(_xlfn.NORM.DIST(X39,50,15,TRUE())*100,1)+1</f>
        <v>97.8</v>
      </c>
      <c r="Z39" s="88" t="n">
        <f aca="false">IF((50+_xlfn.NORM.S.INV(1-Y39/100)*10)&gt;=50,_xlfn.FLOOR.MATH((50+_xlfn.NORM.S.INV(1-Y39/100)*10),5),_xlfn.CEILING.MATH((50+_xlfn.NORM.S.INV(1-Y39/100)*10),5))</f>
        <v>30</v>
      </c>
    </row>
    <row r="40" customFormat="false" ht="26.25" hidden="false" customHeight="true" outlineLevel="0" collapsed="false">
      <c r="A40" s="85" t="n">
        <f aca="false">'기본-투수'!A40</f>
        <v>39</v>
      </c>
      <c r="B40" s="24" t="str">
        <f aca="false">'기본-투수'!B40</f>
        <v>타케다</v>
      </c>
      <c r="C40" s="24" t="str">
        <f aca="false">'기본-투수'!C40</f>
        <v>SP</v>
      </c>
      <c r="D40" s="24" t="str">
        <f aca="false">'기본-투수'!D40</f>
        <v>SSG</v>
      </c>
      <c r="E40" s="44" t="n">
        <f aca="false">'기본-투수'!E40</f>
        <v>2026</v>
      </c>
      <c r="F40" s="45" t="n">
        <f aca="false">ROUND((0.54*G40)+(0.25*H40)+(1.46*W40)+0.21,2)</f>
        <v>4.39</v>
      </c>
      <c r="G40" s="45" t="n">
        <f aca="false">ROUND(('연도별 상수'!$Y$45*(P40*(R40/100)*('리그 투수'!$W$45/100))+'연도별 상수'!$Z$45*('기본-투수'!U40+'기본-투수'!V40)+'연도별 상수'!$AA$45*'기본-투수'!X40)/('기본-투수'!P40/('리그 타자'!$C$45/'리그 투수'!$D$45))+'연도별 상수'!$V$45,2)</f>
        <v>4.55</v>
      </c>
      <c r="H40" s="45" t="n">
        <f aca="false">ROUND('리그 투수'!$V$45-16.986*('기본-투수'!X40/'기본-투수'!P40)+11.434*('기본-투수'!U40/'기본-투수'!P40)-1.858*((P40*Q40/100)/'기본-투수'!P40)+7.653*('기본-투수'!X40/'기본-투수'!P40)^2-6.664*((P40*Q40/100)/'기본-투수'!P40)*('기본-투수'!X40/'기본-투수'!P40)+7.374*((P40*Q40/100)/'기본-투수'!P40)*('기본-투수'!U40/'기본-투수'!P40)-7.706*((P40*Q40/100)/'기본-투수'!P40)*('기본-투수'!X40/'기본-투수'!P40)^2,2)</f>
        <v>4.68</v>
      </c>
      <c r="I40" s="45" t="n">
        <f aca="false">ROUND(('연도별 상수'!$Y$45*'기본-투수'!T40+'연도별 상수'!$Z$45*('기본-투수'!U40+'기본-투수'!V40)+'연도별 상수'!$AA$45*'기본-투수'!X40)/('기본-투수'!P40/('리그 타자'!$C$45/'리그 투수'!$D$45))+'연도별 상수'!$V$45,2)</f>
        <v>4.48</v>
      </c>
      <c r="J40" s="45" t="n">
        <f aca="false">ROUND(W40^2*('리그 투수'!$P$45/('리그 타자'!$B$45^2))/'기본-투수'!AE40,2)</f>
        <v>5.63</v>
      </c>
      <c r="K40" s="45" t="n">
        <f aca="false">'기본-투수'!F40</f>
        <v>-0.38</v>
      </c>
      <c r="L40" s="9" t="n">
        <f aca="false">'기본-투수'!G40</f>
        <v>13</v>
      </c>
      <c r="M40" s="86" t="n">
        <f aca="false">'기본-투수'!M40</f>
        <v>58.6666666666667</v>
      </c>
      <c r="N40" s="24" t="n">
        <f aca="false">ROUND(100*'기본-투수'!X40/'기본-투수'!P40,1)</f>
        <v>17.5</v>
      </c>
      <c r="O40" s="24" t="n">
        <f aca="false">ROUND(100*'기본-투수'!U40/'기본-투수'!P40,1)</f>
        <v>10.4</v>
      </c>
      <c r="P40" s="87" t="n">
        <f aca="false">'기본-투수'!AG40</f>
        <v>194</v>
      </c>
      <c r="Q40" s="87" t="n">
        <f aca="false">'기본-투수'!AH40</f>
        <v>53.5</v>
      </c>
      <c r="R40" s="87" t="n">
        <f aca="false">'기본-투수'!AI40</f>
        <v>33.5</v>
      </c>
      <c r="S40" s="87" t="n">
        <f aca="false">'기본-투수'!AJ40</f>
        <v>13</v>
      </c>
      <c r="T40" s="60" t="n">
        <f aca="false">ROUND(Q40/R40,1)</f>
        <v>1.6</v>
      </c>
      <c r="U40" s="9" t="str">
        <f aca="false">'기본-투수'!AC40</f>
        <v>42.7</v>
      </c>
      <c r="V40" s="9" t="str">
        <f aca="false">'기본-투수'!AD40</f>
        <v>96.9</v>
      </c>
      <c r="W40" s="46" t="n">
        <f aca="false">ROUND((('연도별 상수'!$N$45*('기본-투수'!U40-'기본-투수'!W40))+('연도별 상수'!$O$45*'기본-투수'!V40)+('연도별 상수'!$P$45*('기본-투수'!Q40-'기본-투수'!R40-'기본-투수'!S40-'기본-투수'!T40))+('연도별 상수'!$Q$45*'기본-투수'!R40)+('연도별 상수'!$R$44*'기본-투수'!S40)+('연도별 상수'!$S$45*'기본-투수'!T40))/('기본-투수'!P40-'기본-투수'!W40),3)</f>
        <v>0.376</v>
      </c>
      <c r="X40" s="24" t="n">
        <f aca="false">ROUND(50+15*((50-(ROUND((1-(_xlfn.RANK.EQ(G40,G$2:G$278,1)-1)/(COUNT(G$2:G$278)-1))*100,0)*0.3+ROUND((1-(_xlfn.RANK.EQ(H40,H$2:H$278,1)-1)/(COUNT(H$2:H$278)-1))*100,0)*0.25+ROUND((1-(_xlfn.RANK.EQ(I40,I$2:I$278,1)-1)/(COUNT(I$2:I$278)-1))*100,0)*0.25+ROUND((1-(_xlfn.RANK.EQ(J40,J$2:J$278,1)-1)/(COUNT(J$2:J$278)-1))*100,0)*0.2))/21.13),1)</f>
        <v>66.8</v>
      </c>
      <c r="Y40" s="24" t="n">
        <f aca="false">ROUND(_xlfn.NORM.DIST(X40,50,15,TRUE())*100,1)+1</f>
        <v>87.9</v>
      </c>
      <c r="Z40" s="88" t="n">
        <f aca="false">IF((50+_xlfn.NORM.S.INV(1-Y40/100)*10)&gt;=50,_xlfn.FLOOR.MATH((50+_xlfn.NORM.S.INV(1-Y40/100)*10),5),_xlfn.CEILING.MATH((50+_xlfn.NORM.S.INV(1-Y40/100)*10),5))</f>
        <v>40</v>
      </c>
    </row>
    <row r="41" customFormat="false" ht="26.25" hidden="false" customHeight="true" outlineLevel="0" collapsed="false">
      <c r="A41" s="85" t="n">
        <f aca="false">'기본-투수'!A41</f>
        <v>40</v>
      </c>
      <c r="B41" s="24" t="str">
        <f aca="false">'기본-투수'!B41</f>
        <v>베니지아노</v>
      </c>
      <c r="C41" s="24" t="str">
        <f aca="false">'기본-투수'!C41</f>
        <v>SP</v>
      </c>
      <c r="D41" s="24" t="str">
        <f aca="false">'기본-투수'!D41</f>
        <v>SSG</v>
      </c>
      <c r="E41" s="44" t="n">
        <f aca="false">'기본-투수'!E41</f>
        <v>2026</v>
      </c>
      <c r="F41" s="45" t="n">
        <f aca="false">ROUND((0.54*G41)+(0.25*H41)+(1.46*W41)+0.21,2)</f>
        <v>4.37</v>
      </c>
      <c r="G41" s="45" t="n">
        <f aca="false">ROUND(('연도별 상수'!$Y$45*(P41*(R41/100)*('리그 투수'!$W$45/100))+'연도별 상수'!$Z$45*('기본-투수'!U41+'기본-투수'!V41)+'연도별 상수'!$AA$45*'기본-투수'!X41)/('기본-투수'!P41/('리그 타자'!$C$45/'리그 투수'!$D$45))+'연도별 상수'!$V$45,2)</f>
        <v>4.56</v>
      </c>
      <c r="H41" s="45" t="n">
        <f aca="false">ROUND('리그 투수'!$V$45-16.986*('기본-투수'!X41/'기본-투수'!P41)+11.434*('기본-투수'!U41/'기본-투수'!P41)-1.858*((P41*Q41/100)/'기본-투수'!P41)+7.653*('기본-투수'!X41/'기본-투수'!P41)^2-6.664*((P41*Q41/100)/'기본-투수'!P41)*('기본-투수'!X41/'기본-투수'!P41)+7.374*((P41*Q41/100)/'기본-투수'!P41)*('기본-투수'!U41/'기본-투수'!P41)-7.706*((P41*Q41/100)/'기본-투수'!P41)*('기본-투수'!X41/'기본-투수'!P41)^2,2)</f>
        <v>4.61</v>
      </c>
      <c r="I41" s="45" t="n">
        <f aca="false">ROUND(('연도별 상수'!$Y$45*'기본-투수'!T41+'연도별 상수'!$Z$45*('기본-투수'!U41+'기본-투수'!V41)+'연도별 상수'!$AA$45*'기본-투수'!X41)/('기본-투수'!P41/('리그 타자'!$C$45/'리그 투수'!$D$45))+'연도별 상수'!$V$45,2)</f>
        <v>5.49</v>
      </c>
      <c r="J41" s="45" t="n">
        <f aca="false">ROUND(W41^2*('리그 투수'!$P$45/('리그 타자'!$B$45^2))/'기본-투수'!AE41,2)</f>
        <v>5.63</v>
      </c>
      <c r="K41" s="45" t="n">
        <f aca="false">'기본-투수'!F41</f>
        <v>-0.5</v>
      </c>
      <c r="L41" s="9" t="n">
        <f aca="false">'기본-투수'!G41</f>
        <v>14</v>
      </c>
      <c r="M41" s="86" t="n">
        <f aca="false">'기본-투수'!M41</f>
        <v>70.6666666666667</v>
      </c>
      <c r="N41" s="24" t="n">
        <f aca="false">ROUND(100*'기본-투수'!X41/'기본-투수'!P41,1)</f>
        <v>17.6</v>
      </c>
      <c r="O41" s="24" t="n">
        <f aca="false">ROUND(100*'기본-투수'!U41/'기본-투수'!P41,1)</f>
        <v>9</v>
      </c>
      <c r="P41" s="87" t="n">
        <f aca="false">'기본-투수'!AG41</f>
        <v>212</v>
      </c>
      <c r="Q41" s="87" t="n">
        <f aca="false">'기본-투수'!AH41</f>
        <v>47.8</v>
      </c>
      <c r="R41" s="87" t="n">
        <f aca="false">'기본-투수'!AI41</f>
        <v>36.1</v>
      </c>
      <c r="S41" s="87" t="n">
        <f aca="false">'기본-투수'!AJ41</f>
        <v>16.1</v>
      </c>
      <c r="T41" s="60" t="n">
        <f aca="false">ROUND(Q41/R41,1)</f>
        <v>1.3</v>
      </c>
      <c r="U41" s="9" t="str">
        <f aca="false">'기본-투수'!AC41</f>
        <v>69.5</v>
      </c>
      <c r="V41" s="9" t="str">
        <f aca="false">'기본-투수'!AD41</f>
        <v>74.2</v>
      </c>
      <c r="W41" s="46" t="n">
        <f aca="false">ROUND((('연도별 상수'!$N$45*('기본-투수'!U41-'기본-투수'!W41))+('연도별 상수'!$O$45*'기본-투수'!V41)+('연도별 상수'!$P$45*('기본-투수'!Q41-'기본-투수'!R41-'기본-투수'!S41-'기본-투수'!T41))+('연도별 상수'!$Q$45*'기본-투수'!R41)+('연도별 상수'!$R$44*'기본-투수'!S41)+('연도별 상수'!$S$45*'기본-투수'!T41))/('기본-투수'!P41-'기본-투수'!W41),3)</f>
        <v>0.376</v>
      </c>
      <c r="X41" s="24" t="n">
        <f aca="false">ROUND(50+15*((50-(ROUND((1-(_xlfn.RANK.EQ(G41,G$2:G$278,1)-1)/(COUNT(G$2:G$278)-1))*100,0)*0.3+ROUND((1-(_xlfn.RANK.EQ(H41,H$2:H$278,1)-1)/(COUNT(H$2:H$278)-1))*100,0)*0.25+ROUND((1-(_xlfn.RANK.EQ(I41,I$2:I$278,1)-1)/(COUNT(I$2:I$278)-1))*100,0)*0.25+ROUND((1-(_xlfn.RANK.EQ(J41,J$2:J$278,1)-1)/(COUNT(J$2:J$278)-1))*100,0)*0.2))/21.13),1)</f>
        <v>71.5</v>
      </c>
      <c r="Y41" s="24" t="n">
        <f aca="false">ROUND(_xlfn.NORM.DIST(X41,50,15,TRUE())*100,1)+1</f>
        <v>93.4</v>
      </c>
      <c r="Z41" s="88" t="n">
        <f aca="false">IF((50+_xlfn.NORM.S.INV(1-Y41/100)*10)&gt;=50,_xlfn.FLOOR.MATH((50+_xlfn.NORM.S.INV(1-Y41/100)*10),5),_xlfn.CEILING.MATH((50+_xlfn.NORM.S.INV(1-Y41/100)*10),5))</f>
        <v>35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4.78125" defaultRowHeight="26.25" customHeight="true" zeroHeight="false" outlineLevelRow="0" outlineLevelCol="0"/>
  <cols>
    <col collapsed="false" customWidth="true" hidden="false" outlineLevel="0" max="1" min="1" style="1" width="4.07"/>
    <col collapsed="false" customWidth="true" hidden="false" outlineLevel="0" max="2" min="2" style="1" width="11.28"/>
    <col collapsed="false" customWidth="true" hidden="false" outlineLevel="0" max="3" min="3" style="1" width="3.78"/>
    <col collapsed="false" customWidth="true" hidden="false" outlineLevel="0" max="4" min="4" style="1" width="5.78"/>
    <col collapsed="false" customWidth="true" hidden="false" outlineLevel="0" max="5" min="5" style="83" width="6.17"/>
    <col collapsed="false" customWidth="false" hidden="false" outlineLevel="0" max="6" min="6" style="89" width="4.78"/>
    <col collapsed="false" customWidth="true" hidden="false" outlineLevel="0" max="9" min="7" style="1" width="7.28"/>
    <col collapsed="false" customWidth="true" hidden="false" outlineLevel="0" max="12" min="10" style="90" width="13.28"/>
    <col collapsed="false" customWidth="true" hidden="false" outlineLevel="0" max="13" min="13" style="12" width="6.78"/>
    <col collapsed="false" customWidth="false" hidden="false" outlineLevel="0" max="16288" min="14" style="7" width="4.78"/>
    <col collapsed="false" customWidth="true" hidden="false" outlineLevel="0" max="16344" min="16289" style="7" width="8.79"/>
    <col collapsed="false" customWidth="true" hidden="false" outlineLevel="0" max="16384" min="16345" style="7" width="9"/>
  </cols>
  <sheetData>
    <row r="1" s="8" customFormat="true" ht="34.5" hidden="false" customHeight="true" outlineLevel="0" collapsed="false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9</v>
      </c>
      <c r="G1" s="91" t="s">
        <v>211</v>
      </c>
      <c r="H1" s="91" t="s">
        <v>34</v>
      </c>
      <c r="I1" s="91" t="s">
        <v>35</v>
      </c>
      <c r="J1" s="92" t="s">
        <v>262</v>
      </c>
      <c r="K1" s="92" t="s">
        <v>263</v>
      </c>
      <c r="L1" s="92" t="s">
        <v>264</v>
      </c>
      <c r="M1" s="93" t="s">
        <v>265</v>
      </c>
    </row>
    <row r="2" customFormat="false" ht="26.25" hidden="false" customHeight="true" outlineLevel="0" collapsed="false">
      <c r="A2" s="1" t="n">
        <f aca="false">'기본-투수'!A2</f>
        <v>0</v>
      </c>
      <c r="B2" s="1" t="str">
        <f aca="false">'기본-투수'!B2</f>
        <v>황동하</v>
      </c>
      <c r="C2" s="1" t="str">
        <f aca="false">'기본-투수'!C2</f>
        <v>SP</v>
      </c>
      <c r="D2" s="1" t="str">
        <f aca="false">'기본-투수'!D2</f>
        <v>KIA</v>
      </c>
      <c r="E2" s="1" t="n">
        <f aca="false">'기본-투수'!E2</f>
        <v>2026</v>
      </c>
      <c r="F2" s="89" t="n">
        <f aca="false">'기본-투수'!G2</f>
        <v>18</v>
      </c>
      <c r="G2" s="1" t="n">
        <f aca="false">'기본-투수'!AM2</f>
        <v>0</v>
      </c>
      <c r="H2" s="1" t="n">
        <f aca="false">'기본-투수'!AN2</f>
        <v>0</v>
      </c>
      <c r="I2" s="1" t="n">
        <f aca="false">'기본-투수'!AO2</f>
        <v>0</v>
      </c>
    </row>
  </sheetData>
  <conditionalFormatting sqref="M2">
    <cfRule type="colorScale" priority="2">
      <colorScale>
        <cfvo type="min" val="0"/>
        <cfvo type="percentile" val="50"/>
        <cfvo type="max" val="0"/>
        <color rgb="FF5A8AC6"/>
        <color rgb="FFFFFFFF"/>
        <color rgb="FFF8696B"/>
      </colorScale>
    </cfRule>
  </conditionalFormatting>
  <conditionalFormatting sqref="L2">
    <cfRule type="colorScale" priority="3">
      <colorScale>
        <cfvo type="min" val="0"/>
        <cfvo type="percentile" val="50"/>
        <cfvo type="max" val="0"/>
        <color rgb="FF5A8AC6"/>
        <color rgb="FFFFFFFF"/>
        <color rgb="FFF8696B"/>
      </colorScale>
    </cfRule>
  </conditionalFormatting>
  <conditionalFormatting sqref="K2">
    <cfRule type="colorScale" priority="4">
      <colorScale>
        <cfvo type="min" val="0"/>
        <cfvo type="percentile" val="50"/>
        <cfvo type="max" val="0"/>
        <color rgb="FF5A8AC6"/>
        <color rgb="FFFFFFFF"/>
        <color rgb="FFF8696B"/>
      </colorScale>
    </cfRule>
  </conditionalFormatting>
  <conditionalFormatting sqref="J2">
    <cfRule type="colorScale" priority="5">
      <colorScale>
        <cfvo type="min" val="0"/>
        <cfvo type="percentile" val="50"/>
        <cfvo type="max" val="0"/>
        <color rgb="FF5A8AC6"/>
        <color rgb="FFFFFFFF"/>
        <color rgb="FFF8696B"/>
      </colorScale>
    </cfRule>
  </conditionalFormatting>
  <conditionalFormatting sqref="I2">
    <cfRule type="colorScale" priority="6">
      <colorScale>
        <cfvo type="min" val="0"/>
        <cfvo type="percentile" val="50"/>
        <cfvo type="max" val="0"/>
        <color rgb="FF5A8AC6"/>
        <color rgb="FFFFFFFF"/>
        <color rgb="FFF8696B"/>
      </colorScale>
    </cfRule>
  </conditionalFormatting>
  <conditionalFormatting sqref="H2">
    <cfRule type="colorScale" priority="7">
      <colorScale>
        <cfvo type="min" val="0"/>
        <cfvo type="percentile" val="50"/>
        <cfvo type="max" val="0"/>
        <color rgb="FF5A8AC6"/>
        <color rgb="FFFFFFFF"/>
        <color rgb="FFF8696B"/>
      </colorScale>
    </cfRule>
  </conditionalFormatting>
  <conditionalFormatting sqref="G2:M2">
    <cfRule type="colorScale" priority="8">
      <colorScale>
        <cfvo type="min" val="0"/>
        <cfvo type="percentile" val="50"/>
        <cfvo type="max" val="0"/>
        <color rgb="FF5A8AC6"/>
        <color rgb="FFFFFFFF"/>
        <color rgb="FFF8696B"/>
      </colorScale>
    </cfRule>
  </conditionalFormatting>
  <conditionalFormatting sqref="G2">
    <cfRule type="colorScale" priority="9">
      <colorScale>
        <cfvo type="min" val="0"/>
        <cfvo type="percentile" val="50"/>
        <cfvo type="max" val="0"/>
        <color rgb="FF5A8AC6"/>
        <color rgb="FFFFFFFF"/>
        <color rgb="FFF8696B"/>
      </colorScale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H1:K22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I2" activeCellId="0" sqref="I2"/>
    </sheetView>
  </sheetViews>
  <sheetFormatPr defaultColWidth="9.00390625" defaultRowHeight="16.5" customHeight="false" zeroHeight="false" outlineLevelRow="0" outlineLevelCol="0"/>
  <cols>
    <col collapsed="false" customWidth="false" hidden="false" outlineLevel="0" max="16384" min="1" style="7" width="9"/>
  </cols>
  <sheetData>
    <row r="1" customFormat="false" ht="16.5" hidden="false" customHeight="true" outlineLevel="0" collapsed="false">
      <c r="H1" s="9" t="s">
        <v>266</v>
      </c>
      <c r="I1" s="9" t="s">
        <v>266</v>
      </c>
      <c r="J1" s="9" t="s">
        <v>266</v>
      </c>
      <c r="K1" s="9" t="s">
        <v>266</v>
      </c>
    </row>
    <row r="2" customFormat="false" ht="16.5" hidden="false" customHeight="true" outlineLevel="0" collapsed="false">
      <c r="H2" s="94" t="s">
        <v>225</v>
      </c>
      <c r="I2" s="7" t="n">
        <v>169</v>
      </c>
      <c r="J2" s="7" t="n">
        <v>51.7</v>
      </c>
      <c r="K2" s="7" t="n">
        <v>30.6</v>
      </c>
    </row>
    <row r="3" customFormat="false" ht="16.5" hidden="false" customHeight="true" outlineLevel="0" collapsed="false">
      <c r="H3" s="94" t="s">
        <v>217</v>
      </c>
      <c r="I3" s="7" t="n">
        <v>162</v>
      </c>
      <c r="J3" s="7" t="n">
        <v>39.4</v>
      </c>
      <c r="K3" s="7" t="n">
        <v>41.2</v>
      </c>
    </row>
    <row r="4" customFormat="false" ht="16.5" hidden="false" customHeight="true" outlineLevel="0" collapsed="false">
      <c r="H4" s="94" t="s">
        <v>227</v>
      </c>
      <c r="I4" s="7" t="n">
        <v>181</v>
      </c>
      <c r="J4" s="7" t="n">
        <v>51.6</v>
      </c>
      <c r="K4" s="7" t="n">
        <v>38.5</v>
      </c>
    </row>
    <row r="5" customFormat="false" ht="16.5" hidden="false" customHeight="true" outlineLevel="0" collapsed="false">
      <c r="H5" s="94" t="s">
        <v>229</v>
      </c>
      <c r="I5" s="7" t="n">
        <v>189</v>
      </c>
      <c r="J5" s="7" t="n">
        <v>49.5</v>
      </c>
      <c r="K5" s="7" t="n">
        <v>40.1</v>
      </c>
    </row>
    <row r="6" customFormat="false" ht="16.5" hidden="false" customHeight="true" outlineLevel="0" collapsed="false">
      <c r="H6" s="94" t="s">
        <v>232</v>
      </c>
      <c r="I6" s="7" t="n">
        <v>186</v>
      </c>
      <c r="J6" s="7" t="n">
        <v>43.2</v>
      </c>
      <c r="K6" s="7" t="n">
        <v>36.7</v>
      </c>
    </row>
    <row r="7" customFormat="false" ht="16.5" hidden="false" customHeight="true" outlineLevel="0" collapsed="false">
      <c r="H7" s="94" t="s">
        <v>218</v>
      </c>
      <c r="I7" s="7" t="n">
        <v>226</v>
      </c>
      <c r="J7" s="7" t="n">
        <v>56.9</v>
      </c>
      <c r="K7" s="7" t="n">
        <v>29.7</v>
      </c>
    </row>
    <row r="8" customFormat="false" ht="16.5" hidden="false" customHeight="true" outlineLevel="0" collapsed="false">
      <c r="H8" s="94" t="s">
        <v>216</v>
      </c>
      <c r="I8" s="7" t="n">
        <v>184</v>
      </c>
      <c r="J8" s="7" t="n">
        <v>45.6</v>
      </c>
      <c r="K8" s="7" t="n">
        <v>37.3</v>
      </c>
    </row>
    <row r="9" customFormat="false" ht="16.5" hidden="false" customHeight="true" outlineLevel="0" collapsed="false">
      <c r="H9" s="94" t="s">
        <v>239</v>
      </c>
      <c r="I9" s="7" t="n">
        <v>180</v>
      </c>
      <c r="J9" s="7" t="n">
        <v>51.1</v>
      </c>
      <c r="K9" s="7" t="n">
        <v>34</v>
      </c>
    </row>
    <row r="10" customFormat="false" ht="16.5" hidden="false" customHeight="true" outlineLevel="0" collapsed="false">
      <c r="H10" s="94" t="s">
        <v>252</v>
      </c>
      <c r="I10" s="7" t="n">
        <v>179</v>
      </c>
      <c r="J10" s="7" t="n">
        <v>49.2</v>
      </c>
      <c r="K10" s="7" t="n">
        <v>35.4</v>
      </c>
    </row>
    <row r="11" customFormat="false" ht="16.5" hidden="false" customHeight="true" outlineLevel="0" collapsed="false">
      <c r="H11" s="94" t="s">
        <v>220</v>
      </c>
      <c r="I11" s="7" t="n">
        <v>191</v>
      </c>
      <c r="J11" s="7" t="n">
        <v>52</v>
      </c>
      <c r="K11" s="7" t="n">
        <v>32.7</v>
      </c>
    </row>
    <row r="12" customFormat="false" ht="16.5" hidden="false" customHeight="true" outlineLevel="0" collapsed="false">
      <c r="H12" s="94" t="s">
        <v>226</v>
      </c>
      <c r="I12" s="7" t="n">
        <v>178</v>
      </c>
      <c r="J12" s="7" t="n">
        <v>44.1</v>
      </c>
      <c r="K12" s="7" t="n">
        <v>30.9</v>
      </c>
    </row>
    <row r="13" customFormat="false" ht="16.5" hidden="false" customHeight="true" outlineLevel="0" collapsed="false">
      <c r="H13" s="94" t="s">
        <v>234</v>
      </c>
      <c r="I13" s="7" t="n">
        <v>207</v>
      </c>
      <c r="J13" s="7" t="n">
        <v>40.5</v>
      </c>
      <c r="K13" s="7" t="n">
        <v>47</v>
      </c>
    </row>
    <row r="14" customFormat="false" ht="16.5" hidden="false" customHeight="true" outlineLevel="0" collapsed="false">
      <c r="H14" s="94" t="s">
        <v>215</v>
      </c>
      <c r="I14" s="7" t="n">
        <v>225</v>
      </c>
      <c r="J14" s="7" t="n">
        <v>42.6</v>
      </c>
      <c r="K14" s="7" t="n">
        <v>40.9</v>
      </c>
    </row>
    <row r="15" customFormat="false" ht="16.5" hidden="false" customHeight="true" outlineLevel="0" collapsed="false">
      <c r="H15" s="94" t="s">
        <v>231</v>
      </c>
      <c r="I15" s="7" t="n">
        <v>159</v>
      </c>
      <c r="J15" s="7" t="n">
        <v>51.8</v>
      </c>
      <c r="K15" s="7" t="n">
        <v>42.3</v>
      </c>
    </row>
    <row r="16" customFormat="false" ht="16.5" hidden="false" customHeight="true" outlineLevel="0" collapsed="false">
      <c r="H16" s="94" t="s">
        <v>214</v>
      </c>
      <c r="I16" s="7" t="n">
        <v>178</v>
      </c>
      <c r="J16" s="7" t="n">
        <v>46</v>
      </c>
      <c r="K16" s="7" t="n">
        <v>42.8</v>
      </c>
    </row>
    <row r="17" customFormat="false" ht="16.5" hidden="false" customHeight="true" outlineLevel="0" collapsed="false">
      <c r="H17" s="94" t="s">
        <v>235</v>
      </c>
      <c r="I17" s="7" t="n">
        <v>188</v>
      </c>
      <c r="J17" s="7" t="n">
        <v>57.5</v>
      </c>
      <c r="K17" s="7" t="n">
        <v>30.1</v>
      </c>
    </row>
    <row r="18" customFormat="false" ht="16.5" hidden="false" customHeight="true" outlineLevel="0" collapsed="false">
      <c r="H18" s="94" t="s">
        <v>228</v>
      </c>
      <c r="I18" s="7" t="n">
        <v>205</v>
      </c>
      <c r="J18" s="7" t="n">
        <v>42.9</v>
      </c>
      <c r="K18" s="7" t="n">
        <v>42.5</v>
      </c>
    </row>
    <row r="19" customFormat="false" ht="16.5" hidden="false" customHeight="true" outlineLevel="0" collapsed="false">
      <c r="H19" s="94" t="s">
        <v>236</v>
      </c>
      <c r="I19" s="7" t="n">
        <v>215</v>
      </c>
      <c r="J19" s="7" t="n">
        <v>54.1</v>
      </c>
      <c r="K19" s="7" t="n">
        <v>31.1</v>
      </c>
    </row>
    <row r="20" customFormat="false" ht="16.5" hidden="false" customHeight="true" outlineLevel="0" collapsed="false">
      <c r="H20" s="94" t="s">
        <v>222</v>
      </c>
      <c r="I20" s="7" t="n">
        <v>168</v>
      </c>
      <c r="J20" s="7" t="n">
        <v>48.3</v>
      </c>
      <c r="K20" s="7" t="n">
        <v>39.1</v>
      </c>
    </row>
    <row r="21" customFormat="false" ht="16.5" hidden="false" customHeight="true" outlineLevel="0" collapsed="false">
      <c r="H21" s="94" t="s">
        <v>230</v>
      </c>
      <c r="I21" s="7" t="n">
        <v>183</v>
      </c>
      <c r="J21" s="7" t="n">
        <v>39.5</v>
      </c>
      <c r="K21" s="7" t="n">
        <v>44.7</v>
      </c>
    </row>
    <row r="22" customFormat="false" ht="16.5" hidden="false" customHeight="true" outlineLevel="0" collapsed="false">
      <c r="H22" s="94" t="s">
        <v>219</v>
      </c>
      <c r="I22" s="7" t="n">
        <v>238</v>
      </c>
      <c r="J22" s="7" t="n">
        <v>54</v>
      </c>
      <c r="K22" s="7" t="n">
        <v>37.2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5.09765625" defaultRowHeight="17.25" customHeight="false" zeroHeight="false" outlineLevelRow="0" outlineLevelCol="0"/>
  <cols>
    <col collapsed="false" customWidth="true" hidden="false" outlineLevel="0" max="1" min="1" style="3" width="4.9"/>
    <col collapsed="false" customWidth="false" hidden="false" outlineLevel="0" max="12" min="2" style="29" width="5.09"/>
    <col collapsed="false" customWidth="true" hidden="false" outlineLevel="0" max="13" min="13" style="3" width="4.9"/>
    <col collapsed="false" customWidth="true" hidden="false" outlineLevel="0" max="20" min="14" style="29" width="5"/>
    <col collapsed="false" customWidth="true" hidden="false" outlineLevel="0" max="22" min="21" style="29" width="4.29"/>
    <col collapsed="false" customWidth="true" hidden="false" outlineLevel="0" max="23" min="23" style="29" width="5"/>
    <col collapsed="false" customWidth="true" hidden="false" outlineLevel="0" max="24" min="24" style="3" width="4.9"/>
    <col collapsed="false" customWidth="false" hidden="false" outlineLevel="0" max="30" min="25" style="29" width="5.09"/>
    <col collapsed="false" customWidth="true" hidden="false" outlineLevel="0" max="32" min="31" style="29" width="5.3"/>
    <col collapsed="false" customWidth="false" hidden="false" outlineLevel="0" max="16375" min="33" style="29" width="5.09"/>
    <col collapsed="false" customWidth="true" hidden="false" outlineLevel="0" max="16384" min="16376" style="0" width="8.79"/>
  </cols>
  <sheetData>
    <row r="1" s="6" customFormat="true" ht="17.25" hidden="false" customHeight="false" outlineLevel="0" collapsed="false">
      <c r="A1" s="95" t="s">
        <v>4</v>
      </c>
      <c r="B1" s="96" t="s">
        <v>267</v>
      </c>
      <c r="C1" s="96" t="s">
        <v>268</v>
      </c>
      <c r="D1" s="96" t="s">
        <v>269</v>
      </c>
      <c r="E1" s="96" t="s">
        <v>270</v>
      </c>
      <c r="F1" s="96" t="s">
        <v>271</v>
      </c>
      <c r="G1" s="96" t="s">
        <v>272</v>
      </c>
      <c r="H1" s="96" t="s">
        <v>273</v>
      </c>
      <c r="I1" s="96" t="s">
        <v>274</v>
      </c>
      <c r="J1" s="96" t="s">
        <v>275</v>
      </c>
      <c r="K1" s="97" t="s">
        <v>276</v>
      </c>
      <c r="L1" s="97" t="s">
        <v>277</v>
      </c>
      <c r="M1" s="95" t="s">
        <v>4</v>
      </c>
      <c r="N1" s="98" t="s">
        <v>278</v>
      </c>
      <c r="O1" s="98" t="s">
        <v>279</v>
      </c>
      <c r="P1" s="98" t="s">
        <v>280</v>
      </c>
      <c r="Q1" s="98" t="s">
        <v>281</v>
      </c>
      <c r="R1" s="98" t="s">
        <v>282</v>
      </c>
      <c r="S1" s="98" t="s">
        <v>283</v>
      </c>
      <c r="T1" s="99" t="s">
        <v>284</v>
      </c>
      <c r="U1" s="99" t="s">
        <v>285</v>
      </c>
      <c r="V1" s="99" t="s">
        <v>259</v>
      </c>
      <c r="W1" s="100" t="s">
        <v>286</v>
      </c>
      <c r="X1" s="95" t="s">
        <v>4</v>
      </c>
      <c r="Y1" s="99" t="s">
        <v>16</v>
      </c>
      <c r="Z1" s="99" t="s">
        <v>20</v>
      </c>
      <c r="AA1" s="99" t="s">
        <v>287</v>
      </c>
      <c r="AB1" s="98" t="s">
        <v>288</v>
      </c>
      <c r="AC1" s="98" t="s">
        <v>289</v>
      </c>
      <c r="AD1" s="100" t="s">
        <v>290</v>
      </c>
      <c r="AE1" s="101" t="s">
        <v>2</v>
      </c>
      <c r="AF1" s="101" t="s">
        <v>291</v>
      </c>
      <c r="AG1" s="100" t="s">
        <v>31</v>
      </c>
    </row>
    <row r="2" customFormat="false" ht="17.25" hidden="false" customHeight="false" outlineLevel="0" collapsed="false">
      <c r="A2" s="99" t="n">
        <v>1982</v>
      </c>
      <c r="B2" s="62" t="n">
        <v>1.031</v>
      </c>
      <c r="D2" s="62" t="n">
        <v>1.019</v>
      </c>
      <c r="F2" s="62" t="n">
        <v>0.914</v>
      </c>
      <c r="G2" s="62" t="n">
        <v>1.044</v>
      </c>
      <c r="H2" s="62" t="n">
        <v>1.028</v>
      </c>
      <c r="I2" s="62" t="n">
        <v>1.038</v>
      </c>
      <c r="L2" s="62" t="n">
        <v>1</v>
      </c>
      <c r="M2" s="99" t="n">
        <v>1982</v>
      </c>
      <c r="N2" s="62" t="n">
        <f aca="false">((('리그 투수'!E2/('리그 투수'!D2*3)+0.14))-(-1*((('리그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타자'!D2-'리그 타자'!F2+'리그 타자'!P2)))*(1/((((('리그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타자'!L2-'리그 타자'!N2+'리그 타자'!M2+'리그 타자'!F2))-(-1*((('리그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타자'!D2-'리그 타자'!F2+'리그 타자'!P2))))</f>
        <v>0.714480121550021</v>
      </c>
      <c r="O2" s="62" t="n">
        <f aca="false">(((('리그 투수'!E2/('리그 투수'!D2*3)+0.14))+0.025)-(-1*((('리그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타자'!D2-'리그 타자'!F2+'리그 타자'!P2)))*(1/((((('리그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타자'!L2-'리그 타자'!N2+'리그 타자'!M2+'리그 타자'!F2))-(-1*((('리그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타자'!D2-'리그 타자'!F2+'리그 타자'!P2))))</f>
        <v>0.747892221650469</v>
      </c>
      <c r="P2" s="62" t="n">
        <f aca="false">(((('리그 투수'!E2/('리그 투수'!D2*3)+0.14))+0.155)-(-1*((('리그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타자'!D2-'리그 타자'!F2+'리그 타자'!P2)))*(1/((((('리그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타자'!L2-'리그 타자'!N2+'리그 타자'!M2+'리그 타자'!F2))-(-1*((('리그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타자'!D2-'리그 타자'!F2+'리그 타자'!P2))))</f>
        <v>0.921635142172798</v>
      </c>
      <c r="Q2" s="62" t="n">
        <f aca="false">((((('리그 투수'!E2/('리그 투수'!D2*3)+0.14))+0.155)+0.3)-(-1*((('리그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타자'!D2-'리그 타자'!F2+'리그 타자'!P2)))*(1/((((('리그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타자'!L2-'리그 타자'!N2+'리그 타자'!M2+'리그 타자'!F2))-(-1*((('리그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타자'!D2-'리그 타자'!F2+'리그 타자'!P2))))</f>
        <v>1.32258034337817</v>
      </c>
      <c r="R2" s="62" t="n">
        <f aca="false">(((((('리그 투수'!E2/('리그 투수'!D2*3)+0.14))+0.155)+0.3)+0.27)-(-1*((('리그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타자'!D2-'리그 타자'!F2+'리그 타자'!P2)))*(1/((((('리그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타자'!L2-'리그 타자'!N2+'리그 타자'!M2+'리그 타자'!F2))-(-1*((('리그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타자'!D2-'리그 타자'!F2+'리그 타자'!P2))))</f>
        <v>1.68343102446301</v>
      </c>
      <c r="S2" s="62" t="n">
        <f aca="false">((1.4)-(-1*((('리그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타자'!D2-'리그 타자'!F2+'리그 타자'!P2)))*(1/((((('리그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타자'!L2-'리그 타자'!N2+'리그 타자'!M2+'리그 타자'!F2))-(-1*((('리그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타자'!D2-'리그 타자'!F2+'리그 타자'!P2))))</f>
        <v>2.20647578632713</v>
      </c>
      <c r="T2" s="62" t="n">
        <f aca="false">1/((((('리그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타자'!L2-'리그 타자'!N2+'리그 타자'!M2+'리그 타자'!F2))-(-1*((('리그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타자'!D2-'리그 타자'!F2+'리그 타자'!P2)))</f>
        <v>1.33648400401791</v>
      </c>
      <c r="U2" s="62" t="n">
        <f aca="false">1.5*('리그 투수'!R2+2)</f>
        <v>10.2146777481574</v>
      </c>
      <c r="V2" s="62" t="n">
        <f aca="false">((9*'리그 투수'!E2)-(Y2*'리그 투수'!K2)-(Z2*('리그 투수'!L2+'리그 투수'!M2-'리그 투수'!N2))-(AA2*'리그 투수'!O2))/'리그 투수'!D2</f>
        <v>2.64855731535205</v>
      </c>
      <c r="W2" s="62" t="n">
        <f aca="false">'리그 타자'!E2/'리그 타자'!C2</f>
        <v>0.124780316344464</v>
      </c>
      <c r="X2" s="99" t="n">
        <v>1982</v>
      </c>
      <c r="Y2" s="62" t="n">
        <v>12</v>
      </c>
      <c r="Z2" s="62" t="n">
        <v>3.2</v>
      </c>
      <c r="AA2" s="62" t="n">
        <v>-2.5</v>
      </c>
      <c r="AB2" s="62" t="n">
        <v>0.2</v>
      </c>
      <c r="AC2" s="62" t="n">
        <v>0.4</v>
      </c>
      <c r="AD2" s="62" t="n">
        <v>0.692</v>
      </c>
      <c r="AE2" s="62" t="s">
        <v>292</v>
      </c>
      <c r="AF2" s="62" t="n">
        <v>90</v>
      </c>
      <c r="AG2" s="62" t="n">
        <v>5.22</v>
      </c>
      <c r="AH2" s="62" t="n">
        <v>10</v>
      </c>
    </row>
    <row r="3" customFormat="false" ht="17.25" hidden="false" customHeight="false" outlineLevel="0" collapsed="false">
      <c r="A3" s="99" t="n">
        <v>1983</v>
      </c>
      <c r="B3" s="62" t="n">
        <v>0.901</v>
      </c>
      <c r="D3" s="62" t="n">
        <v>1.005</v>
      </c>
      <c r="F3" s="62" t="n">
        <v>1.025</v>
      </c>
      <c r="G3" s="62" t="n">
        <v>1.089</v>
      </c>
      <c r="H3" s="62" t="n">
        <v>1.081</v>
      </c>
      <c r="I3" s="62" t="n">
        <v>1.088</v>
      </c>
      <c r="L3" s="62" t="n">
        <v>1</v>
      </c>
      <c r="M3" s="99" t="n">
        <v>1983</v>
      </c>
      <c r="N3" s="62" t="n">
        <f aca="false">((('리그 투수'!E3/('리그 투수'!D3*3)+0.14))-(-1*((('리그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타자'!D3-'리그 타자'!F3+'리그 타자'!P3)))*(1/((((('리그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타자'!L3-'리그 타자'!N3+'리그 타자'!M3+'리그 타자'!F3))-(-1*((('리그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타자'!D3-'리그 타자'!F3+'리그 타자'!P3))))</f>
        <v>0.695965103797201</v>
      </c>
      <c r="O3" s="62" t="n">
        <f aca="false">(((('리그 투수'!E3/('리그 투수'!D3*3)+0.14))+0.025)-(-1*((('리그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타자'!D3-'리그 타자'!F3+'리그 타자'!P3)))*(1/((((('리그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타자'!L3-'리그 타자'!N3+'리그 타자'!M3+'리그 타자'!F3))-(-1*((('리그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타자'!D3-'리그 타자'!F3+'리그 타자'!P3))))</f>
        <v>0.731870991802049</v>
      </c>
      <c r="P3" s="62" t="n">
        <f aca="false">(((('리그 투수'!E3/('리그 투수'!D3*3)+0.14))+0.155)-(-1*((('리그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타자'!D3-'리그 타자'!F3+'리그 타자'!P3)))*(1/((((('리그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타자'!L3-'리그 타자'!N3+'리그 타자'!M3+'리그 타자'!F3))-(-1*((('리그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타자'!D3-'리그 타자'!F3+'리그 타자'!P3))))</f>
        <v>0.918581609427258</v>
      </c>
      <c r="Q3" s="62" t="n">
        <f aca="false">((((('리그 투수'!E3/('리그 투수'!D3*3)+0.14))+0.155)+0.3)-(-1*((('리그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타자'!D3-'리그 타자'!F3+'리그 타자'!P3)))*(1/((((('리그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타자'!L3-'리그 타자'!N3+'리그 타자'!M3+'리그 타자'!F3))-(-1*((('리그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타자'!D3-'리그 타자'!F3+'리그 타자'!P3))))</f>
        <v>1.34945226548543</v>
      </c>
      <c r="R3" s="62" t="n">
        <f aca="false">(((((('리그 투수'!E3/('리그 투수'!D3*3)+0.14))+0.155)+0.3)+0.27)-(-1*((('리그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타자'!D3-'리그 타자'!F3+'리그 타자'!P3)))*(1/((((('리그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타자'!L3-'리그 타자'!N3+'리그 타자'!M3+'리그 타자'!F3))-(-1*((('리그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타자'!D3-'리그 타자'!F3+'리그 타자'!P3))))</f>
        <v>1.73723585593779</v>
      </c>
      <c r="S3" s="62" t="n">
        <f aca="false">((1.4)-(-1*((('리그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타자'!D3-'리그 타자'!F3+'리그 타자'!P3)))*(1/((((('리그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타자'!L3-'리그 타자'!N3+'리그 타자'!M3+'리그 타자'!F3))-(-1*((('리그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타자'!D3-'리그 타자'!F3+'리그 타자'!P3))))</f>
        <v>2.33119899492909</v>
      </c>
      <c r="T3" s="62" t="n">
        <f aca="false">1/((((('리그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타자'!L3-'리그 타자'!N3+'리그 타자'!M3+'리그 타자'!F3))-(-1*((('리그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타자'!D3-'리그 타자'!F3+'리그 타자'!P3)))</f>
        <v>1.43623552019392</v>
      </c>
      <c r="U3" s="62" t="n">
        <f aca="false">1.5*('리그 투수'!R3+2)</f>
        <v>9.03793593865941</v>
      </c>
      <c r="V3" s="62" t="n">
        <f aca="false">((9*'리그 투수'!E3)-(Y3*'리그 투수'!K3)-(Z3*('리그 투수'!L3+'리그 투수'!M3-'리그 투수'!N3))-(AA3*'리그 투수'!O3))/'리그 투수'!D3</f>
        <v>2.30483551817957</v>
      </c>
      <c r="W3" s="62" t="n">
        <f aca="false">'리그 타자'!E3/'리그 타자'!C3</f>
        <v>0.106936928945267</v>
      </c>
      <c r="X3" s="99" t="n">
        <v>1983</v>
      </c>
      <c r="Y3" s="62" t="n">
        <v>12</v>
      </c>
      <c r="Z3" s="62" t="n">
        <v>3.2</v>
      </c>
      <c r="AA3" s="62" t="n">
        <v>-2.5</v>
      </c>
      <c r="AB3" s="62" t="n">
        <v>0.2</v>
      </c>
      <c r="AC3" s="62" t="n">
        <v>0.4</v>
      </c>
      <c r="AD3" s="62" t="n">
        <v>0.587</v>
      </c>
      <c r="AE3" s="62" t="s">
        <v>145</v>
      </c>
      <c r="AF3" s="62" t="n">
        <v>113</v>
      </c>
      <c r="AG3" s="62" t="n">
        <v>-10.22</v>
      </c>
      <c r="AH3" s="62" t="n">
        <v>-8</v>
      </c>
    </row>
    <row r="4" customFormat="false" ht="17.25" hidden="false" customHeight="false" outlineLevel="0" collapsed="false">
      <c r="A4" s="99" t="n">
        <v>1984</v>
      </c>
      <c r="B4" s="62" t="n">
        <v>0.9123</v>
      </c>
      <c r="D4" s="62" t="n">
        <v>1.071</v>
      </c>
      <c r="F4" s="62" t="n">
        <v>1.043</v>
      </c>
      <c r="G4" s="62" t="n">
        <v>1.077</v>
      </c>
      <c r="H4" s="62" t="n">
        <v>1.089</v>
      </c>
      <c r="I4" s="62" t="n">
        <v>1.047</v>
      </c>
      <c r="L4" s="62" t="n">
        <v>1</v>
      </c>
      <c r="M4" s="99" t="n">
        <v>1984</v>
      </c>
      <c r="N4" s="62" t="n">
        <f aca="false">((('리그 투수'!E4/('리그 투수'!D4*3)+0.14))-(-1*((('리그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타자'!D4-'리그 타자'!F4+'리그 타자'!P4)))*(1/((((('리그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타자'!L4-'리그 타자'!N4+'리그 타자'!M4+'리그 타자'!F4))-(-1*((('리그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타자'!D4-'리그 타자'!F4+'리그 타자'!P4))))</f>
        <v>0.701062774298184</v>
      </c>
      <c r="O4" s="62" t="n">
        <f aca="false">(((('리그 투수'!E4/('리그 투수'!D4*3)+0.14))+0.025)-(-1*((('리그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타자'!D4-'리그 타자'!F4+'리그 타자'!P4)))*(1/((((('리그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타자'!L4-'리그 타자'!N4+'리그 타자'!M4+'리그 타자'!F4))-(-1*((('리그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타자'!D4-'리그 타자'!F4+'리그 타자'!P4))))</f>
        <v>0.737192016776047</v>
      </c>
      <c r="P4" s="62" t="n">
        <f aca="false">(((('리그 투수'!E4/('리그 투수'!D4*3)+0.14))+0.155)-(-1*((('리그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타자'!D4-'리그 타자'!F4+'리그 타자'!P4)))*(1/((((('리그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타자'!L4-'리그 타자'!N4+'리그 타자'!M4+'리그 타자'!F4))-(-1*((('리그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타자'!D4-'리그 타자'!F4+'리그 타자'!P4))))</f>
        <v>0.925064077660936</v>
      </c>
      <c r="Q4" s="62" t="n">
        <f aca="false">((((('리그 투수'!E4/('리그 투수'!D4*3)+0.14))+0.155)+0.3)-(-1*((('리그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타자'!D4-'리그 타자'!F4+'리그 타자'!P4)))*(1/((((('리그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타자'!L4-'리그 타자'!N4+'리그 타자'!M4+'리그 타자'!F4))-(-1*((('리그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타자'!D4-'리그 타자'!F4+'리그 타자'!P4))))</f>
        <v>1.3586149873953</v>
      </c>
      <c r="R4" s="62" t="n">
        <f aca="false">(((((('리그 투수'!E4/('리그 투수'!D4*3)+0.14))+0.155)+0.3)+0.27)-(-1*((('리그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타자'!D4-'리그 타자'!F4+'리그 타자'!P4)))*(1/((((('리그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타자'!L4-'리그 타자'!N4+'리그 타자'!M4+'리그 타자'!F4))-(-1*((('리그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타자'!D4-'리그 타자'!F4+'리그 타자'!P4))))</f>
        <v>1.74881080615622</v>
      </c>
      <c r="S4" s="62" t="n">
        <f aca="false">((1.4)-(-1*((('리그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타자'!D4-'리그 타자'!F4+'리그 타자'!P4)))*(1/((((('리그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타자'!L4-'리그 타자'!N4+'리그 타자'!M4+'리그 타자'!F4))-(-1*((('리그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타자'!D4-'리그 타자'!F4+'리그 타자'!P4))))</f>
        <v>2.34687278342273</v>
      </c>
      <c r="T4" s="62" t="n">
        <f aca="false">1/((((('리그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타자'!L4-'리그 타자'!N4+'리그 타자'!M4+'리그 타자'!F4))-(-1*((('리그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타자'!D4-'리그 타자'!F4+'리그 타자'!P4)))</f>
        <v>1.44516969911453</v>
      </c>
      <c r="U4" s="62" t="n">
        <f aca="false">1.5*('리그 투수'!R4+2)</f>
        <v>8.80880518832627</v>
      </c>
      <c r="V4" s="62" t="n">
        <f aca="false">((9*'리그 투수'!E4)-(Y4*'리그 투수'!K4)-(Z4*('리그 투수'!L4+'리그 투수'!M4-'리그 투수'!N4))-(AA4*'리그 투수'!O4))/'리그 투수'!D4</f>
        <v>2.38654901471689</v>
      </c>
      <c r="W4" s="62" t="n">
        <f aca="false">'리그 타자'!E4/'리그 타자'!C4</f>
        <v>0.102683155498013</v>
      </c>
      <c r="X4" s="99" t="n">
        <v>1984</v>
      </c>
      <c r="Y4" s="62" t="n">
        <v>12</v>
      </c>
      <c r="Z4" s="62" t="n">
        <v>3.2</v>
      </c>
      <c r="AA4" s="62" t="n">
        <v>-2.5</v>
      </c>
      <c r="AB4" s="62" t="n">
        <v>0.2</v>
      </c>
      <c r="AC4" s="62" t="n">
        <v>0.4</v>
      </c>
      <c r="AD4" s="62" t="n">
        <v>0.607</v>
      </c>
      <c r="AE4" s="62" t="s">
        <v>14</v>
      </c>
      <c r="AF4" s="62" t="n">
        <v>95</v>
      </c>
      <c r="AG4" s="62" t="n">
        <v>1.22</v>
      </c>
      <c r="AH4" s="62" t="n">
        <v>3</v>
      </c>
    </row>
    <row r="5" customFormat="false" ht="17.25" hidden="false" customHeight="false" outlineLevel="0" collapsed="false">
      <c r="A5" s="99" t="n">
        <v>1985</v>
      </c>
      <c r="B5" s="62" t="n">
        <v>0.901</v>
      </c>
      <c r="D5" s="62" t="n">
        <v>1.121</v>
      </c>
      <c r="F5" s="62" t="n">
        <v>1.093</v>
      </c>
      <c r="G5" s="62" t="n">
        <v>1.044</v>
      </c>
      <c r="H5" s="62" t="n">
        <v>1.061</v>
      </c>
      <c r="I5" s="62" t="n">
        <v>1.043</v>
      </c>
      <c r="L5" s="62" t="n">
        <v>1</v>
      </c>
      <c r="M5" s="99" t="n">
        <v>1985</v>
      </c>
      <c r="N5" s="62" t="n">
        <f aca="false">((('리그 투수'!E5/('리그 투수'!D5*3)+0.14))-(-1*((('리그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타자'!D5-'리그 타자'!F5+'리그 타자'!P5)))*(1/((((('리그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타자'!L5-'리그 타자'!N5+'리그 타자'!M5+'리그 타자'!F5))-(-1*((('리그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타자'!D5-'리그 타자'!F5+'리그 타자'!P5))))</f>
        <v>0.70784511124795</v>
      </c>
      <c r="O5" s="62" t="n">
        <f aca="false">(((('리그 투수'!E5/('리그 투수'!D5*3)+0.14))+0.025)-(-1*((('리그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타자'!D5-'리그 타자'!F5+'리그 타자'!P5)))*(1/((((('리그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타자'!L5-'리그 타자'!N5+'리그 타자'!M5+'리그 타자'!F5))-(-1*((('리그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타자'!D5-'리그 타자'!F5+'리그 타자'!P5))))</f>
        <v>0.742991470045558</v>
      </c>
      <c r="P5" s="62" t="n">
        <f aca="false">(((('리그 투수'!E5/('리그 투수'!D5*3)+0.14))+0.155)-(-1*((('리그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타자'!D5-'리그 타자'!F5+'리그 타자'!P5)))*(1/((((('리그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타자'!L5-'리그 타자'!N5+'리그 타자'!M5+'리그 타자'!F5))-(-1*((('리그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타자'!D5-'리그 타자'!F5+'리그 타자'!P5))))</f>
        <v>0.925752535793118</v>
      </c>
      <c r="Q5" s="62" t="n">
        <f aca="false">((((('리그 투수'!E5/('리그 투수'!D5*3)+0.14))+0.155)+0.3)-(-1*((('리그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타자'!D5-'리그 타자'!F5+'리그 타자'!P5)))*(1/((((('리그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타자'!L5-'리그 타자'!N5+'리그 타자'!M5+'리그 타자'!F5))-(-1*((('리그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타자'!D5-'리그 타자'!F5+'리그 타자'!P5))))</f>
        <v>1.34750884136441</v>
      </c>
      <c r="R5" s="62" t="n">
        <f aca="false">(((((('리그 투수'!E5/('리그 투수'!D5*3)+0.14))+0.155)+0.3)+0.27)-(-1*((('리그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타자'!D5-'리그 타자'!F5+'리그 타자'!P5)))*(1/((((('리그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타자'!L5-'리그 타자'!N5+'리그 타자'!M5+'리그 타자'!F5))-(-1*((('리그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타자'!D5-'리그 타자'!F5+'리그 타자'!P5))))</f>
        <v>1.72708951637857</v>
      </c>
      <c r="S5" s="62" t="n">
        <f aca="false">((1.4)-(-1*((('리그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타자'!D5-'리그 타자'!F5+'리그 타자'!P5)))*(1/((((('리그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타자'!L5-'리그 타자'!N5+'리그 타자'!M5+'리그 타자'!F5))-(-1*((('리그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타자'!D5-'리그 타자'!F5+'리그 타자'!P5))))</f>
        <v>2.29787451505372</v>
      </c>
      <c r="T5" s="62" t="n">
        <f aca="false">1/((((('리그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타자'!L5-'리그 타자'!N5+'리그 타자'!M5+'리그 타자'!F5))-(-1*((('리그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타자'!D5-'리그 타자'!F5+'리그 타자'!P5)))</f>
        <v>1.40585435190431</v>
      </c>
      <c r="U5" s="62" t="n">
        <f aca="false">1.5*('리그 투수'!R5+2)</f>
        <v>9.12947155612961</v>
      </c>
      <c r="V5" s="62" t="n">
        <f aca="false">((9*'리그 투수'!E5)-(Y5*'리그 투수'!K5)-(Z5*('리그 투수'!L5+'리그 투수'!M5-'리그 투수'!N5))-(AA5*'리그 투수'!O5))/'리그 투수'!D5</f>
        <v>2.41335991464031</v>
      </c>
      <c r="W5" s="62" t="n">
        <f aca="false">'리그 타자'!E5/'리그 타자'!C5</f>
        <v>0.107821564312863</v>
      </c>
      <c r="X5" s="99" t="n">
        <v>1985</v>
      </c>
      <c r="Y5" s="62" t="n">
        <v>12</v>
      </c>
      <c r="Z5" s="62" t="n">
        <v>3.2</v>
      </c>
      <c r="AA5" s="62" t="n">
        <v>-2.5</v>
      </c>
      <c r="AB5" s="62" t="n">
        <v>0.2</v>
      </c>
      <c r="AC5" s="62" t="n">
        <v>0.4</v>
      </c>
      <c r="AD5" s="62" t="n">
        <v>0.603</v>
      </c>
      <c r="AE5" s="62" t="s">
        <v>15</v>
      </c>
      <c r="AF5" s="62" t="n">
        <v>102</v>
      </c>
      <c r="AG5" s="62" t="n">
        <v>0.22</v>
      </c>
      <c r="AH5" s="62" t="n">
        <v>-1</v>
      </c>
    </row>
    <row r="6" customFormat="false" ht="17.25" hidden="false" customHeight="false" outlineLevel="0" collapsed="false">
      <c r="A6" s="99" t="n">
        <v>1986</v>
      </c>
      <c r="B6" s="62" t="n">
        <v>0.967</v>
      </c>
      <c r="D6" s="62" t="n">
        <v>1.129</v>
      </c>
      <c r="F6" s="62" t="n">
        <v>1.059</v>
      </c>
      <c r="G6" s="62" t="n">
        <v>1.036</v>
      </c>
      <c r="H6" s="62" t="n">
        <v>1.061</v>
      </c>
      <c r="I6" s="62" t="n">
        <v>1.087</v>
      </c>
      <c r="L6" s="62" t="n">
        <v>1</v>
      </c>
      <c r="M6" s="99" t="n">
        <v>1986</v>
      </c>
      <c r="N6" s="62" t="n">
        <f aca="false">((('리그 투수'!E6/('리그 투수'!D6*3)+0.14))-(-1*((('리그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타자'!D6-'리그 타자'!F6+'리그 타자'!P6)))*(1/((((('리그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타자'!L6-'리그 타자'!N6+'리그 타자'!M6+'리그 타자'!F6))-(-1*((('리그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타자'!D6-'리그 타자'!F6+'리그 타자'!P6))))</f>
        <v>0.709682863194739</v>
      </c>
      <c r="O6" s="62" t="n">
        <f aca="false">(((('리그 투수'!E6/('리그 투수'!D6*3)+0.14))+0.025)-(-1*((('리그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타자'!D6-'리그 타자'!F6+'리그 타자'!P6)))*(1/((((('리그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타자'!L6-'리그 타자'!N6+'리그 타자'!M6+'리그 타자'!F6))-(-1*((('리그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타자'!D6-'리그 타자'!F6+'리그 타자'!P6))))</f>
        <v>0.746395480898805</v>
      </c>
      <c r="P6" s="62" t="n">
        <f aca="false">(((('리그 투수'!E6/('리그 투수'!D6*3)+0.14))+0.155)-(-1*((('리그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타자'!D6-'리그 타자'!F6+'리그 타자'!P6)))*(1/((((('리그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타자'!L6-'리그 타자'!N6+'리그 타자'!M6+'리그 타자'!F6))-(-1*((('리그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타자'!D6-'리그 타자'!F6+'리그 타자'!P6))))</f>
        <v>0.937301092959948</v>
      </c>
      <c r="Q6" s="62" t="n">
        <f aca="false">((((('리그 투수'!E6/('리그 투수'!D6*3)+0.14))+0.155)+0.3)-(-1*((('리그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타자'!D6-'리그 타자'!F6+'리그 타자'!P6)))*(1/((((('리그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타자'!L6-'리그 타자'!N6+'리그 타자'!M6+'리그 타자'!F6))-(-1*((('리그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타자'!D6-'리그 타자'!F6+'리그 타자'!P6))))</f>
        <v>1.37785250540874</v>
      </c>
      <c r="R6" s="62" t="n">
        <f aca="false">(((((('리그 투수'!E6/('리그 투수'!D6*3)+0.14))+0.155)+0.3)+0.27)-(-1*((('리그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타자'!D6-'리그 타자'!F6+'리그 타자'!P6)))*(1/((((('리그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타자'!L6-'리그 타자'!N6+'리그 타자'!M6+'리그 타자'!F6))-(-1*((('리그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타자'!D6-'리그 타자'!F6+'리그 타자'!P6))))</f>
        <v>1.77434877661265</v>
      </c>
      <c r="S6" s="62" t="n">
        <f aca="false">((1.4)-(-1*((('리그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타자'!D6-'리그 타자'!F6+'리그 타자'!P6)))*(1/((((('리그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타자'!L6-'리그 타자'!N6+'리그 타자'!M6+'리그 타자'!F6))-(-1*((('리그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타자'!D6-'리그 타자'!F6+'리그 타자'!P6))))</f>
        <v>2.37546552129032</v>
      </c>
      <c r="T6" s="62" t="n">
        <f aca="false">1/((((('리그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타자'!L6-'리그 타자'!N6+'리그 타자'!M6+'리그 타자'!F6))-(-1*((('리그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타자'!D6-'리그 타자'!F6+'리그 타자'!P6)))</f>
        <v>1.46850470816264</v>
      </c>
      <c r="U6" s="62" t="n">
        <f aca="false">1.5*('리그 투수'!R6+2)</f>
        <v>9.06342357890195</v>
      </c>
      <c r="V6" s="62" t="n">
        <f aca="false">((9*'리그 투수'!E6)-(Y6*'리그 투수'!K6)-(Z6*('리그 투수'!L6+'리그 투수'!M6-'리그 투수'!N6))-(AA6*'리그 투수'!O6))/'리그 투수'!D6</f>
        <v>2.51307841656779</v>
      </c>
      <c r="W6" s="62" t="n">
        <f aca="false">'리그 타자'!E6/'리그 타자'!C6</f>
        <v>0.0978705401212805</v>
      </c>
      <c r="X6" s="99" t="n">
        <v>1986</v>
      </c>
      <c r="Y6" s="62" t="n">
        <v>12</v>
      </c>
      <c r="Z6" s="62" t="n">
        <v>3.2</v>
      </c>
      <c r="AA6" s="62" t="n">
        <v>-2.5</v>
      </c>
      <c r="AB6" s="62" t="n">
        <v>0.2</v>
      </c>
      <c r="AC6" s="62" t="n">
        <v>0.4</v>
      </c>
      <c r="AD6" s="62" t="n">
        <v>0.581</v>
      </c>
      <c r="AE6" s="62" t="s">
        <v>142</v>
      </c>
      <c r="AF6" s="62" t="n">
        <v>80</v>
      </c>
      <c r="AG6" s="62" t="n">
        <v>2.77</v>
      </c>
      <c r="AH6" s="62" t="n">
        <v>7</v>
      </c>
    </row>
    <row r="7" customFormat="false" ht="17.25" hidden="false" customHeight="false" outlineLevel="0" collapsed="false">
      <c r="A7" s="99" t="n">
        <v>1987</v>
      </c>
      <c r="B7" s="62" t="n">
        <v>0.974</v>
      </c>
      <c r="D7" s="62" t="n">
        <v>1.076</v>
      </c>
      <c r="F7" s="62" t="n">
        <v>1.089</v>
      </c>
      <c r="G7" s="62" t="n">
        <v>0.987</v>
      </c>
      <c r="H7" s="62" t="n">
        <v>1.038</v>
      </c>
      <c r="I7" s="62" t="n">
        <v>1.089</v>
      </c>
      <c r="L7" s="62" t="n">
        <v>1</v>
      </c>
      <c r="M7" s="99" t="n">
        <v>1987</v>
      </c>
      <c r="N7" s="62" t="n">
        <f aca="false">((('리그 투수'!E7/('리그 투수'!D7*3)+0.14))-(-1*((('리그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타자'!D7-'리그 타자'!F7+'리그 타자'!P7)))*(1/((((('리그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타자'!L7-'리그 타자'!N7+'리그 타자'!M7+'리그 타자'!F7))-(-1*((('리그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타자'!D7-'리그 타자'!F7+'리그 타자'!P7))))</f>
        <v>0.720816645208079</v>
      </c>
      <c r="O7" s="62" t="n">
        <f aca="false">(((('리그 투수'!E7/('리그 투수'!D7*3)+0.14))+0.025)-(-1*((('리그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타자'!D7-'리그 타자'!F7+'리그 타자'!P7)))*(1/((((('리그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타자'!L7-'리그 타자'!N7+'리그 타자'!M7+'리그 타자'!F7))-(-1*((('리그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타자'!D7-'리그 타자'!F7+'리그 타자'!P7))))</f>
        <v>0.75654421737597</v>
      </c>
      <c r="P7" s="62" t="n">
        <f aca="false">(((('리그 투수'!E7/('리그 투수'!D7*3)+0.14))+0.155)-(-1*((('리그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타자'!D7-'리그 타자'!F7+'리그 타자'!P7)))*(1/((((('리그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타자'!L7-'리그 타자'!N7+'리그 타자'!M7+'리그 타자'!F7))-(-1*((('리그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타자'!D7-'리그 타자'!F7+'리그 타자'!P7))))</f>
        <v>0.942327592649001</v>
      </c>
      <c r="Q7" s="62" t="n">
        <f aca="false">((((('리그 투수'!E7/('리그 투수'!D7*3)+0.14))+0.155)+0.3)-(-1*((('리그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타자'!D7-'리그 타자'!F7+'리그 타자'!P7)))*(1/((((('리그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타자'!L7-'리그 타자'!N7+'리그 타자'!M7+'리그 타자'!F7))-(-1*((('리그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타자'!D7-'리그 타자'!F7+'리그 타자'!P7))))</f>
        <v>1.37105845866369</v>
      </c>
      <c r="R7" s="62" t="n">
        <f aca="false">(((((('리그 투수'!E7/('리그 투수'!D7*3)+0.14))+0.155)+0.3)+0.27)-(-1*((('리그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타자'!D7-'리그 타자'!F7+'리그 타자'!P7)))*(1/((((('리그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타자'!L7-'리그 타자'!N7+'리그 타자'!M7+'리그 타자'!F7))-(-1*((('리그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타자'!D7-'리그 타자'!F7+'리그 타자'!P7))))</f>
        <v>1.75691623807691</v>
      </c>
      <c r="S7" s="62" t="n">
        <f aca="false">((1.4)-(-1*((('리그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타자'!D7-'리그 타자'!F7+'리그 타자'!P7)))*(1/((((('리그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타자'!L7-'리그 타자'!N7+'리그 타자'!M7+'리그 타자'!F7))-(-1*((('리그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타자'!D7-'리그 타자'!F7+'리그 타자'!P7))))</f>
        <v>2.33376723063749</v>
      </c>
      <c r="T7" s="62" t="n">
        <f aca="false">1/((((('리그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타자'!L7-'리그 타자'!N7+'리그 타자'!M7+'리그 타자'!F7))-(-1*((('리그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타자'!D7-'리그 타자'!F7+'리그 타자'!P7)))</f>
        <v>1.42910288671563</v>
      </c>
      <c r="U7" s="62" t="n">
        <f aca="false">1.5*('리그 투수'!R7+2)</f>
        <v>9.03476159952665</v>
      </c>
      <c r="V7" s="62" t="n">
        <f aca="false">((9*'리그 투수'!E7)-(Y7*'리그 투수'!K7)-(Z7*('리그 투수'!L7+'리그 투수'!M7-'리그 투수'!N7))-(AA7*'리그 투수'!O7))/'리그 투수'!D7</f>
        <v>2.65260588728366</v>
      </c>
      <c r="W7" s="62" t="n">
        <f aca="false">'리그 타자'!E7/'리그 타자'!C7</f>
        <v>0.105786396891518</v>
      </c>
      <c r="X7" s="99" t="n">
        <v>1987</v>
      </c>
      <c r="Y7" s="62" t="n">
        <v>12</v>
      </c>
      <c r="Z7" s="62" t="n">
        <v>3.2</v>
      </c>
      <c r="AA7" s="62" t="n">
        <v>-2.5</v>
      </c>
      <c r="AB7" s="62" t="n">
        <v>0.2</v>
      </c>
      <c r="AC7" s="62" t="n">
        <v>0.4</v>
      </c>
      <c r="AD7" s="62" t="n">
        <v>0.615</v>
      </c>
      <c r="AE7" s="62" t="s">
        <v>150</v>
      </c>
      <c r="AF7" s="62" t="n">
        <v>108</v>
      </c>
      <c r="AG7" s="62" t="n">
        <v>-5.5</v>
      </c>
      <c r="AH7" s="62" t="n">
        <v>-5</v>
      </c>
    </row>
    <row r="8" customFormat="false" ht="17.25" hidden="false" customHeight="false" outlineLevel="0" collapsed="false">
      <c r="A8" s="99" t="n">
        <v>1988</v>
      </c>
      <c r="B8" s="62" t="n">
        <v>0.963</v>
      </c>
      <c r="D8" s="62" t="n">
        <v>1.11</v>
      </c>
      <c r="F8" s="62" t="n">
        <v>1.104</v>
      </c>
      <c r="G8" s="62" t="n">
        <v>0.955</v>
      </c>
      <c r="H8" s="62" t="n">
        <v>1.016</v>
      </c>
      <c r="I8" s="62" t="n">
        <v>1.058</v>
      </c>
      <c r="L8" s="62" t="n">
        <v>1</v>
      </c>
      <c r="M8" s="99" t="n">
        <v>1988</v>
      </c>
      <c r="N8" s="62" t="n">
        <f aca="false">((('리그 투수'!E8/('리그 투수'!D8*3)+0.14))-(-1*((('리그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타자'!D8-'리그 타자'!F8+'리그 타자'!P8)))*(1/((((('리그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타자'!L8-'리그 타자'!N8+'리그 타자'!M8+'리그 타자'!F8))-(-1*((('리그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타자'!D8-'리그 타자'!F8+'리그 타자'!P8))))</f>
        <v>0.71828918197116</v>
      </c>
      <c r="O8" s="62" t="n">
        <f aca="false">(((('리그 투수'!E8/('리그 투수'!D8*3)+0.14))+0.025)-(-1*((('리그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타자'!D8-'리그 타자'!F8+'리그 타자'!P8)))*(1/((((('리그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타자'!L8-'리그 타자'!N8+'리그 타자'!M8+'리그 타자'!F8))-(-1*((('리그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타자'!D8-'리그 타자'!F8+'리그 타자'!P8))))</f>
        <v>0.752544380435453</v>
      </c>
      <c r="P8" s="62" t="n">
        <f aca="false">(((('리그 투수'!E8/('리그 투수'!D8*3)+0.14))+0.155)-(-1*((('리그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타자'!D8-'리그 타자'!F8+'리그 타자'!P8)))*(1/((((('리그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타자'!L8-'리그 타자'!N8+'리그 타자'!M8+'리그 타자'!F8))-(-1*((('리그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타자'!D8-'리그 타자'!F8+'리그 타자'!P8))))</f>
        <v>0.930671412449773</v>
      </c>
      <c r="Q8" s="62" t="n">
        <f aca="false">((((('리그 투수'!E8/('리그 투수'!D8*3)+0.14))+0.155)+0.3)-(-1*((('리그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타자'!D8-'리그 타자'!F8+'리그 타자'!P8)))*(1/((((('리그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타자'!L8-'리그 타자'!N8+'리그 타자'!M8+'리그 타자'!F8))-(-1*((('리그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타자'!D8-'리그 타자'!F8+'리그 타자'!P8))))</f>
        <v>1.34173379402128</v>
      </c>
      <c r="R8" s="62" t="n">
        <f aca="false">(((((('리그 투수'!E8/('리그 투수'!D8*3)+0.14))+0.155)+0.3)+0.27)-(-1*((('리그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타자'!D8-'리그 타자'!F8+'리그 타자'!P8)))*(1/((((('리그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타자'!L8-'리그 타자'!N8+'리그 타자'!M8+'리그 타자'!F8))-(-1*((('리그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타자'!D8-'리그 타자'!F8+'리그 타자'!P8))))</f>
        <v>1.71168993743564</v>
      </c>
      <c r="S8" s="62" t="n">
        <f aca="false">((1.4)-(-1*((('리그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타자'!D8-'리그 타자'!F8+'리그 타자'!P8)))*(1/((((('리그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타자'!L8-'리그 타자'!N8+'리그 타자'!M8+'리그 타자'!F8))-(-1*((('리그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타자'!D8-'리그 타자'!F8+'리그 타자'!P8))))</f>
        <v>2.25137451874187</v>
      </c>
      <c r="T8" s="62" t="n">
        <f aca="false">1/((((('리그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타자'!L8-'리그 타자'!N8+'리그 타자'!M8+'리그 타자'!F8))-(-1*((('리그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타자'!D8-'리그 타자'!F8+'리그 타자'!P8)))</f>
        <v>1.37020793857169</v>
      </c>
      <c r="U8" s="62" t="n">
        <f aca="false">1.5*('리그 투수'!R8+2)</f>
        <v>9.44145522756442</v>
      </c>
      <c r="V8" s="62" t="n">
        <f aca="false">((9*'리그 투수'!E8)-(Y8*'리그 투수'!K8)-(Z8*('리그 투수'!L8+'리그 투수'!M8-'리그 투수'!N8))-(AA8*'리그 투수'!O8))/'리그 투수'!D8</f>
        <v>2.79037910948761</v>
      </c>
      <c r="W8" s="62" t="n">
        <f aca="false">'리그 타자'!E8/'리그 타자'!C8</f>
        <v>0.11244110975397</v>
      </c>
      <c r="X8" s="99" t="n">
        <v>1988</v>
      </c>
      <c r="Y8" s="62" t="n">
        <v>12</v>
      </c>
      <c r="Z8" s="62" t="n">
        <v>3.2</v>
      </c>
      <c r="AA8" s="62" t="n">
        <v>-2.5</v>
      </c>
      <c r="AB8" s="62" t="n">
        <v>0.2</v>
      </c>
      <c r="AC8" s="62" t="n">
        <v>0.4</v>
      </c>
      <c r="AD8" s="62" t="n">
        <v>0.651</v>
      </c>
      <c r="AE8" s="62" t="s">
        <v>141</v>
      </c>
      <c r="AF8" s="62" t="n">
        <v>95</v>
      </c>
      <c r="AG8" s="62" t="n">
        <v>2.22</v>
      </c>
      <c r="AH8" s="62" t="n">
        <v>3</v>
      </c>
    </row>
    <row r="9" customFormat="false" ht="17.25" hidden="false" customHeight="false" outlineLevel="0" collapsed="false">
      <c r="A9" s="99" t="n">
        <v>1989</v>
      </c>
      <c r="B9" s="62" t="n">
        <v>0.908</v>
      </c>
      <c r="D9" s="62" t="n">
        <v>0.967</v>
      </c>
      <c r="F9" s="62" t="n">
        <v>1.148</v>
      </c>
      <c r="G9" s="62" t="n">
        <v>0.966</v>
      </c>
      <c r="H9" s="62" t="n">
        <v>1.089</v>
      </c>
      <c r="I9" s="62" t="n">
        <v>1.102</v>
      </c>
      <c r="L9" s="62" t="n">
        <v>1</v>
      </c>
      <c r="M9" s="99" t="n">
        <v>1989</v>
      </c>
      <c r="N9" s="62" t="n">
        <f aca="false">((('리그 투수'!E9/('리그 투수'!D9*3)+0.14))-(-1*((('리그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타자'!D9-'리그 타자'!F9+'리그 타자'!P9)))*(1/((((('리그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타자'!L9-'리그 타자'!N9+'리그 타자'!M9+'리그 타자'!F9))-(-1*((('리그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타자'!D9-'리그 타자'!F9+'리그 타자'!P9))))</f>
        <v>0.727949773478205</v>
      </c>
      <c r="O9" s="62" t="n">
        <f aca="false">(((('리그 투수'!E9/('리그 투수'!D9*3)+0.14))+0.025)-(-1*((('리그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타자'!D9-'리그 타자'!F9+'리그 타자'!P9)))*(1/((((('리그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타자'!L9-'리그 타자'!N9+'리그 타자'!M9+'리그 타자'!F9))-(-1*((('리그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타자'!D9-'리그 타자'!F9+'리그 타자'!P9))))</f>
        <v>0.763408730951449</v>
      </c>
      <c r="P9" s="62" t="n">
        <f aca="false">(((('리그 투수'!E9/('리그 투수'!D9*3)+0.14))+0.155)-(-1*((('리그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타자'!D9-'리그 타자'!F9+'리그 타자'!P9)))*(1/((((('리그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타자'!L9-'리그 타자'!N9+'리그 타자'!M9+'리그 타자'!F9))-(-1*((('리그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타자'!D9-'리그 타자'!F9+'리그 타자'!P9))))</f>
        <v>0.947795309812318</v>
      </c>
      <c r="Q9" s="62" t="n">
        <f aca="false">((((('리그 투수'!E9/('리그 투수'!D9*3)+0.14))+0.155)+0.3)-(-1*((('리그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타자'!D9-'리그 타자'!F9+'리그 타자'!P9)))*(1/((((('리그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타자'!L9-'리그 타자'!N9+'리그 타자'!M9+'리그 타자'!F9))-(-1*((('리그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타자'!D9-'리그 타자'!F9+'리그 타자'!P9))))</f>
        <v>1.37330279949125</v>
      </c>
      <c r="R9" s="62" t="n">
        <f aca="false">(((((('리그 투수'!E9/('리그 투수'!D9*3)+0.14))+0.155)+0.3)+0.27)-(-1*((('리그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타자'!D9-'리그 타자'!F9+'리그 타자'!P9)))*(1/((((('리그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타자'!L9-'리그 타자'!N9+'리그 타자'!M9+'리그 타자'!F9))-(-1*((('리그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타자'!D9-'리그 타자'!F9+'리그 타자'!P9))))</f>
        <v>1.75625954020228</v>
      </c>
      <c r="S9" s="62" t="n">
        <f aca="false">((1.4)-(-1*((('리그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타자'!D9-'리그 타자'!F9+'리그 타자'!P9)))*(1/((((('리그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타자'!L9-'리그 타자'!N9+'리그 타자'!M9+'리그 타자'!F9))-(-1*((('리그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타자'!D9-'리그 타자'!F9+'리그 타자'!P9))))</f>
        <v>2.31906684976163</v>
      </c>
      <c r="T9" s="62" t="n">
        <f aca="false">1/((((('리그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타자'!L9-'리그 타자'!N9+'리그 타자'!M9+'리그 타자'!F9))-(-1*((('리그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타자'!D9-'리그 타자'!F9+'리그 타자'!P9)))</f>
        <v>1.41835829892976</v>
      </c>
      <c r="U9" s="62" t="n">
        <f aca="false">1.5*('리그 투수'!R9+2)</f>
        <v>9.3264448181255</v>
      </c>
      <c r="V9" s="62" t="n">
        <f aca="false">((9*'리그 투수'!E9)-(Y9*'리그 투수'!K9)-(Z9*('리그 투수'!L9+'리그 투수'!M9-'리그 투수'!N9))-(AA9*'리그 투수'!O9))/'리그 투수'!D9</f>
        <v>2.84912381626693</v>
      </c>
      <c r="W9" s="62" t="n">
        <f aca="false">'리그 타자'!E9/'리그 타자'!C9</f>
        <v>0.110209178894786</v>
      </c>
      <c r="X9" s="99" t="n">
        <v>1989</v>
      </c>
      <c r="Y9" s="62" t="n">
        <v>12</v>
      </c>
      <c r="Z9" s="62" t="n">
        <v>3.2</v>
      </c>
      <c r="AA9" s="62" t="n">
        <v>-2.5</v>
      </c>
      <c r="AB9" s="62" t="n">
        <v>0.2</v>
      </c>
      <c r="AC9" s="62" t="n">
        <v>0.4</v>
      </c>
      <c r="AD9" s="62" t="n">
        <v>0.644</v>
      </c>
      <c r="AE9" s="62" t="s">
        <v>144</v>
      </c>
      <c r="AF9" s="62" t="n">
        <v>105</v>
      </c>
      <c r="AG9" s="62" t="n">
        <v>-4.77</v>
      </c>
      <c r="AH9" s="62" t="n">
        <v>-5</v>
      </c>
    </row>
    <row r="10" customFormat="false" ht="17.25" hidden="false" customHeight="false" outlineLevel="0" collapsed="false">
      <c r="A10" s="99" t="n">
        <v>1990</v>
      </c>
      <c r="B10" s="62" t="n">
        <v>0.907</v>
      </c>
      <c r="D10" s="62" t="n">
        <v>0.961</v>
      </c>
      <c r="F10" s="62" t="n">
        <v>1.076</v>
      </c>
      <c r="G10" s="62" t="n">
        <v>1.002</v>
      </c>
      <c r="H10" s="62" t="n">
        <v>1.091</v>
      </c>
      <c r="I10" s="62" t="n">
        <v>1.101</v>
      </c>
      <c r="L10" s="62" t="n">
        <v>1</v>
      </c>
      <c r="M10" s="99" t="n">
        <v>1990</v>
      </c>
      <c r="N10" s="62" t="n">
        <f aca="false">((('리그 투수'!E10/('리그 투수'!D10*3)+0.14))-(-1*((('리그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타자'!D10-'리그 타자'!F10+'리그 타자'!P10)))*(1/((((('리그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타자'!L10-'리그 타자'!N10+'리그 타자'!M10+'리그 타자'!F10))-(-1*((('리그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타자'!D10-'리그 타자'!F10+'리그 타자'!P10))))</f>
        <v>0.726806821653529</v>
      </c>
      <c r="O10" s="62" t="n">
        <f aca="false">(((('리그 투수'!E10/('리그 투수'!D10*3)+0.14))+0.025)-(-1*((('리그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타자'!D10-'리그 타자'!F10+'리그 타자'!P10)))*(1/((((('리그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타자'!L10-'리그 타자'!N10+'리그 타자'!M10+'리그 타자'!F10))-(-1*((('리그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타자'!D10-'리그 타자'!F10+'리그 타자'!P10))))</f>
        <v>0.76129207968313</v>
      </c>
      <c r="P10" s="62" t="n">
        <f aca="false">(((('리그 투수'!E10/('리그 투수'!D10*3)+0.14))+0.155)-(-1*((('리그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타자'!D10-'리그 타자'!F10+'리그 타자'!P10)))*(1/((((('리그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타자'!L10-'리그 타자'!N10+'리그 타자'!M10+'리그 타자'!F10))-(-1*((('리그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타자'!D10-'리그 타자'!F10+'리그 타자'!P10))))</f>
        <v>0.940615421437058</v>
      </c>
      <c r="Q10" s="62" t="n">
        <f aca="false">((((('리그 투수'!E10/('리그 투수'!D10*3)+0.14))+0.155)+0.3)-(-1*((('리그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타자'!D10-'리그 타자'!F10+'리그 타자'!P10)))*(1/((((('리그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타자'!L10-'리그 타자'!N10+'리그 타자'!M10+'리그 타자'!F10))-(-1*((('리그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타자'!D10-'리그 타자'!F10+'리그 타자'!P10))))</f>
        <v>1.35443851779228</v>
      </c>
      <c r="R10" s="62" t="n">
        <f aca="false">(((((('리그 투수'!E10/('리그 투수'!D10*3)+0.14))+0.155)+0.3)+0.27)-(-1*((('리그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타자'!D10-'리그 타자'!F10+'리그 타자'!P10)))*(1/((((('리그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타자'!L10-'리그 타자'!N10+'리그 타자'!M10+'리그 타자'!F10))-(-1*((('리그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타자'!D10-'리그 타자'!F10+'리그 타자'!P10))))</f>
        <v>1.72687930451197</v>
      </c>
      <c r="S10" s="62" t="n">
        <f aca="false">((1.4)-(-1*((('리그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타자'!D10-'리그 타자'!F10+'리그 타자'!P10)))*(1/((((('리그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타자'!L10-'리그 타자'!N10+'리그 타자'!M10+'리그 타자'!F10))-(-1*((('리그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타자'!D10-'리그 타자'!F10+'리그 타자'!P10))))</f>
        <v>2.26693830523349</v>
      </c>
      <c r="T10" s="62" t="n">
        <f aca="false">1/((((('리그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타자'!L10-'리그 타자'!N10+'리그 타자'!M10+'리그 타자'!F10))-(-1*((('리그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타자'!D10-'리그 타자'!F10+'리그 타자'!P10)))</f>
        <v>1.37941032118406</v>
      </c>
      <c r="U10" s="62" t="n">
        <f aca="false">1.5*('리그 투수'!R10+2)</f>
        <v>9.62102292925702</v>
      </c>
      <c r="V10" s="62" t="n">
        <f aca="false">((9*'리그 투수'!E10)-(Y10*'리그 투수'!K10)-(Z10*('리그 투수'!L10+'리그 투수'!M10-'리그 투수'!N10))-(AA10*'리그 투수'!O10))/'리그 투수'!D10</f>
        <v>2.80796747244934</v>
      </c>
      <c r="W10" s="62" t="n">
        <f aca="false">'리그 타자'!E10/'리그 타자'!C10</f>
        <v>0.115109039141454</v>
      </c>
      <c r="X10" s="99" t="n">
        <v>1990</v>
      </c>
      <c r="Y10" s="62" t="n">
        <v>12</v>
      </c>
      <c r="Z10" s="62" t="n">
        <v>3.2</v>
      </c>
      <c r="AA10" s="62" t="n">
        <v>-2.5</v>
      </c>
      <c r="AB10" s="62" t="n">
        <v>0.2</v>
      </c>
      <c r="AC10" s="62" t="n">
        <v>0.4</v>
      </c>
      <c r="AD10" s="62" t="n">
        <v>0.619</v>
      </c>
      <c r="AE10" s="62" t="s">
        <v>293</v>
      </c>
      <c r="AF10" s="62" t="n">
        <v>117</v>
      </c>
      <c r="AG10" s="62" t="n">
        <v>-12.5</v>
      </c>
      <c r="AH10" s="62" t="n">
        <v>-15</v>
      </c>
    </row>
    <row r="11" customFormat="false" ht="17.25" hidden="false" customHeight="false" outlineLevel="0" collapsed="false">
      <c r="A11" s="99" t="n">
        <v>1991</v>
      </c>
      <c r="B11" s="62" t="n">
        <v>0.913</v>
      </c>
      <c r="D11" s="62" t="n">
        <v>0.991</v>
      </c>
      <c r="F11" s="62" t="n">
        <v>0.978</v>
      </c>
      <c r="G11" s="62" t="n">
        <v>1.013</v>
      </c>
      <c r="H11" s="62" t="n">
        <v>1.069</v>
      </c>
      <c r="I11" s="62" t="n">
        <v>1.115</v>
      </c>
      <c r="K11" s="62" t="n">
        <v>1.082</v>
      </c>
      <c r="L11" s="62" t="n">
        <v>1</v>
      </c>
      <c r="M11" s="99" t="n">
        <v>1991</v>
      </c>
      <c r="N11" s="62" t="n">
        <f aca="false">((('리그 투수'!E11/('리그 투수'!D11*3)+0.14))-(-1*((('리그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타자'!D11-'리그 타자'!F11+'리그 타자'!P11)))*(1/((((('리그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타자'!L11-'리그 타자'!N11+'리그 타자'!M11+'리그 타자'!F11))-(-1*((('리그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타자'!D11-'리그 타자'!F11+'리그 타자'!P11))))</f>
        <v>0.719415765186457</v>
      </c>
      <c r="O11" s="62" t="n">
        <f aca="false">(((('리그 투수'!E11/('리그 투수'!D11*3)+0.14))+0.025)-(-1*((('리그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타자'!D11-'리그 타자'!F11+'리그 타자'!P11)))*(1/((((('리그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타자'!L11-'리그 타자'!N11+'리그 타자'!M11+'리그 타자'!F11))-(-1*((('리그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타자'!D11-'리그 타자'!F11+'리그 타자'!P11))))</f>
        <v>0.753034081247488</v>
      </c>
      <c r="P11" s="62" t="n">
        <f aca="false">(((('리그 투수'!E11/('리그 투수'!D11*3)+0.14))+0.155)-(-1*((('리그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타자'!D11-'리그 타자'!F11+'리그 타자'!P11)))*(1/((((('리그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타자'!L11-'리그 타자'!N11+'리그 타자'!M11+'리그 타자'!F11))-(-1*((('리그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타자'!D11-'리그 타자'!F11+'리그 타자'!P11))))</f>
        <v>0.927849324764849</v>
      </c>
      <c r="Q11" s="62" t="n">
        <f aca="false">((((('리그 투수'!E11/('리그 투수'!D11*3)+0.14))+0.155)+0.3)-(-1*((('리그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타자'!D11-'리그 타자'!F11+'리그 타자'!P11)))*(1/((((('리그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타자'!L11-'리그 타자'!N11+'리그 타자'!M11+'리그 타자'!F11))-(-1*((('리그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타자'!D11-'리그 타자'!F11+'리그 타자'!P11))))</f>
        <v>1.33126911749722</v>
      </c>
      <c r="R11" s="62" t="n">
        <f aca="false">(((((('리그 투수'!E11/('리그 투수'!D11*3)+0.14))+0.155)+0.3)+0.27)-(-1*((('리그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타자'!D11-'리그 타자'!F11+'리그 타자'!P11)))*(1/((((('리그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타자'!L11-'리그 타자'!N11+'리그 타자'!M11+'리그 타자'!F11))-(-1*((('리그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타자'!D11-'리그 타자'!F11+'리그 타자'!P11))))</f>
        <v>1.69434693095635</v>
      </c>
      <c r="S11" s="62" t="n">
        <f aca="false">((1.4)-(-1*((('리그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타자'!D11-'리그 타자'!F11+'리그 타자'!P11)))*(1/((((('리그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타자'!L11-'리그 타자'!N11+'리그 타자'!M11+'리그 타자'!F11))-(-1*((('리그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타자'!D11-'리그 타자'!F11+'리그 타자'!P11))))</f>
        <v>2.21568317559168</v>
      </c>
      <c r="T11" s="62" t="n">
        <f aca="false">1/((((('리그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타자'!L11-'리그 타자'!N11+'리그 타자'!M11+'리그 타자'!F11))-(-1*((('리그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타자'!D11-'리그 타자'!F11+'리그 타자'!P11)))</f>
        <v>1.34473264244124</v>
      </c>
      <c r="U11" s="62" t="n">
        <f aca="false">1.5*('리그 투수'!R11+2)</f>
        <v>9.64786726351226</v>
      </c>
      <c r="V11" s="62" t="n">
        <f aca="false">((9*'리그 투수'!E11)-(Y11*'리그 투수'!K11)-(Z11*('리그 투수'!L11+'리그 투수'!M11-'리그 투수'!N11))-(AA11*'리그 투수'!O11))/'리그 투수'!D11</f>
        <v>2.96133328400725</v>
      </c>
      <c r="W11" s="62" t="n">
        <f aca="false">'리그 타자'!E11/'리그 타자'!C11</f>
        <v>0.115872767157631</v>
      </c>
      <c r="X11" s="99" t="n">
        <v>1991</v>
      </c>
      <c r="Y11" s="62" t="n">
        <v>12</v>
      </c>
      <c r="Z11" s="62" t="n">
        <v>3.2</v>
      </c>
      <c r="AA11" s="62" t="n">
        <v>-2.5</v>
      </c>
      <c r="AB11" s="62" t="n">
        <v>0.2</v>
      </c>
      <c r="AC11" s="62" t="n">
        <v>0.4</v>
      </c>
      <c r="AD11" s="62" t="n">
        <v>0.622</v>
      </c>
      <c r="AE11" s="62" t="s">
        <v>294</v>
      </c>
      <c r="AF11" s="62" t="n">
        <v>120</v>
      </c>
    </row>
    <row r="12" customFormat="false" ht="17.25" hidden="false" customHeight="false" outlineLevel="0" collapsed="false">
      <c r="A12" s="99" t="n">
        <v>1992</v>
      </c>
      <c r="B12" s="62" t="n">
        <v>0.905</v>
      </c>
      <c r="D12" s="62" t="n">
        <v>1.013</v>
      </c>
      <c r="F12" s="62" t="n">
        <v>0.991</v>
      </c>
      <c r="G12" s="62" t="n">
        <v>1.062</v>
      </c>
      <c r="H12" s="62" t="n">
        <v>1.052</v>
      </c>
      <c r="I12" s="62" t="n">
        <v>1.114</v>
      </c>
      <c r="K12" s="62" t="n">
        <v>1.078</v>
      </c>
      <c r="L12" s="62" t="n">
        <v>1</v>
      </c>
      <c r="M12" s="99" t="n">
        <v>1992</v>
      </c>
      <c r="N12" s="62" t="n">
        <f aca="false">((('리그 투수'!E12/('리그 투수'!D12*3)+0.14))-(-1*((('리그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타자'!D12-'리그 타자'!F12+'리그 타자'!P12)))*(1/((((('리그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타자'!L12-'리그 타자'!N12+'리그 타자'!M12+'리그 타자'!F12))-(-1*((('리그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타자'!D12-'리그 타자'!F12+'리그 타자'!P12))))</f>
        <v>0.726377756616147</v>
      </c>
      <c r="O12" s="62" t="n">
        <f aca="false">(((('리그 투수'!E12/('리그 투수'!D12*3)+0.14))+0.025)-(-1*((('리그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타자'!D12-'리그 타자'!F12+'리그 타자'!P12)))*(1/((((('리그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타자'!L12-'리그 타자'!N12+'리그 타자'!M12+'리그 타자'!F12))-(-1*((('리그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타자'!D12-'리그 타자'!F12+'리그 타자'!P12))))</f>
        <v>0.758345709337715</v>
      </c>
      <c r="P12" s="62" t="n">
        <f aca="false">(((('리그 투수'!E12/('리그 투수'!D12*3)+0.14))+0.155)-(-1*((('리그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타자'!D12-'리그 타자'!F12+'리그 타자'!P12)))*(1/((((('리그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타자'!L12-'리그 타자'!N12+'리그 타자'!M12+'리그 타자'!F12))-(-1*((('리그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타자'!D12-'리그 타자'!F12+'리그 타자'!P12))))</f>
        <v>0.924579063489866</v>
      </c>
      <c r="Q12" s="62" t="n">
        <f aca="false">((((('리그 투수'!E12/('리그 투수'!D12*3)+0.14))+0.155)+0.3)-(-1*((('리그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타자'!D12-'리그 타자'!F12+'리그 타자'!P12)))*(1/((((('리그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타자'!L12-'리그 타자'!N12+'리그 타자'!M12+'리그 타자'!F12))-(-1*((('리그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타자'!D12-'리그 타자'!F12+'리그 타자'!P12))))</f>
        <v>1.30819449614868</v>
      </c>
      <c r="R12" s="62" t="n">
        <f aca="false">(((((('리그 투수'!E12/('리그 투수'!D12*3)+0.14))+0.155)+0.3)+0.27)-(-1*((('리그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타자'!D12-'리그 타자'!F12+'리그 타자'!P12)))*(1/((((('리그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타자'!L12-'리그 타자'!N12+'리그 타자'!M12+'리그 타자'!F12))-(-1*((('리그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타자'!D12-'리그 타자'!F12+'리그 타자'!P12))))</f>
        <v>1.6534483855416</v>
      </c>
      <c r="S12" s="62" t="n">
        <f aca="false">((1.4)-(-1*((('리그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타자'!D12-'리그 타자'!F12+'리그 타자'!P12)))*(1/((((('리그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타자'!L12-'리그 타자'!N12+'리그 타자'!M12+'리그 타자'!F12))-(-1*((('리그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타자'!D12-'리그 타자'!F12+'리그 타자'!P12))))</f>
        <v>2.13315870801537</v>
      </c>
      <c r="T12" s="62" t="n">
        <f aca="false">1/((((('리그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타자'!L12-'리그 타자'!N12+'리그 타자'!M12+'리그 타자'!F12))-(-1*((('리그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타자'!D12-'리그 타자'!F12+'리그 타자'!P12)))</f>
        <v>1.2787181088627</v>
      </c>
      <c r="U12" s="62" t="n">
        <f aca="false">1.5*('리그 투수'!R12+2)</f>
        <v>10.2620168067227</v>
      </c>
      <c r="V12" s="62" t="n">
        <f aca="false">((9*'리그 투수'!E12)-(Y12*'리그 투수'!K12)-(Z12*('리그 투수'!L12+'리그 투수'!M12-'리그 투수'!N12))-(AA12*'리그 투수'!O12))/'리그 투수'!D12</f>
        <v>3.06618487394958</v>
      </c>
      <c r="W12" s="62" t="n">
        <f aca="false">'리그 타자'!E12/'리그 타자'!C12</f>
        <v>0.123746681444442</v>
      </c>
      <c r="X12" s="99" t="n">
        <v>1992</v>
      </c>
      <c r="Y12" s="62" t="n">
        <v>12</v>
      </c>
      <c r="Z12" s="62" t="n">
        <v>3.2</v>
      </c>
      <c r="AA12" s="62" t="n">
        <v>-2.5</v>
      </c>
      <c r="AB12" s="62" t="n">
        <v>0.2</v>
      </c>
      <c r="AC12" s="62" t="n">
        <v>0.4</v>
      </c>
      <c r="AD12" s="62" t="n">
        <v>0.654</v>
      </c>
      <c r="AE12" s="62" t="s">
        <v>295</v>
      </c>
      <c r="AF12" s="62" t="n">
        <v>100</v>
      </c>
      <c r="AG12" s="62" t="n">
        <v>0</v>
      </c>
      <c r="AH12" s="62" t="n">
        <v>0</v>
      </c>
    </row>
    <row r="13" customFormat="false" ht="17.25" hidden="false" customHeight="false" outlineLevel="0" collapsed="false">
      <c r="A13" s="99" t="n">
        <v>1993</v>
      </c>
      <c r="B13" s="62" t="n">
        <v>0.913</v>
      </c>
      <c r="D13" s="62" t="n">
        <v>1.041</v>
      </c>
      <c r="F13" s="62" t="n">
        <v>0.993</v>
      </c>
      <c r="G13" s="62" t="n">
        <v>1.073</v>
      </c>
      <c r="H13" s="62" t="n">
        <v>1.047</v>
      </c>
      <c r="I13" s="62" t="n">
        <v>1.111</v>
      </c>
      <c r="K13" s="62" t="n">
        <v>1.051</v>
      </c>
      <c r="L13" s="62" t="n">
        <v>1</v>
      </c>
      <c r="M13" s="99" t="n">
        <v>1993</v>
      </c>
      <c r="N13" s="62" t="n">
        <f aca="false">((('리그 투수'!E13/('리그 투수'!D13*3)+0.14))-(-1*((('리그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타자'!D13-'리그 타자'!F13+'리그 타자'!P13)))*(1/((((('리그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타자'!L13-'리그 타자'!N13+'리그 타자'!M13+'리그 타자'!F13))-(-1*((('리그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타자'!D13-'리그 타자'!F13+'리그 타자'!P13))))</f>
        <v>0.705927494072021</v>
      </c>
      <c r="O13" s="62" t="n">
        <f aca="false">(((('리그 투수'!E13/('리그 투수'!D13*3)+0.14))+0.025)-(-1*((('리그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타자'!D13-'리그 타자'!F13+'리그 타자'!P13)))*(1/((((('리그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타자'!L13-'리그 타자'!N13+'리그 타자'!M13+'리그 타자'!F13))-(-1*((('리그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타자'!D13-'리그 타자'!F13+'리그 타자'!P13))))</f>
        <v>0.743066282664111</v>
      </c>
      <c r="P13" s="62" t="n">
        <f aca="false">(((('리그 투수'!E13/('리그 투수'!D13*3)+0.14))+0.155)-(-1*((('리그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타자'!D13-'리그 타자'!F13+'리그 타자'!P13)))*(1/((((('리그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타자'!L13-'리그 타자'!N13+'리그 타자'!M13+'리그 타자'!F13))-(-1*((('리그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타자'!D13-'리그 타자'!F13+'리그 타자'!P13))))</f>
        <v>0.936187983342978</v>
      </c>
      <c r="Q13" s="62" t="n">
        <f aca="false">((((('리그 투수'!E13/('리그 투수'!D13*3)+0.14))+0.155)+0.3)-(-1*((('리그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타자'!D13-'리그 타자'!F13+'리그 타자'!P13)))*(1/((((('리그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타자'!L13-'리그 타자'!N13+'리그 타자'!M13+'리그 타자'!F13))-(-1*((('리그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타자'!D13-'리그 타자'!F13+'리그 타자'!P13))))</f>
        <v>1.38185344644806</v>
      </c>
      <c r="R13" s="62" t="n">
        <f aca="false">(((((('리그 투수'!E13/('리그 투수'!D13*3)+0.14))+0.155)+0.3)+0.27)-(-1*((('리그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타자'!D13-'리그 타자'!F13+'리그 타자'!P13)))*(1/((((('리그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타자'!L13-'리그 타자'!N13+'리그 타자'!M13+'리그 타자'!F13))-(-1*((('리그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타자'!D13-'리그 타자'!F13+'리그 타자'!P13))))</f>
        <v>1.78295236324263</v>
      </c>
      <c r="S13" s="62" t="n">
        <f aca="false">((1.4)-(-1*((('리그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타자'!D13-'리그 타자'!F13+'리그 타자'!P13)))*(1/((((('리그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타자'!L13-'리그 타자'!N13+'리그 타자'!M13+'리그 타자'!F13))-(-1*((('리그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타자'!D13-'리그 타자'!F13+'리그 타자'!P13))))</f>
        <v>2.39767557055592</v>
      </c>
      <c r="T13" s="62" t="n">
        <f aca="false">1/((((('리그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타자'!L13-'리그 타자'!N13+'리그 타자'!M13+'리그 타자'!F13))-(-1*((('리그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타자'!D13-'리그 타자'!F13+'리그 타자'!P13)))</f>
        <v>1.48555154368359</v>
      </c>
      <c r="U13" s="62" t="n">
        <f aca="false">1.5*('리그 투수'!R13+2)</f>
        <v>8.57530521642619</v>
      </c>
      <c r="V13" s="62" t="n">
        <f aca="false">((9*'리그 투수'!E13)-(Y13*'리그 투수'!K13)-(Z13*('리그 투수'!L13+'리그 투수'!M13-'리그 투수'!N13))-(AA13*'리그 투수'!O13))/'리그 투수'!D13</f>
        <v>2.73675915649279</v>
      </c>
      <c r="W13" s="62" t="n">
        <f aca="false">'리그 타자'!E13/'리그 타자'!C13</f>
        <v>0.0986557785613914</v>
      </c>
      <c r="X13" s="99" t="n">
        <v>1993</v>
      </c>
      <c r="Y13" s="62" t="n">
        <v>12</v>
      </c>
      <c r="Z13" s="62" t="n">
        <v>3.2</v>
      </c>
      <c r="AA13" s="62" t="n">
        <v>-2.5</v>
      </c>
      <c r="AB13" s="62" t="n">
        <v>0.2</v>
      </c>
      <c r="AC13" s="62" t="n">
        <v>0.4</v>
      </c>
      <c r="AD13" s="62" t="n">
        <v>0.642</v>
      </c>
    </row>
    <row r="14" customFormat="false" ht="17.25" hidden="false" customHeight="false" outlineLevel="0" collapsed="false">
      <c r="A14" s="99" t="n">
        <v>1994</v>
      </c>
      <c r="B14" s="62" t="n">
        <v>0.927</v>
      </c>
      <c r="D14" s="62" t="n">
        <v>1.068</v>
      </c>
      <c r="F14" s="62" t="n">
        <v>0.997</v>
      </c>
      <c r="G14" s="62" t="n">
        <v>1.071</v>
      </c>
      <c r="H14" s="62" t="n">
        <v>1.049</v>
      </c>
      <c r="I14" s="62" t="n">
        <v>1.1</v>
      </c>
      <c r="K14" s="62" t="n">
        <v>1.041</v>
      </c>
      <c r="L14" s="62" t="n">
        <v>1</v>
      </c>
      <c r="M14" s="99" t="n">
        <v>1994</v>
      </c>
      <c r="N14" s="62" t="n">
        <f aca="false">((('리그 투수'!E14/('리그 투수'!D14*3)+0.14))-(-1*((('리그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타자'!D14-'리그 타자'!F14+'리그 타자'!P14)))*(1/((((('리그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타자'!L14-'리그 타자'!N14+'리그 타자'!M14+'리그 타자'!F14))-(-1*((('리그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타자'!D14-'리그 타자'!F14+'리그 타자'!P14))))</f>
        <v>0.711003577549799</v>
      </c>
      <c r="O14" s="62" t="n">
        <f aca="false">(((('리그 투수'!E14/('리그 투수'!D14*3)+0.14))+0.025)-(-1*((('리그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타자'!D14-'리그 타자'!F14+'리그 타자'!P14)))*(1/((((('리그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타자'!L14-'리그 타자'!N14+'리그 타자'!M14+'리그 타자'!F14))-(-1*((('리그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타자'!D14-'리그 타자'!F14+'리그 타자'!P14))))</f>
        <v>0.74569820585242</v>
      </c>
      <c r="P14" s="62" t="n">
        <f aca="false">(((('리그 투수'!E14/('리그 투수'!D14*3)+0.14))+0.155)-(-1*((('리그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타자'!D14-'리그 타자'!F14+'리그 타자'!P14)))*(1/((((('리그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타자'!L14-'리그 타자'!N14+'리그 타자'!M14+'리그 타자'!F14))-(-1*((('리그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타자'!D14-'리그 타자'!F14+'리그 타자'!P14))))</f>
        <v>0.926110273026051</v>
      </c>
      <c r="Q14" s="62" t="n">
        <f aca="false">((((('리그 투수'!E14/('리그 투수'!D14*3)+0.14))+0.155)+0.3)-(-1*((('리그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타자'!D14-'리그 타자'!F14+'리그 타자'!P14)))*(1/((((('리그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타자'!L14-'리그 타자'!N14+'리그 타자'!M14+'리그 타자'!F14))-(-1*((('리그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타자'!D14-'리그 타자'!F14+'리그 타자'!P14))))</f>
        <v>1.34244581265751</v>
      </c>
      <c r="R14" s="62" t="n">
        <f aca="false">(((((('리그 투수'!E14/('리그 투수'!D14*3)+0.14))+0.155)+0.3)+0.27)-(-1*((('리그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타자'!D14-'리그 타자'!F14+'리그 타자'!P14)))*(1/((((('리그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타자'!L14-'리그 타자'!N14+'리그 타자'!M14+'리그 타자'!F14))-(-1*((('리그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타자'!D14-'리그 타자'!F14+'리그 타자'!P14))))</f>
        <v>1.71714779832582</v>
      </c>
      <c r="S14" s="62" t="n">
        <f aca="false">((1.4)-(-1*((('리그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타자'!D14-'리그 타자'!F14+'리그 타자'!P14)))*(1/((((('리그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타자'!L14-'리그 타자'!N14+'리그 타자'!M14+'리그 타자'!F14))-(-1*((('리그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타자'!D14-'리그 타자'!F14+'리그 타자'!P14))))</f>
        <v>2.2676212343422</v>
      </c>
      <c r="T14" s="62" t="n">
        <f aca="false">1/((((('리그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타자'!L14-'리그 타자'!N14+'리그 타자'!M14+'리그 타자'!F14))-(-1*((('리그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타자'!D14-'리그 타자'!F14+'리그 타자'!P14)))</f>
        <v>1.38778513210485</v>
      </c>
      <c r="U14" s="62" t="n">
        <f aca="false">1.5*('리그 투수'!R14+2)</f>
        <v>9.32349869451697</v>
      </c>
      <c r="V14" s="62" t="n">
        <f aca="false">((9*'리그 투수'!E14)-(Y14*'리그 투수'!K14)-(Z14*('리그 투수'!L14+'리그 투수'!M14-'리그 투수'!N14))-(AA14*'리그 투수'!O14))/'리그 투수'!D14</f>
        <v>3.07180529653115</v>
      </c>
      <c r="W14" s="62" t="n">
        <f aca="false">'리그 타자'!E14/'리그 타자'!C14</f>
        <v>0.110658771280533</v>
      </c>
      <c r="X14" s="99" t="n">
        <v>1994</v>
      </c>
      <c r="Y14" s="62" t="n">
        <v>12</v>
      </c>
      <c r="Z14" s="62" t="n">
        <v>3.2</v>
      </c>
      <c r="AA14" s="62" t="n">
        <v>-2.5</v>
      </c>
      <c r="AB14" s="62" t="n">
        <v>0.2</v>
      </c>
      <c r="AC14" s="62" t="n">
        <v>0.4</v>
      </c>
      <c r="AD14" s="62" t="n">
        <v>0.653</v>
      </c>
    </row>
    <row r="15" customFormat="false" ht="17.25" hidden="false" customHeight="false" outlineLevel="0" collapsed="false">
      <c r="A15" s="99" t="n">
        <v>1995</v>
      </c>
      <c r="B15" s="62" t="n">
        <v>0.914</v>
      </c>
      <c r="D15" s="62" t="n">
        <v>1.08</v>
      </c>
      <c r="F15" s="62" t="n">
        <v>0.971</v>
      </c>
      <c r="G15" s="62" t="n">
        <v>1.061</v>
      </c>
      <c r="H15" s="62" t="n">
        <v>1.042</v>
      </c>
      <c r="I15" s="62" t="n">
        <v>1.113</v>
      </c>
      <c r="K15" s="62" t="n">
        <v>1.037</v>
      </c>
      <c r="L15" s="62" t="n">
        <v>1</v>
      </c>
      <c r="M15" s="99" t="n">
        <v>1995</v>
      </c>
      <c r="N15" s="62" t="n">
        <f aca="false">((('리그 투수'!E15/('리그 투수'!D15*3)+0.14))-(-1*((('리그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타자'!D15-'리그 타자'!F15+'리그 타자'!P15)))*(1/((((('리그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타자'!L15-'리그 타자'!N15+'리그 타자'!M15+'리그 타자'!F15))-(-1*((('리그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타자'!D15-'리그 타자'!F15+'리그 타자'!P15))))</f>
        <v>0.704240535080631</v>
      </c>
      <c r="O15" s="62" t="n">
        <f aca="false">(((('리그 투수'!E15/('리그 투수'!D15*3)+0.14))+0.025)-(-1*((('리그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타자'!D15-'리그 타자'!F15+'리그 타자'!P15)))*(1/((((('리그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타자'!L15-'리그 타자'!N15+'리그 타자'!M15+'리그 타자'!F15))-(-1*((('리그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타자'!D15-'리그 타자'!F15+'리그 타자'!P15))))</f>
        <v>0.738982953024222</v>
      </c>
      <c r="P15" s="62" t="n">
        <f aca="false">(((('리그 투수'!E15/('리그 투수'!D15*3)+0.14))+0.155)-(-1*((('리그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타자'!D15-'리그 타자'!F15+'리그 타자'!P15)))*(1/((((('리그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타자'!L15-'리그 타자'!N15+'리그 타자'!M15+'리그 타자'!F15))-(-1*((('리그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타자'!D15-'리그 타자'!F15+'리그 타자'!P15))))</f>
        <v>0.919643526330891</v>
      </c>
      <c r="Q15" s="62" t="n">
        <f aca="false">((((('리그 투수'!E15/('리그 투수'!D15*3)+0.14))+0.155)+0.3)-(-1*((('리그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타자'!D15-'리그 타자'!F15+'리그 타자'!P15)))*(1/((((('리그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타자'!L15-'리그 타자'!N15+'리그 타자'!M15+'리그 타자'!F15))-(-1*((('리그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타자'!D15-'리그 타자'!F15+'리그 타자'!P15))))</f>
        <v>1.33655254165397</v>
      </c>
      <c r="R15" s="62" t="n">
        <f aca="false">(((((('리그 투수'!E15/('리그 투수'!D15*3)+0.14))+0.155)+0.3)+0.27)-(-1*((('리그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타자'!D15-'리그 타자'!F15+'리그 타자'!P15)))*(1/((((('리그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타자'!L15-'리그 타자'!N15+'리그 타자'!M15+'리그 타자'!F15))-(-1*((('리그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타자'!D15-'리그 타자'!F15+'리그 타자'!P15))))</f>
        <v>1.71177065544475</v>
      </c>
      <c r="S15" s="62" t="n">
        <f aca="false">((1.4)-(-1*((('리그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타자'!D15-'리그 타자'!F15+'리그 타자'!P15)))*(1/((((('리그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타자'!L15-'리그 타자'!N15+'리그 타자'!M15+'리그 타자'!F15))-(-1*((('리그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타자'!D15-'리그 타자'!F15+'리그 타자'!P15))))</f>
        <v>2.26451773322496</v>
      </c>
      <c r="T15" s="62" t="n">
        <f aca="false">1/((((('리그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타자'!L15-'리그 타자'!N15+'리그 타자'!M15+'리그 타자'!F15))-(-1*((('리그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타자'!D15-'리그 타자'!F15+'리그 타자'!P15)))</f>
        <v>1.38969671774361</v>
      </c>
      <c r="U15" s="62" t="n">
        <f aca="false">1.5*('리그 투수'!R15+2)</f>
        <v>9.28852142963073</v>
      </c>
      <c r="V15" s="62" t="n">
        <f aca="false">((9*'리그 투수'!E15)-(Y15*'리그 투수'!K15)-(Z15*('리그 투수'!L15+'리그 투수'!M15-'리그 투수'!N15))-(AA15*'리그 투수'!O15))/'리그 투수'!D15</f>
        <v>3.1179334124277</v>
      </c>
      <c r="W15" s="62" t="n">
        <f aca="false">'리그 타자'!E15/'리그 타자'!C15</f>
        <v>0.11037027276321</v>
      </c>
      <c r="X15" s="99" t="n">
        <v>1995</v>
      </c>
      <c r="Y15" s="62" t="n">
        <v>12</v>
      </c>
      <c r="Z15" s="62" t="n">
        <v>3.2</v>
      </c>
      <c r="AA15" s="62" t="n">
        <v>-2.5</v>
      </c>
      <c r="AB15" s="62" t="n">
        <v>0.2</v>
      </c>
      <c r="AC15" s="62" t="n">
        <v>0.4</v>
      </c>
      <c r="AD15" s="62" t="n">
        <v>0.69</v>
      </c>
    </row>
    <row r="16" customFormat="false" ht="17.25" hidden="false" customHeight="false" outlineLevel="0" collapsed="false">
      <c r="A16" s="99" t="n">
        <v>1996</v>
      </c>
      <c r="B16" s="62" t="n">
        <v>0.905</v>
      </c>
      <c r="D16" s="62" t="n">
        <v>0.989</v>
      </c>
      <c r="F16" s="62" t="n">
        <v>0.981</v>
      </c>
      <c r="G16" s="62" t="n">
        <v>1.058</v>
      </c>
      <c r="H16" s="62" t="n">
        <v>1.022</v>
      </c>
      <c r="I16" s="62" t="n">
        <v>1.153</v>
      </c>
      <c r="K16" s="62" t="n">
        <v>1.033</v>
      </c>
      <c r="L16" s="62" t="n">
        <v>1</v>
      </c>
      <c r="M16" s="99" t="n">
        <v>1996</v>
      </c>
      <c r="N16" s="62" t="n">
        <f aca="false">((('리그 투수'!E16/('리그 투수'!D16*3)+0.14))-(-1*((('리그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타자'!D16-'리그 타자'!F16+'리그 타자'!P16)))*(1/((((('리그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타자'!L16-'리그 타자'!N16+'리그 타자'!M16+'리그 타자'!F16))-(-1*((('리그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타자'!D16-'리그 타자'!F16+'리그 타자'!P16))))</f>
        <v>0.706727717749286</v>
      </c>
      <c r="O16" s="62" t="n">
        <f aca="false">(((('리그 투수'!E16/('리그 투수'!D16*3)+0.14))+0.025)-(-1*((('리그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타자'!D16-'리그 타자'!F16+'리그 타자'!P16)))*(1/((((('리그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타자'!L16-'리그 타자'!N16+'리그 타자'!M16+'리그 타자'!F16))-(-1*((('리그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타자'!D16-'리그 타자'!F16+'리그 타자'!P16))))</f>
        <v>0.741429061061048</v>
      </c>
      <c r="P16" s="62" t="n">
        <f aca="false">(((('리그 투수'!E16/('리그 투수'!D16*3)+0.14))+0.155)-(-1*((('리그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타자'!D16-'리그 타자'!F16+'리그 타자'!P16)))*(1/((((('리그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타자'!L16-'리그 타자'!N16+'리그 타자'!M16+'리그 타자'!F16))-(-1*((('리그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타자'!D16-'리그 타자'!F16+'리그 타자'!P16))))</f>
        <v>0.921876046282211</v>
      </c>
      <c r="Q16" s="62" t="n">
        <f aca="false">((((('리그 투수'!E16/('리그 투수'!D16*3)+0.14))+0.155)+0.3)-(-1*((('리그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타자'!D16-'리그 타자'!F16+'리그 타자'!P16)))*(1/((((('리그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타자'!L16-'리그 타자'!N16+'리그 타자'!M16+'리그 타자'!F16))-(-1*((('리그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타자'!D16-'리그 타자'!F16+'리그 타자'!P16))))</f>
        <v>1.33829216602336</v>
      </c>
      <c r="R16" s="62" t="n">
        <f aca="false">(((((('리그 투수'!E16/('리그 투수'!D16*3)+0.14))+0.155)+0.3)+0.27)-(-1*((('리그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타자'!D16-'리그 타자'!F16+'리그 타자'!P16)))*(1/((((('리그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타자'!L16-'리그 타자'!N16+'리그 타자'!M16+'리그 타자'!F16))-(-1*((('리그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타자'!D16-'리그 타자'!F16+'리그 타자'!P16))))</f>
        <v>1.71306667379039</v>
      </c>
      <c r="S16" s="62" t="n">
        <f aca="false">((1.4)-(-1*((('리그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타자'!D16-'리그 타자'!F16+'리그 타자'!P16)))*(1/((((('리그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타자'!L16-'리그 타자'!N16+'리그 타자'!M16+'리그 타자'!F16))-(-1*((('리그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타자'!D16-'리그 타자'!F16+'리그 타자'!P16))))</f>
        <v>2.26621347381062</v>
      </c>
      <c r="T16" s="62" t="n">
        <f aca="false">1/((((('리그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타자'!L16-'리그 타자'!N16+'리그 타자'!M16+'리그 타자'!F16))-(-1*((('리그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타자'!D16-'리그 타자'!F16+'리그 타자'!P16)))</f>
        <v>1.38805373247048</v>
      </c>
      <c r="U16" s="62" t="n">
        <f aca="false">1.5*('리그 투수'!R16+2)</f>
        <v>9.22858146067416</v>
      </c>
      <c r="V16" s="62" t="n">
        <f aca="false">((9*'리그 투수'!E16)-(Y16*'리그 투수'!K16)-(Z16*('리그 투수'!L16+'리그 투수'!M16-'리그 투수'!N16))-(AA16*'리그 투수'!O16))/'리그 투수'!D16</f>
        <v>3.11054849201656</v>
      </c>
      <c r="W16" s="62" t="n">
        <f aca="false">'리그 타자'!E16/'리그 타자'!C16</f>
        <v>0.109103781005821</v>
      </c>
      <c r="X16" s="99" t="n">
        <v>1996</v>
      </c>
      <c r="Y16" s="62" t="n">
        <v>12</v>
      </c>
      <c r="Z16" s="62" t="n">
        <v>3.2</v>
      </c>
      <c r="AA16" s="62" t="n">
        <v>-2.5</v>
      </c>
      <c r="AB16" s="62" t="n">
        <v>0.2</v>
      </c>
      <c r="AC16" s="62" t="n">
        <v>0.4</v>
      </c>
      <c r="AD16" s="62" t="n">
        <v>0.632</v>
      </c>
    </row>
    <row r="17" customFormat="false" ht="17.25" hidden="false" customHeight="false" outlineLevel="0" collapsed="false">
      <c r="A17" s="99" t="n">
        <v>1997</v>
      </c>
      <c r="B17" s="62" t="n">
        <v>0.911</v>
      </c>
      <c r="D17" s="62" t="n">
        <v>0.991</v>
      </c>
      <c r="F17" s="62" t="n">
        <v>0.971</v>
      </c>
      <c r="G17" s="62" t="n">
        <v>1.062</v>
      </c>
      <c r="H17" s="62" t="n">
        <v>1.044</v>
      </c>
      <c r="I17" s="62" t="n">
        <v>1.099</v>
      </c>
      <c r="K17" s="62" t="n">
        <v>1.037</v>
      </c>
      <c r="L17" s="62" t="n">
        <v>1</v>
      </c>
      <c r="M17" s="99" t="n">
        <v>1997</v>
      </c>
      <c r="N17" s="62" t="n">
        <f aca="false">((('리그 투수'!E17/('리그 투수'!D17*3)+0.14))-(-1*((('리그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타자'!D17-'리그 타자'!F17+'리그 타자'!P17)))*(1/((((('리그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타자'!L17-'리그 타자'!N17+'리그 타자'!M17+'리그 타자'!F17))-(-1*((('리그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타자'!D17-'리그 타자'!F17+'리그 타자'!P17))))</f>
        <v>0.709698776063721</v>
      </c>
      <c r="O17" s="62" t="n">
        <f aca="false">(((('리그 투수'!E17/('리그 투수'!D17*3)+0.14))+0.025)-(-1*((('리그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타자'!D17-'리그 타자'!F17+'리그 타자'!P17)))*(1/((((('리그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타자'!L17-'리그 타자'!N17+'리그 타자'!M17+'리그 타자'!F17))-(-1*((('리그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타자'!D17-'리그 타자'!F17+'리그 타자'!P17))))</f>
        <v>0.742546190559558</v>
      </c>
      <c r="P17" s="62" t="n">
        <f aca="false">(((('리그 투수'!E17/('리그 투수'!D17*3)+0.14))+0.155)-(-1*((('리그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타자'!D17-'리그 타자'!F17+'리그 타자'!P17)))*(1/((((('리그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타자'!L17-'리그 타자'!N17+'리그 타자'!M17+'리그 타자'!F17))-(-1*((('리그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타자'!D17-'리그 타자'!F17+'리그 타자'!P17))))</f>
        <v>0.913352745937907</v>
      </c>
      <c r="Q17" s="62" t="n">
        <f aca="false">((((('리그 투수'!E17/('리그 투수'!D17*3)+0.14))+0.155)+0.3)-(-1*((('리그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타자'!D17-'리그 타자'!F17+'리그 타자'!P17)))*(1/((((('리그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타자'!L17-'리그 타자'!N17+'리그 타자'!M17+'리그 타자'!F17))-(-1*((('리그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타자'!D17-'리그 타자'!F17+'리그 타자'!P17))))</f>
        <v>1.30752171988794</v>
      </c>
      <c r="R17" s="62" t="n">
        <f aca="false">(((((('리그 투수'!E17/('리그 투수'!D17*3)+0.14))+0.155)+0.3)+0.27)-(-1*((('리그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타자'!D17-'리그 타자'!F17+'리그 타자'!P17)))*(1/((((('리그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타자'!L17-'리그 타자'!N17+'리그 타자'!M17+'리그 타자'!F17))-(-1*((('리그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타자'!D17-'리그 타자'!F17+'리그 타자'!P17))))</f>
        <v>1.66227379644298</v>
      </c>
      <c r="S17" s="62" t="n">
        <f aca="false">((1.4)-(-1*((('리그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타자'!D17-'리그 타자'!F17+'리그 타자'!P17)))*(1/((((('리그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타자'!L17-'리그 타자'!N17+'리그 타자'!M17+'리그 타자'!F17))-(-1*((('리그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타자'!D17-'리그 타자'!F17+'리그 타자'!P17))))</f>
        <v>2.16948946111286</v>
      </c>
      <c r="T17" s="62" t="n">
        <f aca="false">1/((((('리그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타자'!L17-'리그 타자'!N17+'리그 타자'!M17+'리그 타자'!F17))-(-1*((('리그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타자'!D17-'리그 타자'!F17+'리그 타자'!P17)))</f>
        <v>1.31389657983346</v>
      </c>
      <c r="U17" s="62" t="n">
        <f aca="false">1.5*('리그 투수'!R17+2)</f>
        <v>9.71781643447813</v>
      </c>
      <c r="V17" s="62" t="n">
        <f aca="false">((9*'리그 투수'!E17)-(Y17*'리그 투수'!K17)-(Z17*('리그 투수'!L17+'리그 투수'!M17-'리그 투수'!N17))-(AA17*'리그 투수'!O17))/'리그 투수'!D17</f>
        <v>3.20984131714222</v>
      </c>
      <c r="W17" s="62" t="n">
        <f aca="false">'리그 타자'!E17/'리그 타자'!C17</f>
        <v>0.116747941901316</v>
      </c>
      <c r="X17" s="99" t="n">
        <v>1997</v>
      </c>
      <c r="Y17" s="62" t="n">
        <v>12</v>
      </c>
      <c r="Z17" s="62" t="n">
        <v>3.2</v>
      </c>
      <c r="AA17" s="62" t="n">
        <v>-2.5</v>
      </c>
      <c r="AB17" s="62" t="n">
        <v>0.2</v>
      </c>
      <c r="AC17" s="62" t="n">
        <v>0.4</v>
      </c>
      <c r="AD17" s="62" t="n">
        <v>0.646</v>
      </c>
    </row>
    <row r="18" customFormat="false" ht="17.25" hidden="false" customHeight="false" outlineLevel="0" collapsed="false">
      <c r="A18" s="99" t="n">
        <v>1998</v>
      </c>
      <c r="B18" s="62" t="n">
        <v>0.901</v>
      </c>
      <c r="D18" s="62" t="n">
        <v>0.997</v>
      </c>
      <c r="F18" s="62" t="n">
        <v>0.977</v>
      </c>
      <c r="G18" s="62" t="n">
        <v>1.061</v>
      </c>
      <c r="H18" s="62" t="n">
        <v>1.047</v>
      </c>
      <c r="I18" s="62" t="n">
        <v>1.058</v>
      </c>
      <c r="K18" s="62" t="n">
        <v>1.022</v>
      </c>
      <c r="L18" s="62" t="n">
        <v>1</v>
      </c>
      <c r="M18" s="99" t="n">
        <v>1998</v>
      </c>
      <c r="N18" s="62" t="n">
        <f aca="false">((('리그 투수'!E18/('리그 투수'!D18*3)+0.14))-(-1*((('리그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타자'!D18-'리그 타자'!F18+'리그 타자'!P18)))*(1/((((('리그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타자'!L18-'리그 타자'!N18+'리그 타자'!M18+'리그 타자'!F18))-(-1*((('리그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타자'!D18-'리그 타자'!F18+'리그 타자'!P18))))</f>
        <v>0.702054123483486</v>
      </c>
      <c r="O18" s="62" t="n">
        <f aca="false">(((('리그 투수'!E18/('리그 투수'!D18*3)+0.14))+0.025)-(-1*((('리그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타자'!D18-'리그 타자'!F18+'리그 타자'!P18)))*(1/((((('리그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타자'!L18-'리그 타자'!N18+'리그 타자'!M18+'리그 타자'!F18))-(-1*((('리그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타자'!D18-'리그 타자'!F18+'리그 타자'!P18))))</f>
        <v>0.734567905511456</v>
      </c>
      <c r="P18" s="62" t="n">
        <f aca="false">(((('리그 투수'!E18/('리그 투수'!D18*3)+0.14))+0.155)-(-1*((('리그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타자'!D18-'리그 타자'!F18+'리그 타자'!P18)))*(1/((((('리그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타자'!L18-'리그 타자'!N18+'리그 타자'!M18+'리그 타자'!F18))-(-1*((('리그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타자'!D18-'리그 타자'!F18+'리그 타자'!P18))))</f>
        <v>0.903639572056901</v>
      </c>
      <c r="Q18" s="62" t="n">
        <f aca="false">((((('리그 투수'!E18/('리그 투수'!D18*3)+0.14))+0.155)+0.3)-(-1*((('리그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타자'!D18-'리그 타자'!F18+'리그 타자'!P18)))*(1/((((('리그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타자'!L18-'리그 타자'!N18+'리그 타자'!M18+'리그 타자'!F18))-(-1*((('리그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타자'!D18-'리그 타자'!F18+'리그 타자'!P18))))</f>
        <v>1.29380495639254</v>
      </c>
      <c r="R18" s="62" t="n">
        <f aca="false">(((((('리그 투수'!E18/('리그 투수'!D18*3)+0.14))+0.155)+0.3)+0.27)-(-1*((('리그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타자'!D18-'리그 타자'!F18+'리그 타자'!P18)))*(1/((((('리그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타자'!L18-'리그 타자'!N18+'리그 타자'!M18+'리그 타자'!F18))-(-1*((('리그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타자'!D18-'리그 타자'!F18+'리그 타자'!P18))))</f>
        <v>1.64495380229462</v>
      </c>
      <c r="S18" s="62" t="n">
        <f aca="false">((1.4)-(-1*((('리그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타자'!D18-'리그 타자'!F18+'리그 타자'!P18)))*(1/((((('리그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타자'!L18-'리그 타자'!N18+'리그 타자'!M18+'리그 타자'!F18))-(-1*((('리그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타자'!D18-'리그 타자'!F18+'리그 타자'!P18))))</f>
        <v>2.14845328736899</v>
      </c>
      <c r="T18" s="62" t="n">
        <f aca="false">1/((((('리그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타자'!L18-'리그 타자'!N18+'리그 타자'!M18+'리그 타자'!F18))-(-1*((('리그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타자'!D18-'리그 타자'!F18+'리그 타자'!P18)))</f>
        <v>1.30055128111881</v>
      </c>
      <c r="U18" s="62" t="n">
        <f aca="false">1.5*('리그 투수'!R18+2)</f>
        <v>9.711256056653</v>
      </c>
      <c r="V18" s="62" t="n">
        <f aca="false">((9*'리그 투수'!E18)-(Y18*'리그 투수'!K18)-(Z18*('리그 투수'!L18+'리그 투수'!M18-'리그 투수'!N18))-(AA18*'리그 투수'!O18))/'리그 투수'!D18</f>
        <v>3.2588743943347</v>
      </c>
      <c r="W18" s="62" t="n">
        <f aca="false">'리그 타자'!E18/'리그 타자'!C18</f>
        <v>0.116448402304872</v>
      </c>
      <c r="X18" s="99" t="n">
        <v>1998</v>
      </c>
      <c r="Y18" s="62" t="n">
        <v>12</v>
      </c>
      <c r="Z18" s="62" t="n">
        <v>3.2</v>
      </c>
      <c r="AA18" s="62" t="n">
        <v>-2.5</v>
      </c>
      <c r="AB18" s="62" t="n">
        <v>0.2</v>
      </c>
      <c r="AC18" s="62" t="n">
        <v>0.4</v>
      </c>
      <c r="AD18" s="62" t="n">
        <v>0.649</v>
      </c>
    </row>
    <row r="19" customFormat="false" ht="17.25" hidden="false" customHeight="false" outlineLevel="0" collapsed="false">
      <c r="A19" s="99" t="n">
        <v>1999</v>
      </c>
      <c r="B19" s="62" t="n">
        <v>0.908</v>
      </c>
      <c r="D19" s="62" t="n">
        <v>0.992</v>
      </c>
      <c r="F19" s="62" t="n">
        <v>0.998</v>
      </c>
      <c r="G19" s="62" t="n">
        <v>1.054</v>
      </c>
      <c r="H19" s="62" t="n">
        <v>1.051</v>
      </c>
      <c r="I19" s="62" t="n">
        <v>1.024</v>
      </c>
      <c r="K19" s="62" t="n">
        <v>1.031</v>
      </c>
      <c r="L19" s="62" t="n">
        <v>1</v>
      </c>
      <c r="M19" s="99" t="n">
        <v>1999</v>
      </c>
      <c r="N19" s="62" t="n">
        <f aca="false">((('리그 투수'!E19/('리그 투수'!D19*3)+0.14))-(-1*((('리그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타자'!D19-'리그 타자'!F19+'리그 타자'!P19)))*(1/((((('리그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타자'!L19-'리그 타자'!N19+'리그 타자'!M19+'리그 타자'!F19))-(-1*((('리그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타자'!D19-'리그 타자'!F19+'리그 타자'!P19))))</f>
        <v>0.725732979541557</v>
      </c>
      <c r="O19" s="62" t="n">
        <f aca="false">(((('리그 투수'!E19/('리그 투수'!D19*3)+0.14))+0.025)-(-1*((('리그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타자'!D19-'리그 타자'!F19+'리그 타자'!P19)))*(1/((((('리그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타자'!L19-'리그 타자'!N19+'리그 타자'!M19+'리그 타자'!F19))-(-1*((('리그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타자'!D19-'리그 타자'!F19+'리그 타자'!P19))))</f>
        <v>0.754715265452692</v>
      </c>
      <c r="P19" s="62" t="n">
        <f aca="false">(((('리그 투수'!E19/('리그 투수'!D19*3)+0.14))+0.155)-(-1*((('리그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타자'!D19-'리그 타자'!F19+'리그 타자'!P19)))*(1/((((('리그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타자'!L19-'리그 타자'!N19+'리그 타자'!M19+'리그 타자'!F19))-(-1*((('리그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타자'!D19-'리그 타자'!F19+'리그 타자'!P19))))</f>
        <v>0.905423152190595</v>
      </c>
      <c r="Q19" s="62" t="n">
        <f aca="false">((((('리그 투수'!E19/('리그 투수'!D19*3)+0.14))+0.155)+0.3)-(-1*((('리그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타자'!D19-'리그 타자'!F19+'리그 타자'!P19)))*(1/((((('리그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타자'!L19-'리그 타자'!N19+'리그 타자'!M19+'리그 타자'!F19))-(-1*((('리그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타자'!D19-'리그 타자'!F19+'리그 타자'!P19))))</f>
        <v>1.25321058312422</v>
      </c>
      <c r="R19" s="62" t="n">
        <f aca="false">(((((('리그 투수'!E19/('리그 투수'!D19*3)+0.14))+0.155)+0.3)+0.27)-(-1*((('리그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타자'!D19-'리그 타자'!F19+'리그 타자'!P19)))*(1/((((('리그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타자'!L19-'리그 타자'!N19+'리그 타자'!M19+'리그 타자'!F19))-(-1*((('리그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타자'!D19-'리그 타자'!F19+'리그 타자'!P19))))</f>
        <v>1.56621927096448</v>
      </c>
      <c r="S19" s="62" t="n">
        <f aca="false">((1.4)-(-1*((('리그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타자'!D19-'리그 타자'!F19+'리그 타자'!P19)))*(1/((((('리그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타자'!L19-'리그 타자'!N19+'리그 타자'!M19+'리그 타자'!F19))-(-1*((('리그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타자'!D19-'리그 타자'!F19+'리그 타자'!P19))))</f>
        <v>1.97281406984421</v>
      </c>
      <c r="T19" s="62" t="n">
        <f aca="false">1/((((('리그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타자'!L19-'리그 타자'!N19+'리그 타자'!M19+'리그 타자'!F19))-(-1*((('리그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타자'!D19-'리그 타자'!F19+'리그 타자'!P19)))</f>
        <v>1.15929143644541</v>
      </c>
      <c r="U19" s="62" t="n">
        <f aca="false">1.5*('리그 투수'!R19+2)</f>
        <v>11.157695169921</v>
      </c>
      <c r="V19" s="62" t="n">
        <f aca="false">((9*'리그 투수'!E19)-(Y19*'리그 투수'!K19)-(Z19*('리그 투수'!L19+'리그 투수'!M19-'리그 투수'!N19))-(AA19*'리그 투수'!O19))/'리그 투수'!D19</f>
        <v>3.67031432722634</v>
      </c>
      <c r="W19" s="62" t="n">
        <f aca="false">'리그 타자'!E19/'리그 타자'!C19</f>
        <v>0.13664118467234</v>
      </c>
      <c r="X19" s="99" t="n">
        <v>1999</v>
      </c>
      <c r="Y19" s="62" t="n">
        <v>12</v>
      </c>
      <c r="Z19" s="62" t="n">
        <v>3.2</v>
      </c>
      <c r="AA19" s="62" t="n">
        <v>-2.5</v>
      </c>
      <c r="AB19" s="62" t="n">
        <v>0.2</v>
      </c>
      <c r="AC19" s="62" t="n">
        <v>0.4</v>
      </c>
      <c r="AD19" s="62" t="n">
        <v>0.687</v>
      </c>
    </row>
    <row r="20" customFormat="false" ht="17.25" hidden="false" customHeight="false" outlineLevel="0" collapsed="false">
      <c r="A20" s="99" t="n">
        <v>2000</v>
      </c>
      <c r="B20" s="62" t="n">
        <v>0.901</v>
      </c>
      <c r="D20" s="62" t="n">
        <v>0.9789</v>
      </c>
      <c r="E20" s="62" t="n">
        <v>1.046</v>
      </c>
      <c r="F20" s="62" t="n">
        <v>1.031</v>
      </c>
      <c r="G20" s="62" t="n">
        <v>1.051</v>
      </c>
      <c r="H20" s="62" t="n">
        <v>1.052</v>
      </c>
      <c r="I20" s="62" t="n">
        <v>1.015</v>
      </c>
      <c r="L20" s="62" t="n">
        <v>1</v>
      </c>
      <c r="M20" s="99" t="n">
        <v>2000</v>
      </c>
      <c r="N20" s="62" t="n">
        <f aca="false">((('리그 투수'!E20/('리그 투수'!D20*3)+0.14))-(-1*((('리그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타자'!D20-'리그 타자'!F20+'리그 타자'!P20)))*(1/((((('리그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타자'!L20-'리그 타자'!N20+'리그 타자'!M20+'리그 타자'!F20))-(-1*((('리그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타자'!D20-'리그 타자'!F20+'리그 타자'!P20))))</f>
        <v>0.723282475666715</v>
      </c>
      <c r="O20" s="62" t="n">
        <f aca="false">(((('리그 투수'!E20/('리그 투수'!D20*3)+0.14))+0.025)-(-1*((('리그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타자'!D20-'리그 타자'!F20+'리그 타자'!P20)))*(1/((((('리그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타자'!L20-'리그 타자'!N20+'리그 타자'!M20+'리그 타자'!F20))-(-1*((('리그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타자'!D20-'리그 타자'!F20+'리그 타자'!P20))))</f>
        <v>0.753624787520003</v>
      </c>
      <c r="P20" s="62" t="n">
        <f aca="false">(((('리그 투수'!E20/('리그 투수'!D20*3)+0.14))+0.155)-(-1*((('리그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타자'!D20-'리그 타자'!F20+'리그 타자'!P20)))*(1/((((('리그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타자'!L20-'리그 타자'!N20+'리그 타자'!M20+'리그 타자'!F20))-(-1*((('리그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타자'!D20-'리그 타자'!F20+'리그 타자'!P20))))</f>
        <v>0.911404809157099</v>
      </c>
      <c r="Q20" s="62" t="n">
        <f aca="false">((((('리그 투수'!E20/('리그 투수'!D20*3)+0.14))+0.155)+0.3)-(-1*((('리그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타자'!D20-'리그 타자'!F20+'리그 타자'!P20)))*(1/((((('리그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타자'!L20-'리그 타자'!N20+'리그 타자'!M20+'리그 타자'!F20))-(-1*((('리그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타자'!D20-'리그 타자'!F20+'리그 타자'!P20))))</f>
        <v>1.27551255139655</v>
      </c>
      <c r="R20" s="62" t="n">
        <f aca="false">(((((('리그 투수'!E20/('리그 투수'!D20*3)+0.14))+0.155)+0.3)+0.27)-(-1*((('리그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타자'!D20-'리그 타자'!F20+'리그 타자'!P20)))*(1/((((('리그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타자'!L20-'리그 타자'!N20+'리그 타자'!M20+'리그 타자'!F20))-(-1*((('리그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타자'!D20-'리그 타자'!F20+'리그 타자'!P20))))</f>
        <v>1.60320951941206</v>
      </c>
      <c r="S20" s="62" t="n">
        <f aca="false">((1.4)-(-1*((('리그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타자'!D20-'리그 타자'!F20+'리그 타자'!P20)))*(1/((((('리그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타자'!L20-'리그 타자'!N20+'리그 타자'!M20+'리그 타자'!F20))-(-1*((('리그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타자'!D20-'리그 타자'!F20+'리그 타자'!P20))))</f>
        <v>2.04395494958491</v>
      </c>
      <c r="T20" s="62" t="n">
        <f aca="false">1/((((('리그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타자'!L20-'리그 타자'!N20+'리그 타자'!M20+'리그 타자'!F20))-(-1*((('리그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타자'!D20-'리그 타자'!F20+'리그 타자'!P20)))</f>
        <v>1.21369247413151</v>
      </c>
      <c r="U20" s="62" t="n">
        <f aca="false">1.5*('리그 투수'!R20+2)</f>
        <v>10.6583113456464</v>
      </c>
      <c r="V20" s="62" t="n">
        <f aca="false">((9*'리그 투수'!E20)-(Y20*'리그 투수'!K20)-(Z20*('리그 투수'!L20+'리그 투수'!M20-'리그 투수'!N20))-(AA20*'리그 투수'!O20))/'리그 투수'!D20</f>
        <v>3.56874934036939</v>
      </c>
      <c r="W20" s="62" t="n">
        <f aca="false">'리그 타자'!E20/'리그 타자'!C20</f>
        <v>0.129191202980411</v>
      </c>
      <c r="X20" s="99" t="n">
        <v>2000</v>
      </c>
      <c r="Y20" s="62" t="n">
        <v>12</v>
      </c>
      <c r="Z20" s="62" t="n">
        <v>3.2</v>
      </c>
      <c r="AA20" s="62" t="n">
        <v>-2.5</v>
      </c>
      <c r="AB20" s="62" t="n">
        <v>0.2</v>
      </c>
      <c r="AC20" s="62" t="n">
        <v>0.4</v>
      </c>
      <c r="AD20" s="62" t="n">
        <v>0.675</v>
      </c>
    </row>
    <row r="21" customFormat="false" ht="17.25" hidden="false" customHeight="false" outlineLevel="0" collapsed="false">
      <c r="A21" s="99" t="n">
        <v>2001</v>
      </c>
      <c r="B21" s="62" t="n">
        <v>0.909</v>
      </c>
      <c r="D21" s="62" t="n">
        <v>1.007</v>
      </c>
      <c r="E21" s="62" t="n">
        <v>0.993</v>
      </c>
      <c r="F21" s="62" t="n">
        <v>1.013</v>
      </c>
      <c r="G21" s="62" t="n">
        <v>1.047</v>
      </c>
      <c r="H21" s="62" t="n">
        <v>1.055</v>
      </c>
      <c r="I21" s="62" t="n">
        <v>1.006</v>
      </c>
      <c r="L21" s="62" t="n">
        <v>1</v>
      </c>
      <c r="M21" s="99" t="n">
        <v>2001</v>
      </c>
      <c r="N21" s="62" t="n">
        <f aca="false">((('리그 투수'!E21/('리그 투수'!D21*3)+0.14))-(-1*((('리그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타자'!D21-'리그 타자'!F21+'리그 타자'!P21)))*(1/((((('리그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타자'!L21-'리그 타자'!N21+'리그 타자'!M21+'리그 타자'!F21))-(-1*((('리그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타자'!D21-'리그 타자'!F21+'리그 타자'!P21))))</f>
        <v>0.736775103307916</v>
      </c>
      <c r="O21" s="62" t="n">
        <f aca="false">(((('리그 투수'!E21/('리그 투수'!D21*3)+0.14))+0.025)-(-1*((('리그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타자'!D21-'리그 타자'!F21+'리그 타자'!P21)))*(1/((((('리그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타자'!L21-'리그 타자'!N21+'리그 타자'!M21+'리그 타자'!F21))-(-1*((('리그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타자'!D21-'리그 타자'!F21+'리그 타자'!P21))))</f>
        <v>0.767156138843652</v>
      </c>
      <c r="P21" s="62" t="n">
        <f aca="false">(((('리그 투수'!E21/('리그 투수'!D21*3)+0.14))+0.155)-(-1*((('리그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타자'!D21-'리그 타자'!F21+'리그 타자'!P21)))*(1/((((('리그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타자'!L21-'리그 타자'!N21+'리그 타자'!M21+'리그 타자'!F21))-(-1*((('리그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타자'!D21-'리그 타자'!F21+'리그 타자'!P21))))</f>
        <v>0.925137523629481</v>
      </c>
      <c r="Q21" s="62" t="n">
        <f aca="false">((((('리그 투수'!E21/('리그 투수'!D21*3)+0.14))+0.155)+0.3)-(-1*((('리그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타자'!D21-'리그 타자'!F21+'리그 타자'!P21)))*(1/((((('리그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타자'!L21-'리그 타자'!N21+'리그 타자'!M21+'리그 타자'!F21))-(-1*((('리그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타자'!D21-'리그 타자'!F21+'리그 타자'!P21))))</f>
        <v>1.28970995005832</v>
      </c>
      <c r="R21" s="62" t="n">
        <f aca="false">(((((('리그 투수'!E21/('리그 투수'!D21*3)+0.14))+0.155)+0.3)+0.27)-(-1*((('리그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타자'!D21-'리그 타자'!F21+'리그 타자'!P21)))*(1/((((('리그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타자'!L21-'리그 타자'!N21+'리그 타자'!M21+'리그 타자'!F21))-(-1*((('리그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타자'!D21-'리그 타자'!F21+'리그 타자'!P21))))</f>
        <v>1.61782513384427</v>
      </c>
      <c r="S21" s="62" t="n">
        <f aca="false">((1.4)-(-1*((('리그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타자'!D21-'리그 타자'!F21+'리그 타자'!P21)))*(1/((((('리그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타자'!L21-'리그 타자'!N21+'리그 타자'!M21+'리그 타자'!F21))-(-1*((('리그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타자'!D21-'리그 타자'!F21+'리그 타자'!P21))))</f>
        <v>2.05512244874679</v>
      </c>
      <c r="T21" s="62" t="n">
        <f aca="false">1/((((('리그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타자'!L21-'리그 타자'!N21+'리그 타자'!M21+'리그 타자'!F21))-(-1*((('리그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타자'!D21-'리그 타자'!F21+'리그 타자'!P21)))</f>
        <v>1.21524142142945</v>
      </c>
      <c r="U21" s="62" t="n">
        <f aca="false">1.5*('리그 투수'!R21+2)</f>
        <v>10.866175086288</v>
      </c>
      <c r="V21" s="62" t="n">
        <f aca="false">((9*'리그 투수'!E21)-(Y21*'리그 투수'!K21)-(Z21*('리그 투수'!L21+'리그 투수'!M21-'리그 투수'!N21))-(AA21*'리그 투수'!O21))/'리그 투수'!D21</f>
        <v>3.49333751699613</v>
      </c>
      <c r="W21" s="62" t="n">
        <f aca="false">'리그 타자'!E21/'리그 타자'!C21</f>
        <v>0.131073100722302</v>
      </c>
      <c r="X21" s="99" t="n">
        <v>2001</v>
      </c>
      <c r="Y21" s="62" t="n">
        <v>12</v>
      </c>
      <c r="Z21" s="62" t="n">
        <v>3.2</v>
      </c>
      <c r="AA21" s="62" t="n">
        <v>-2.5</v>
      </c>
      <c r="AB21" s="62" t="n">
        <v>0.2</v>
      </c>
      <c r="AC21" s="62" t="n">
        <v>0.4</v>
      </c>
      <c r="AD21" s="62" t="n">
        <v>0.665</v>
      </c>
    </row>
    <row r="22" customFormat="false" ht="17.25" hidden="false" customHeight="false" outlineLevel="0" collapsed="false">
      <c r="A22" s="99" t="n">
        <v>2002</v>
      </c>
      <c r="B22" s="62" t="n">
        <v>0.909</v>
      </c>
      <c r="D22" s="62" t="n">
        <v>1.022</v>
      </c>
      <c r="E22" s="62" t="n">
        <v>1.048</v>
      </c>
      <c r="F22" s="62" t="n">
        <v>0.998</v>
      </c>
      <c r="G22" s="62" t="n">
        <v>1.033</v>
      </c>
      <c r="H22" s="62" t="n">
        <v>1.051</v>
      </c>
      <c r="I22" s="62" t="n">
        <v>0.943</v>
      </c>
      <c r="L22" s="62" t="n">
        <v>1</v>
      </c>
      <c r="M22" s="99" t="n">
        <v>2002</v>
      </c>
      <c r="N22" s="62" t="n">
        <f aca="false">((('리그 투수'!E22/('리그 투수'!D22*3)+0.14))-(-1*((('리그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타자'!D22-'리그 타자'!F22+'리그 타자'!P22)))*(1/((((('리그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타자'!L22-'리그 타자'!N22+'리그 타자'!M22+'리그 타자'!F22))-(-1*((('리그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타자'!D22-'리그 타자'!F22+'리그 타자'!P22))))</f>
        <v>0.704837437938412</v>
      </c>
      <c r="O22" s="62" t="n">
        <f aca="false">(((('리그 투수'!E22/('리그 투수'!D22*3)+0.14))+0.025)-(-1*((('리그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타자'!D22-'리그 타자'!F22+'리그 타자'!P22)))*(1/((((('리그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타자'!L22-'리그 타자'!N22+'리그 타자'!M22+'리그 타자'!F22))-(-1*((('리그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타자'!D22-'리그 타자'!F22+'리그 타자'!P22))))</f>
        <v>0.736172964803004</v>
      </c>
      <c r="P22" s="62" t="n">
        <f aca="false">(((('리그 투수'!E22/('리그 투수'!D22*3)+0.14))+0.155)-(-1*((('리그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타자'!D22-'리그 타자'!F22+'리그 타자'!P22)))*(1/((((('리그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타자'!L22-'리그 타자'!N22+'리그 타자'!M22+'리그 타자'!F22))-(-1*((('리그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타자'!D22-'리그 타자'!F22+'리그 타자'!P22))))</f>
        <v>0.899117704498884</v>
      </c>
      <c r="Q22" s="62" t="n">
        <f aca="false">((((('리그 투수'!E22/('리그 투수'!D22*3)+0.14))+0.155)+0.3)-(-1*((('리그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타자'!D22-'리그 타자'!F22+'리그 타자'!P22)))*(1/((((('리그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타자'!L22-'리그 타자'!N22+'리그 타자'!M22+'리그 타자'!F22))-(-1*((('리그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타자'!D22-'리그 타자'!F22+'리그 타자'!P22))))</f>
        <v>1.27514402687399</v>
      </c>
      <c r="R22" s="62" t="n">
        <f aca="false">(((((('리그 투수'!E22/('리그 투수'!D22*3)+0.14))+0.155)+0.3)+0.27)-(-1*((('리그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타자'!D22-'리그 타자'!F22+'리그 타자'!P22)))*(1/((((('리그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타자'!L22-'리그 타자'!N22+'리그 타자'!M22+'리그 타자'!F22))-(-1*((('리그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타자'!D22-'리그 타자'!F22+'리그 타자'!P22))))</f>
        <v>1.61356771701159</v>
      </c>
      <c r="S22" s="62" t="n">
        <f aca="false">((1.4)-(-1*((('리그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타자'!D22-'리그 타자'!F22+'리그 타자'!P22)))*(1/((((('리그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타자'!L22-'리그 타자'!N22+'리그 타자'!M22+'리그 타자'!F22))-(-1*((('리그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타자'!D22-'리그 타자'!F22+'리그 타자'!P22))))</f>
        <v>2.08714595186401</v>
      </c>
      <c r="T22" s="62" t="n">
        <f aca="false">1/((((('리그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타자'!L22-'리그 타자'!N22+'리그 타자'!M22+'리그 타자'!F22))-(-1*((('리그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타자'!D22-'리그 타자'!F22+'리그 타자'!P22)))</f>
        <v>1.25342107458369</v>
      </c>
      <c r="U22" s="62" t="n">
        <f aca="false">1.5*('리그 투수'!R22+2)</f>
        <v>10.0202087653323</v>
      </c>
      <c r="V22" s="62" t="n">
        <f aca="false">((9*'리그 투수'!E22)-(Y22*'리그 투수'!K22)-(Z22*('리그 투수'!L22+'리그 투수'!M22-'리그 투수'!N22))-(AA22*'리그 투수'!O22))/'리그 투수'!D22</f>
        <v>3.42865427195726</v>
      </c>
      <c r="W22" s="62" t="n">
        <f aca="false">'리그 타자'!E22/'리그 타자'!C22</f>
        <v>0.120333772507686</v>
      </c>
      <c r="X22" s="99" t="n">
        <v>2002</v>
      </c>
      <c r="Y22" s="62" t="n">
        <v>12</v>
      </c>
      <c r="Z22" s="62" t="n">
        <v>3.2</v>
      </c>
      <c r="AA22" s="62" t="n">
        <v>-2.5</v>
      </c>
      <c r="AB22" s="62" t="n">
        <v>0.2</v>
      </c>
      <c r="AC22" s="62" t="n">
        <v>0.4</v>
      </c>
      <c r="AD22" s="62" t="n">
        <v>0.657</v>
      </c>
    </row>
    <row r="23" customFormat="false" ht="17.25" hidden="false" customHeight="false" outlineLevel="0" collapsed="false">
      <c r="A23" s="99" t="n">
        <v>2003</v>
      </c>
      <c r="B23" s="62" t="n">
        <v>0.905</v>
      </c>
      <c r="D23" s="62" t="n">
        <v>1.017</v>
      </c>
      <c r="E23" s="62" t="n">
        <v>1.056</v>
      </c>
      <c r="F23" s="62" t="n">
        <v>1.077</v>
      </c>
      <c r="G23" s="62" t="n">
        <v>1.023</v>
      </c>
      <c r="H23" s="62" t="n">
        <v>1.041</v>
      </c>
      <c r="I23" s="62" t="n">
        <v>0.944</v>
      </c>
      <c r="L23" s="62" t="n">
        <v>1</v>
      </c>
      <c r="M23" s="99" t="n">
        <v>2003</v>
      </c>
      <c r="N23" s="62" t="n">
        <f aca="false">((('리그 투수'!E23/('리그 투수'!D23*3)+0.14))-(-1*((('리그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타자'!D23-'리그 타자'!F23+'리그 타자'!P23)))*(1/((((('리그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타자'!L23-'리그 타자'!N23+'리그 타자'!M23+'리그 타자'!F23))-(-1*((('리그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타자'!D23-'리그 타자'!F23+'리그 타자'!P23))))</f>
        <v>0.717554833164701</v>
      </c>
      <c r="O23" s="62" t="n">
        <f aca="false">(((('리그 투수'!E23/('리그 투수'!D23*3)+0.14))+0.025)-(-1*((('리그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타자'!D23-'리그 타자'!F23+'리그 타자'!P23)))*(1/((((('리그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타자'!L23-'리그 타자'!N23+'리그 타자'!M23+'리그 타자'!F23))-(-1*((('리그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타자'!D23-'리그 타자'!F23+'리그 타자'!P23))))</f>
        <v>0.748913390094039</v>
      </c>
      <c r="P23" s="62" t="n">
        <f aca="false">(((('리그 투수'!E23/('리그 투수'!D23*3)+0.14))+0.155)-(-1*((('리그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타자'!D23-'리그 타자'!F23+'리그 타자'!P23)))*(1/((((('리그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타자'!L23-'리그 타자'!N23+'리그 타자'!M23+'리그 타자'!F23))-(-1*((('리그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타자'!D23-'리그 타자'!F23+'리그 타자'!P23))))</f>
        <v>0.911977886126595</v>
      </c>
      <c r="Q23" s="62" t="n">
        <f aca="false">((((('리그 투수'!E23/('리그 투수'!D23*3)+0.14))+0.155)+0.3)-(-1*((('리그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타자'!D23-'리그 타자'!F23+'리그 타자'!P23)))*(1/((((('리그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타자'!L23-'리그 타자'!N23+'리그 타자'!M23+'리그 타자'!F23))-(-1*((('리그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타자'!D23-'리그 타자'!F23+'리그 타자'!P23))))</f>
        <v>1.28828056927865</v>
      </c>
      <c r="R23" s="62" t="n">
        <f aca="false">(((((('리그 투수'!E23/('리그 투수'!D23*3)+0.14))+0.155)+0.3)+0.27)-(-1*((('리그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타자'!D23-'리그 타자'!F23+'리그 타자'!P23)))*(1/((((('리그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타자'!L23-'리그 타자'!N23+'리그 타자'!M23+'리그 타자'!F23))-(-1*((('리그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타자'!D23-'리그 타자'!F23+'리그 타자'!P23))))</f>
        <v>1.62695298411549</v>
      </c>
      <c r="S23" s="62" t="n">
        <f aca="false">((1.4)-(-1*((('리그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타자'!D23-'리그 타자'!F23+'리그 타자'!P23)))*(1/((((('리그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타자'!L23-'리그 타자'!N23+'리그 타자'!M23+'리그 타자'!F23))-(-1*((('리그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타자'!D23-'리그 타자'!F23+'리그 타자'!P23))))</f>
        <v>2.09907399717288</v>
      </c>
      <c r="T23" s="62" t="n">
        <f aca="false">1/((((('리그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타자'!L23-'리그 타자'!N23+'리그 타자'!M23+'리그 타자'!F23))-(-1*((('리그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타자'!D23-'리그 타자'!F23+'리그 타자'!P23)))</f>
        <v>1.25434227717351</v>
      </c>
      <c r="U23" s="62" t="n">
        <f aca="false">1.5*('리그 투수'!R23+2)</f>
        <v>10.0590947636209</v>
      </c>
      <c r="V23" s="62" t="n">
        <f aca="false">((9*'리그 투수'!E23)-(Y23*'리그 투수'!K23)-(Z23*('리그 투수'!L23+'리그 투수'!M23-'리그 투수'!N23))-(AA23*'리그 투수'!O23))/'리그 투수'!D23</f>
        <v>3.11960992156031</v>
      </c>
      <c r="W23" s="62" t="n">
        <f aca="false">'리그 타자'!E23/'리그 타자'!C23</f>
        <v>0.11987266718507</v>
      </c>
      <c r="X23" s="99" t="n">
        <v>2003</v>
      </c>
      <c r="Y23" s="62" t="n">
        <v>12</v>
      </c>
      <c r="Z23" s="62" t="n">
        <v>3.2</v>
      </c>
      <c r="AA23" s="62" t="n">
        <v>-2.5</v>
      </c>
      <c r="AB23" s="62" t="n">
        <v>0.2</v>
      </c>
      <c r="AC23" s="62" t="n">
        <v>0.4</v>
      </c>
      <c r="AD23" s="62" t="n">
        <v>0.627</v>
      </c>
    </row>
    <row r="24" customFormat="false" ht="17.25" hidden="false" customHeight="false" outlineLevel="0" collapsed="false">
      <c r="A24" s="99" t="n">
        <v>2004</v>
      </c>
      <c r="B24" s="62" t="n">
        <v>0.922</v>
      </c>
      <c r="D24" s="62" t="n">
        <v>0.994</v>
      </c>
      <c r="E24" s="62" t="n">
        <v>1.048</v>
      </c>
      <c r="F24" s="62" t="n">
        <v>1.075</v>
      </c>
      <c r="G24" s="62" t="n">
        <v>1.024</v>
      </c>
      <c r="H24" s="62" t="n">
        <v>1.046</v>
      </c>
      <c r="I24" s="62" t="n">
        <v>0.937</v>
      </c>
      <c r="L24" s="62" t="n">
        <v>1</v>
      </c>
      <c r="M24" s="99" t="n">
        <v>2004</v>
      </c>
      <c r="N24" s="62" t="n">
        <f aca="false">((('리그 투수'!E24/('리그 투수'!D24*3)+0.14))-(-1*((('리그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타자'!D24-'리그 타자'!F24+'리그 타자'!P24)))*(1/((((('리그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타자'!L24-'리그 타자'!N24+'리그 타자'!M24+'리그 타자'!F24))-(-1*((('리그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타자'!D24-'리그 타자'!F24+'리그 타자'!P24))))</f>
        <v>0.727332301266134</v>
      </c>
      <c r="O24" s="62" t="n">
        <f aca="false">(((('리그 투수'!E24/('리그 투수'!D24*3)+0.14))+0.025)-(-1*((('리그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타자'!D24-'리그 타자'!F24+'리그 타자'!P24)))*(1/((((('리그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타자'!L24-'리그 타자'!N24+'리그 타자'!M24+'리그 타자'!F24))-(-1*((('리그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타자'!D24-'리그 타자'!F24+'리그 타자'!P24))))</f>
        <v>0.75930425005096</v>
      </c>
      <c r="P24" s="62" t="n">
        <f aca="false">(((('리그 투수'!E24/('리그 투수'!D24*3)+0.14))+0.155)-(-1*((('리그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타자'!D24-'리그 타자'!F24+'리그 타자'!P24)))*(1/((((('리그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타자'!L24-'리그 타자'!N24+'리그 타자'!M24+'리그 타자'!F24))-(-1*((('리그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타자'!D24-'리그 타자'!F24+'리그 타자'!P24))))</f>
        <v>0.925558383732054</v>
      </c>
      <c r="Q24" s="62" t="n">
        <f aca="false">((((('리그 투수'!E24/('리그 투수'!D24*3)+0.14))+0.155)+0.3)-(-1*((('리그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타자'!D24-'리그 타자'!F24+'리그 타자'!P24)))*(1/((((('리그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타자'!L24-'리그 타자'!N24+'리그 타자'!M24+'리그 타자'!F24))-(-1*((('리그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타자'!D24-'리그 타자'!F24+'리그 타자'!P24))))</f>
        <v>1.30922176914996</v>
      </c>
      <c r="R24" s="62" t="n">
        <f aca="false">(((((('리그 투수'!E24/('리그 투수'!D24*3)+0.14))+0.155)+0.3)+0.27)-(-1*((('리그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타자'!D24-'리그 타자'!F24+'리그 타자'!P24)))*(1/((((('리그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타자'!L24-'리그 타자'!N24+'리그 타자'!M24+'리그 타자'!F24))-(-1*((('리그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타자'!D24-'리그 타자'!F24+'리그 타자'!P24))))</f>
        <v>1.65451881602608</v>
      </c>
      <c r="S24" s="62" t="n">
        <f aca="false">((1.4)-(-1*((('리그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타자'!D24-'리그 타자'!F24+'리그 타자'!P24)))*(1/((((('리그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타자'!L24-'리그 타자'!N24+'리그 타자'!M24+'리그 타자'!F24))-(-1*((('리그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타자'!D24-'리그 타자'!F24+'리그 타자'!P24))))</f>
        <v>2.13466189440028</v>
      </c>
      <c r="T24" s="62" t="n">
        <f aca="false">1/((((('리그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타자'!L24-'리그 타자'!N24+'리그 타자'!M24+'리그 타자'!F24))-(-1*((('리그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타자'!D24-'리그 타자'!F24+'리그 타자'!P24)))</f>
        <v>1.27887795139304</v>
      </c>
      <c r="U24" s="62" t="n">
        <f aca="false">1.5*('리그 투수'!R24+2)</f>
        <v>10.1167728985456</v>
      </c>
      <c r="V24" s="62" t="n">
        <f aca="false">((9*'리그 투수'!E24)-(Y24*'리그 투수'!K24)-(Z24*('리그 투수'!L24+'리그 투수'!M24-'리그 투수'!N24))-(AA24*'리그 투수'!O24))/'리그 투수'!D24</f>
        <v>3.31898439976054</v>
      </c>
      <c r="W24" s="62" t="n">
        <f aca="false">'리그 타자'!E24/'리그 타자'!C24</f>
        <v>0.120674227950956</v>
      </c>
      <c r="X24" s="99" t="n">
        <v>2004</v>
      </c>
      <c r="Y24" s="62" t="n">
        <v>12</v>
      </c>
      <c r="Z24" s="62" t="n">
        <v>3.2</v>
      </c>
      <c r="AA24" s="62" t="n">
        <v>-2.5</v>
      </c>
      <c r="AB24" s="62" t="n">
        <v>0.2</v>
      </c>
      <c r="AC24" s="62" t="n">
        <v>0.4</v>
      </c>
      <c r="AD24" s="62" t="n">
        <v>0.635</v>
      </c>
    </row>
    <row r="25" customFormat="false" ht="17.25" hidden="false" customHeight="false" outlineLevel="0" collapsed="false">
      <c r="A25" s="99" t="n">
        <v>2005</v>
      </c>
      <c r="B25" s="62" t="n">
        <v>0.935</v>
      </c>
      <c r="D25" s="62" t="n">
        <v>0.998</v>
      </c>
      <c r="E25" s="62" t="n">
        <v>1.016</v>
      </c>
      <c r="F25" s="62" t="n">
        <v>1.088</v>
      </c>
      <c r="G25" s="62" t="n">
        <v>1.051</v>
      </c>
      <c r="H25" s="62" t="n">
        <v>1.014</v>
      </c>
      <c r="I25" s="62" t="n">
        <v>0.932</v>
      </c>
      <c r="L25" s="62" t="n">
        <v>1</v>
      </c>
      <c r="M25" s="99" t="n">
        <v>2005</v>
      </c>
      <c r="N25" s="62" t="n">
        <f aca="false">((('리그 투수'!E25/('리그 투수'!D25*3)+0.14))-(-1*((('리그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타자'!D25-'리그 타자'!F25+'리그 타자'!P25)))*(1/((((('리그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타자'!L25-'리그 타자'!N25+'리그 타자'!M25+'리그 타자'!F25))-(-1*((('리그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타자'!D25-'리그 타자'!F25+'리그 타자'!P25))))</f>
        <v>0.724692372749447</v>
      </c>
      <c r="O25" s="62" t="n">
        <f aca="false">(((('리그 투수'!E25/('리그 투수'!D25*3)+0.14))+0.025)-(-1*((('리그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타자'!D25-'리그 타자'!F25+'리그 타자'!P25)))*(1/((((('리그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타자'!L25-'리그 타자'!N25+'리그 타자'!M25+'리그 타자'!F25))-(-1*((('리그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타자'!D25-'리그 타자'!F25+'리그 타자'!P25))))</f>
        <v>0.757179198174084</v>
      </c>
      <c r="P25" s="62" t="n">
        <f aca="false">(((('리그 투수'!E25/('리그 투수'!D25*3)+0.14))+0.155)-(-1*((('리그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타자'!D25-'리그 타자'!F25+'리그 타자'!P25)))*(1/((((('리그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타자'!L25-'리그 타자'!N25+'리그 타자'!M25+'리그 타자'!F25))-(-1*((('리그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타자'!D25-'리그 타자'!F25+'리그 타자'!P25))))</f>
        <v>0.926110690382198</v>
      </c>
      <c r="Q25" s="62" t="n">
        <f aca="false">((((('리그 투수'!E25/('리그 투수'!D25*3)+0.14))+0.155)+0.3)-(-1*((('리그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타자'!D25-'리그 타자'!F25+'리그 타자'!P25)))*(1/((((('리그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타자'!L25-'리그 타자'!N25+'리그 타자'!M25+'리그 타자'!F25))-(-1*((('리그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타자'!D25-'리그 타자'!F25+'리그 타자'!P25))))</f>
        <v>1.31595259547785</v>
      </c>
      <c r="R25" s="62" t="n">
        <f aca="false">(((((('리그 투수'!E25/('리그 투수'!D25*3)+0.14))+0.155)+0.3)+0.27)-(-1*((('리그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타자'!D25-'리그 타자'!F25+'리그 타자'!P25)))*(1/((((('리그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타자'!L25-'리그 타자'!N25+'리그 타자'!M25+'리그 타자'!F25))-(-1*((('리그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타자'!D25-'리그 타자'!F25+'리그 타자'!P25))))</f>
        <v>1.66681031006393</v>
      </c>
      <c r="S25" s="62" t="n">
        <f aca="false">((1.4)-(-1*((('리그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타자'!D25-'리그 타자'!F25+'리그 타자'!P25)))*(1/((((('리그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타자'!L25-'리그 타자'!N25+'리그 타자'!M25+'리그 타자'!F25))-(-1*((('리그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타자'!D25-'리그 타자'!F25+'리그 타자'!P25))))</f>
        <v>2.15875722889256</v>
      </c>
      <c r="T25" s="62" t="n">
        <f aca="false">1/((((('리그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타자'!L25-'리그 타자'!N25+'리그 타자'!M25+'리그 타자'!F25))-(-1*((('리그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타자'!D25-'리그 타자'!F25+'리그 타자'!P25)))</f>
        <v>1.29947301698549</v>
      </c>
      <c r="U25" s="62" t="n">
        <f aca="false">1.5*('리그 투수'!R25+2)</f>
        <v>9.98114543354324</v>
      </c>
      <c r="V25" s="62" t="n">
        <f aca="false">((9*'리그 투수'!E25)-(Y25*'리그 투수'!K25)-(Z25*('리그 투수'!L25+'리그 투수'!M25-'리그 투수'!N25))-(AA25*'리그 투수'!O25))/'리그 투수'!D25</f>
        <v>3.38904870141968</v>
      </c>
      <c r="W25" s="62" t="n">
        <f aca="false">'리그 타자'!E25/'리그 타자'!C25</f>
        <v>0.11868842364532</v>
      </c>
      <c r="X25" s="99" t="n">
        <v>2005</v>
      </c>
      <c r="Y25" s="62" t="n">
        <v>12</v>
      </c>
      <c r="Z25" s="62" t="n">
        <v>3.2</v>
      </c>
      <c r="AA25" s="62" t="n">
        <v>-2.5</v>
      </c>
      <c r="AB25" s="62" t="n">
        <v>0.2</v>
      </c>
      <c r="AC25" s="62" t="n">
        <v>0.4</v>
      </c>
      <c r="AD25" s="62" t="n">
        <v>0.694</v>
      </c>
    </row>
    <row r="26" customFormat="false" ht="17.25" hidden="false" customHeight="false" outlineLevel="0" collapsed="false">
      <c r="A26" s="99" t="n">
        <v>2006</v>
      </c>
      <c r="B26" s="62" t="n">
        <v>0.95</v>
      </c>
      <c r="D26" s="62" t="n">
        <v>1.004</v>
      </c>
      <c r="E26" s="62" t="n">
        <v>0.978</v>
      </c>
      <c r="F26" s="62" t="n">
        <v>1.091</v>
      </c>
      <c r="G26" s="62" t="n">
        <v>1.045</v>
      </c>
      <c r="H26" s="62" t="n">
        <v>1.003</v>
      </c>
      <c r="I26" s="62" t="n">
        <v>0.94</v>
      </c>
      <c r="L26" s="62" t="n">
        <v>1</v>
      </c>
      <c r="M26" s="99" t="n">
        <v>2006</v>
      </c>
      <c r="N26" s="62" t="n">
        <f aca="false">((('리그 투수'!E26/('리그 투수'!D26*3)+0.14))-(-1*((('리그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타자'!D26-'리그 타자'!F26+'리그 타자'!P26)))*(1/((((('리그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타자'!L26-'리그 타자'!N26+'리그 타자'!M26+'리그 타자'!F26))-(-1*((('리그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타자'!D26-'리그 타자'!F26+'리그 타자'!P26))))</f>
        <v>0.714063893576554</v>
      </c>
      <c r="O26" s="62" t="n">
        <f aca="false">(((('리그 투수'!E26/('리그 투수'!D26*3)+0.14))+0.025)-(-1*((('리그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타자'!D26-'리그 타자'!F26+'리그 타자'!P26)))*(1/((((('리그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타자'!L26-'리그 타자'!N26+'리그 타자'!M26+'리그 타자'!F26))-(-1*((('리그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타자'!D26-'리그 타자'!F26+'리그 타자'!P26))))</f>
        <v>0.74945554646517</v>
      </c>
      <c r="P26" s="62" t="n">
        <f aca="false">(((('리그 투수'!E26/('리그 투수'!D26*3)+0.14))+0.155)-(-1*((('리그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타자'!D26-'리그 타자'!F26+'리그 타자'!P26)))*(1/((((('리그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타자'!L26-'리그 타자'!N26+'리그 타자'!M26+'리그 타자'!F26))-(-1*((('리그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타자'!D26-'리그 타자'!F26+'리그 타자'!P26))))</f>
        <v>0.933492141485976</v>
      </c>
      <c r="Q26" s="62" t="n">
        <f aca="false">((((('리그 투수'!E26/('리그 투수'!D26*3)+0.14))+0.155)+0.3)-(-1*((('리그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타자'!D26-'리그 타자'!F26+'리그 타자'!P26)))*(1/((((('리그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타자'!L26-'리그 타자'!N26+'리그 타자'!M26+'리그 타자'!F26))-(-1*((('리그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타자'!D26-'리그 타자'!F26+'리그 타자'!P26))))</f>
        <v>1.35819197614937</v>
      </c>
      <c r="R26" s="62" t="n">
        <f aca="false">(((((('리그 투수'!E26/('리그 투수'!D26*3)+0.14))+0.155)+0.3)+0.27)-(-1*((('리그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타자'!D26-'리그 타자'!F26+'리그 타자'!P26)))*(1/((((('리그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타자'!L26-'리그 타자'!N26+'리그 타자'!M26+'리그 타자'!F26))-(-1*((('리그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타자'!D26-'리그 타자'!F26+'리그 타자'!P26))))</f>
        <v>1.74042182734643</v>
      </c>
      <c r="S26" s="62" t="n">
        <f aca="false">((1.4)-(-1*((('리그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타자'!D26-'리그 타자'!F26+'리그 타자'!P26)))*(1/((((('리그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타자'!L26-'리그 타자'!N26+'리그 타자'!M26+'리그 타자'!F26))-(-1*((('리그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타자'!D26-'리그 타자'!F26+'리그 타자'!P26))))</f>
        <v>2.30932569194449</v>
      </c>
      <c r="T26" s="62" t="n">
        <f aca="false">1/((((('리그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타자'!L26-'리그 타자'!N26+'리그 타자'!M26+'리그 타자'!F26))-(-1*((('리그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타자'!D26-'리그 타자'!F26+'리그 타자'!P26)))</f>
        <v>1.41566611554466</v>
      </c>
      <c r="U26" s="62" t="n">
        <f aca="false">1.5*('리그 투수'!R26+2)</f>
        <v>9.0111289240176</v>
      </c>
      <c r="V26" s="62" t="n">
        <f aca="false">((9*'리그 투수'!E26)-(Y26*'리그 투수'!K26)-(Z26*('리그 투수'!L26+'리그 투수'!M26-'리그 투수'!N26))-(AA26*'리그 투수'!O26))/'리그 투수'!D26</f>
        <v>3.03656326895832</v>
      </c>
      <c r="W26" s="62" t="n">
        <f aca="false">'리그 타자'!E26/'리그 타자'!C26</f>
        <v>0.104512877057573</v>
      </c>
      <c r="X26" s="99" t="n">
        <v>2006</v>
      </c>
      <c r="Y26" s="62" t="n">
        <v>12</v>
      </c>
      <c r="Z26" s="62" t="n">
        <v>3.2</v>
      </c>
      <c r="AA26" s="62" t="n">
        <v>-2.5</v>
      </c>
      <c r="AB26" s="62" t="n">
        <v>0.2</v>
      </c>
      <c r="AC26" s="62" t="n">
        <v>0.4</v>
      </c>
      <c r="AD26" s="62" t="n">
        <v>0.682</v>
      </c>
    </row>
    <row r="27" customFormat="false" ht="17.25" hidden="false" customHeight="false" outlineLevel="0" collapsed="false">
      <c r="A27" s="99" t="n">
        <v>2007</v>
      </c>
      <c r="B27" s="62" t="n">
        <v>0.959</v>
      </c>
      <c r="D27" s="62" t="n">
        <v>0.997</v>
      </c>
      <c r="E27" s="62" t="n">
        <v>1.015</v>
      </c>
      <c r="F27" s="62" t="n">
        <v>0.978</v>
      </c>
      <c r="G27" s="62" t="n">
        <v>1.027</v>
      </c>
      <c r="H27" s="62" t="n">
        <v>1.053</v>
      </c>
      <c r="I27" s="62" t="n">
        <v>0.954</v>
      </c>
      <c r="L27" s="62" t="n">
        <v>1</v>
      </c>
      <c r="M27" s="99" t="n">
        <v>2007</v>
      </c>
      <c r="N27" s="62" t="n">
        <f aca="false">((('리그 투수'!E27/('리그 투수'!D27*3)+0.14))-(-1*((('리그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타자'!D27-'리그 타자'!F27+'리그 타자'!P27)))*(1/((((('리그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타자'!L27-'리그 타자'!N27+'리그 타자'!M27+'리그 타자'!F27))-(-1*((('리그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타자'!D27-'리그 타자'!F27+'리그 타자'!P27))))</f>
        <v>0.724429544101867</v>
      </c>
      <c r="O27" s="62" t="n">
        <f aca="false">(((('리그 투수'!E27/('리그 투수'!D27*3)+0.14))+0.025)-(-1*((('리그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타자'!D27-'리그 타자'!F27+'리그 타자'!P27)))*(1/((((('리그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타자'!L27-'리그 타자'!N27+'리그 타자'!M27+'리그 타자'!F27))-(-1*((('리그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타자'!D27-'리그 타자'!F27+'리그 타자'!P27))))</f>
        <v>0.758405114615756</v>
      </c>
      <c r="P27" s="62" t="n">
        <f aca="false">(((('리그 투수'!E27/('리그 투수'!D27*3)+0.14))+0.155)-(-1*((('리그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타자'!D27-'리그 타자'!F27+'리그 타자'!P27)))*(1/((((('리그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타자'!L27-'리그 타자'!N27+'리그 타자'!M27+'리그 타자'!F27))-(-1*((('리그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타자'!D27-'리그 타자'!F27+'리그 타자'!P27))))</f>
        <v>0.935078081287976</v>
      </c>
      <c r="Q27" s="62" t="n">
        <f aca="false">((((('리그 투수'!E27/('리그 투수'!D27*3)+0.14))+0.155)+0.3)-(-1*((('리그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타자'!D27-'리그 타자'!F27+'리그 타자'!P27)))*(1/((((('리그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타자'!L27-'리그 타자'!N27+'리그 타자'!M27+'리그 타자'!F27))-(-1*((('리그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타자'!D27-'리그 타자'!F27+'리그 타자'!P27))))</f>
        <v>1.34278492745464</v>
      </c>
      <c r="R27" s="62" t="n">
        <f aca="false">(((((('리그 투수'!E27/('리그 투수'!D27*3)+0.14))+0.155)+0.3)+0.27)-(-1*((('리그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타자'!D27-'리그 타자'!F27+'리그 타자'!P27)))*(1/((((('리그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타자'!L27-'리그 타자'!N27+'리그 타자'!M27+'리그 타자'!F27))-(-1*((('리그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타자'!D27-'리그 타자'!F27+'리그 타자'!P27))))</f>
        <v>1.70972108900463</v>
      </c>
      <c r="S27" s="62" t="n">
        <f aca="false">((1.4)-(-1*((('리그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타자'!D27-'리그 타자'!F27+'리그 타자'!P27)))*(1/((((('리그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타자'!L27-'리그 타자'!N27+'리그 타자'!M27+'리그 타자'!F27))-(-1*((('리그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타자'!D27-'리그 타자'!F27+'리그 타자'!P27))))</f>
        <v>2.2394502738802</v>
      </c>
      <c r="T27" s="62" t="n">
        <f aca="false">1/((((('리그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타자'!L27-'리그 타자'!N27+'리그 타자'!M27+'리그 타자'!F27))-(-1*((('리그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타자'!D27-'리그 타자'!F27+'리그 타자'!P27)))</f>
        <v>1.35902282055554</v>
      </c>
      <c r="U27" s="62" t="n">
        <f aca="false">1.5*('리그 투수'!R27+2)</f>
        <v>9.44872980068779</v>
      </c>
      <c r="V27" s="62" t="n">
        <f aca="false">((9*'리그 투수'!E27)-(Y27*'리그 투수'!K27)-(Z27*('리그 투수'!L27+'리그 투수'!M27-'리그 투수'!N27))-(AA27*'리그 투수'!O27))/'리그 투수'!D27</f>
        <v>3.14686610213364</v>
      </c>
      <c r="W27" s="62" t="n">
        <f aca="false">'리그 타자'!E27/'리그 타자'!C27</f>
        <v>0.110424413386332</v>
      </c>
      <c r="X27" s="99" t="n">
        <v>2007</v>
      </c>
      <c r="Y27" s="62" t="n">
        <v>12</v>
      </c>
      <c r="Z27" s="62" t="n">
        <v>3.2</v>
      </c>
      <c r="AA27" s="62" t="n">
        <v>-2.5</v>
      </c>
      <c r="AB27" s="62" t="n">
        <v>0.2</v>
      </c>
      <c r="AC27" s="62" t="n">
        <v>0.4</v>
      </c>
      <c r="AD27" s="62" t="n">
        <v>0.676</v>
      </c>
    </row>
    <row r="28" customFormat="false" ht="17.25" hidden="false" customHeight="false" outlineLevel="0" collapsed="false">
      <c r="A28" s="99" t="n">
        <v>2008</v>
      </c>
      <c r="B28" s="62" t="n">
        <v>0.945</v>
      </c>
      <c r="C28" s="62" t="n">
        <v>1.056</v>
      </c>
      <c r="D28" s="62" t="n">
        <v>0.991</v>
      </c>
      <c r="F28" s="62" t="n">
        <v>1.072</v>
      </c>
      <c r="G28" s="62" t="n">
        <v>0.942</v>
      </c>
      <c r="H28" s="62" t="n">
        <v>1.047</v>
      </c>
      <c r="I28" s="62" t="n">
        <v>0.966</v>
      </c>
      <c r="L28" s="62" t="n">
        <v>1</v>
      </c>
      <c r="M28" s="99" t="n">
        <v>2008</v>
      </c>
      <c r="N28" s="62" t="n">
        <f aca="false">((('리그 투수'!E28/('리그 투수'!D28*3)+0.14))-(-1*((('리그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타자'!D28-'리그 타자'!F28+'리그 타자'!P28)))*(1/((((('리그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타자'!L28-'리그 타자'!N28+'리그 타자'!M28+'리그 타자'!F28))-(-1*((('리그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타자'!D28-'리그 타자'!F28+'리그 타자'!P28))))</f>
        <v>0.732829884591609</v>
      </c>
      <c r="O28" s="62" t="n">
        <f aca="false">(((('리그 투수'!E28/('리그 투수'!D28*3)+0.14))+0.025)-(-1*((('리그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타자'!D28-'리그 타자'!F28+'리그 타자'!P28)))*(1/((((('리그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타자'!L28-'리그 타자'!N28+'리그 타자'!M28+'리그 타자'!F28))-(-1*((('리그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타자'!D28-'리그 타자'!F28+'리그 타자'!P28))))</f>
        <v>0.766368670427302</v>
      </c>
      <c r="P28" s="62" t="n">
        <f aca="false">(((('리그 투수'!E28/('리그 투수'!D28*3)+0.14))+0.155)-(-1*((('리그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타자'!D28-'리그 타자'!F28+'리그 타자'!P28)))*(1/((((('리그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타자'!L28-'리그 타자'!N28+'리그 타자'!M28+'리그 타자'!F28))-(-1*((('리그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타자'!D28-'리그 타자'!F28+'리그 타자'!P28))))</f>
        <v>0.940770356772906</v>
      </c>
      <c r="Q28" s="62" t="n">
        <f aca="false">((((('리그 투수'!E28/('리그 투수'!D28*3)+0.14))+0.155)+0.3)-(-1*((('리그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타자'!D28-'리그 타자'!F28+'리그 타자'!P28)))*(1/((((('리그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타자'!L28-'리그 타자'!N28+'리그 타자'!M28+'리그 타자'!F28))-(-1*((('리그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타자'!D28-'리그 타자'!F28+'리그 타자'!P28))))</f>
        <v>1.34323578680122</v>
      </c>
      <c r="R28" s="62" t="n">
        <f aca="false">(((((('리그 투수'!E28/('리그 투수'!D28*3)+0.14))+0.155)+0.3)+0.27)-(-1*((('리그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타자'!D28-'리그 타자'!F28+'리그 타자'!P28)))*(1/((((('리그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타자'!L28-'리그 타자'!N28+'리그 타자'!M28+'리그 타자'!F28))-(-1*((('리그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타자'!D28-'리그 타자'!F28+'리그 타자'!P28))))</f>
        <v>1.70545467382671</v>
      </c>
      <c r="S28" s="62" t="n">
        <f aca="false">((1.4)-(-1*((('리그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타자'!D28-'리그 타자'!F28+'리그 타자'!P28)))*(1/((((('리그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타자'!L28-'리그 타자'!N28+'리그 타자'!M28+'리그 타자'!F28))-(-1*((('리그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타자'!D28-'리그 타자'!F28+'리그 타자'!P28))))</f>
        <v>2.21817721920433</v>
      </c>
      <c r="T28" s="62" t="n">
        <f aca="false">1/((((('리그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타자'!L28-'리그 타자'!N28+'리그 타자'!M28+'리그 타자'!F28))-(-1*((('리그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타자'!D28-'리그 타자'!F28+'리그 타자'!P28)))</f>
        <v>1.34155143342772</v>
      </c>
      <c r="U28" s="62" t="n">
        <f aca="false">1.5*('리그 투수'!R28+2)</f>
        <v>9.77146343267027</v>
      </c>
      <c r="V28" s="62" t="n">
        <f aca="false">((9*'리그 투수'!E28)-(Y28*'리그 투수'!K28)-(Z28*('리그 투수'!L28+'리그 투수'!M28-'리그 투수'!N28))-(AA28*'리그 투수'!O28))/'리그 투수'!D28</f>
        <v>3.46508541004215</v>
      </c>
      <c r="W28" s="62" t="n">
        <f aca="false">'리그 타자'!E28/'리그 타자'!C28</f>
        <v>0.115895227843559</v>
      </c>
      <c r="X28" s="99" t="n">
        <v>2008</v>
      </c>
      <c r="Y28" s="62" t="n">
        <v>12</v>
      </c>
      <c r="Z28" s="62" t="n">
        <v>3.2</v>
      </c>
      <c r="AA28" s="62" t="n">
        <v>-2.5</v>
      </c>
      <c r="AB28" s="62" t="n">
        <v>0.2</v>
      </c>
      <c r="AC28" s="62" t="n">
        <v>0.4</v>
      </c>
      <c r="AD28" s="62" t="n">
        <v>0.69</v>
      </c>
    </row>
    <row r="29" customFormat="false" ht="17.25" hidden="false" customHeight="false" outlineLevel="0" collapsed="false">
      <c r="A29" s="99" t="n">
        <v>2009</v>
      </c>
      <c r="B29" s="62" t="n">
        <v>0.941</v>
      </c>
      <c r="C29" s="62" t="n">
        <v>1.04</v>
      </c>
      <c r="D29" s="62" t="n">
        <v>0.998</v>
      </c>
      <c r="F29" s="62" t="n">
        <v>1.054</v>
      </c>
      <c r="G29" s="62" t="n">
        <v>0.922</v>
      </c>
      <c r="H29" s="62" t="n">
        <v>1.063</v>
      </c>
      <c r="I29" s="62" t="n">
        <v>1.037</v>
      </c>
      <c r="L29" s="62" t="n">
        <v>1</v>
      </c>
      <c r="M29" s="99" t="n">
        <v>2009</v>
      </c>
      <c r="N29" s="62" t="n">
        <f aca="false">((('리그 투수'!E29/('리그 투수'!D29*3)+0.14))-(-1*((('리그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타자'!D29-'리그 타자'!F29+'리그 타자'!P29)))*(1/((((('리그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타자'!L29-'리그 타자'!N29+'리그 타자'!M29+'리그 타자'!F29))-(-1*((('리그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타자'!D29-'리그 타자'!F29+'리그 타자'!P29))))</f>
        <v>0.735435560238977</v>
      </c>
      <c r="O29" s="62" t="n">
        <f aca="false">(((('리그 투수'!E29/('리그 투수'!D29*3)+0.14))+0.025)-(-1*((('리그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타자'!D29-'리그 타자'!F29+'리그 타자'!P29)))*(1/((((('리그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타자'!L29-'리그 타자'!N29+'리그 타자'!M29+'리그 타자'!F29))-(-1*((('리그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타자'!D29-'리그 타자'!F29+'리그 타자'!P29))))</f>
        <v>0.765287695193267</v>
      </c>
      <c r="P29" s="62" t="n">
        <f aca="false">(((('리그 투수'!E29/('리그 투수'!D29*3)+0.14))+0.155)-(-1*((('리그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타자'!D29-'리그 타자'!F29+'리그 타자'!P29)))*(1/((((('리그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타자'!L29-'리그 타자'!N29+'리그 타자'!M29+'리그 타자'!F29))-(-1*((('리그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타자'!D29-'리그 타자'!F29+'리그 타자'!P29))))</f>
        <v>0.920518796955572</v>
      </c>
      <c r="Q29" s="62" t="n">
        <f aca="false">((((('리그 투수'!E29/('리그 투수'!D29*3)+0.14))+0.155)+0.3)-(-1*((('리그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타자'!D29-'리그 타자'!F29+'리그 타자'!P29)))*(1/((((('리그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타자'!L29-'리그 타자'!N29+'리그 타자'!M29+'리그 타자'!F29))-(-1*((('리그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타자'!D29-'리그 타자'!F29+'리그 타자'!P29))))</f>
        <v>1.27874441640705</v>
      </c>
      <c r="R29" s="62" t="n">
        <f aca="false">(((((('리그 투수'!E29/('리그 투수'!D29*3)+0.14))+0.155)+0.3)+0.27)-(-1*((('리그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타자'!D29-'리그 타자'!F29+'리그 타자'!P29)))*(1/((((('리그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타자'!L29-'리그 타자'!N29+'리그 타자'!M29+'리그 타자'!F29))-(-1*((('리그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타자'!D29-'리그 타자'!F29+'리그 타자'!P29))))</f>
        <v>1.60114747391338</v>
      </c>
      <c r="S29" s="62" t="n">
        <f aca="false">((1.4)-(-1*((('리그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타자'!D29-'리그 타자'!F29+'리그 타자'!P29)))*(1/((((('리그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타자'!L29-'리그 타자'!N29+'리그 타자'!M29+'리그 타자'!F29))-(-1*((('리그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타자'!D29-'리그 타자'!F29+'리그 타자'!P29))))</f>
        <v>2.02731184662028</v>
      </c>
      <c r="T29" s="62" t="n">
        <f aca="false">1/((((('리그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타자'!L29-'리그 타자'!N29+'리그 타자'!M29+'리그 타자'!F29))-(-1*((('리그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타자'!D29-'리그 타자'!F29+'리그 타자'!P29)))</f>
        <v>1.19408539817158</v>
      </c>
      <c r="U29" s="62" t="n">
        <f aca="false">1.5*('리그 투수'!R29+2)</f>
        <v>10.8476519775606</v>
      </c>
      <c r="V29" s="62" t="n">
        <f aca="false">((9*'리그 투수'!E29)-(Y29*'리그 투수'!K29)-(Z29*('리그 투수'!L29+'리그 투수'!M29-'리그 투수'!N29))-(AA29*'리그 투수'!O29))/'리그 투수'!D29</f>
        <v>3.5894047913065</v>
      </c>
      <c r="W29" s="62" t="n">
        <f aca="false">'리그 타자'!E29/'리그 타자'!C29</f>
        <v>0.131186699789796</v>
      </c>
      <c r="X29" s="99" t="n">
        <v>2009</v>
      </c>
      <c r="Y29" s="62" t="n">
        <v>12</v>
      </c>
      <c r="Z29" s="62" t="n">
        <v>3.2</v>
      </c>
      <c r="AA29" s="62" t="n">
        <v>-2.5</v>
      </c>
      <c r="AB29" s="62" t="n">
        <v>0.2</v>
      </c>
      <c r="AC29" s="62" t="n">
        <v>0.4</v>
      </c>
      <c r="AD29" s="62" t="n">
        <v>0.726</v>
      </c>
    </row>
    <row r="30" customFormat="false" ht="17.25" hidden="false" customHeight="false" outlineLevel="0" collapsed="false">
      <c r="A30" s="99" t="n">
        <v>2010</v>
      </c>
      <c r="B30" s="62" t="n">
        <v>0.937</v>
      </c>
      <c r="C30" s="62" t="n">
        <v>1.004</v>
      </c>
      <c r="D30" s="62" t="n">
        <v>1.003</v>
      </c>
      <c r="F30" s="62" t="n">
        <v>1.039</v>
      </c>
      <c r="G30" s="62" t="n">
        <v>0.934</v>
      </c>
      <c r="H30" s="62" t="n">
        <v>1.055</v>
      </c>
      <c r="I30" s="62" t="n">
        <v>1.077</v>
      </c>
      <c r="L30" s="62" t="n">
        <v>1</v>
      </c>
      <c r="M30" s="99" t="n">
        <v>2010</v>
      </c>
      <c r="N30" s="62" t="n">
        <f aca="false">((('리그 투수'!E30/('리그 투수'!D30*3)+0.14))-(-1*((('리그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타자'!D30-'리그 타자'!F30+'리그 타자'!P30)))*(1/((((('리그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타자'!L30-'리그 타자'!N30+'리그 타자'!M30+'리그 타자'!F30))-(-1*((('리그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타자'!D30-'리그 타자'!F30+'리그 타자'!P30))))</f>
        <v>0.735031807797391</v>
      </c>
      <c r="O30" s="62" t="n">
        <f aca="false">(((('리그 투수'!E30/('리그 투수'!D30*3)+0.14))+0.025)-(-1*((('리그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타자'!D30-'리그 타자'!F30+'리그 타자'!P30)))*(1/((((('리그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타자'!L30-'리그 타자'!N30+'리그 타자'!M30+'리그 타자'!F30))-(-1*((('리그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타자'!D30-'리그 타자'!F30+'리그 타자'!P30))))</f>
        <v>0.766188024486126</v>
      </c>
      <c r="P30" s="62" t="n">
        <f aca="false">(((('리그 투수'!E30/('리그 투수'!D30*3)+0.14))+0.155)-(-1*((('리그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타자'!D30-'리그 타자'!F30+'리그 타자'!P30)))*(1/((((('리그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타자'!L30-'리그 타자'!N30+'리그 타자'!M30+'리그 타자'!F30))-(-1*((('리그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타자'!D30-'리그 타자'!F30+'리그 타자'!P30))))</f>
        <v>0.928200351267544</v>
      </c>
      <c r="Q30" s="62" t="n">
        <f aca="false">((((('리그 투수'!E30/('리그 투수'!D30*3)+0.14))+0.155)+0.3)-(-1*((('리그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타자'!D30-'리그 타자'!F30+'리그 타자'!P30)))*(1/((((('리그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타자'!L30-'리그 타자'!N30+'리그 타자'!M30+'리그 타자'!F30))-(-1*((('리그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타자'!D30-'리그 타자'!F30+'리그 타자'!P30))))</f>
        <v>1.30207495153236</v>
      </c>
      <c r="R30" s="62" t="n">
        <f aca="false">(((((('리그 투수'!E30/('리그 투수'!D30*3)+0.14))+0.155)+0.3)+0.27)-(-1*((('리그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타자'!D30-'리그 타자'!F30+'리그 타자'!P30)))*(1/((((('리그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타자'!L30-'리그 타자'!N30+'리그 타자'!M30+'리그 타자'!F30))-(-1*((('리그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타자'!D30-'리그 타자'!F30+'리그 타자'!P30))))</f>
        <v>1.63856209177069</v>
      </c>
      <c r="S30" s="62" t="n">
        <f aca="false">((1.4)-(-1*((('리그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타자'!D30-'리그 타자'!F30+'리그 타자'!P30)))*(1/((((('리그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타자'!L30-'리그 타자'!N30+'리그 타자'!M30+'리그 타자'!F30))-(-1*((('리그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타자'!D30-'리그 타자'!F30+'리그 타자'!P30))))</f>
        <v>2.09318421407968</v>
      </c>
      <c r="T30" s="62" t="n">
        <f aca="false">1/((((('리그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타자'!L30-'리그 타자'!N30+'리그 타자'!M30+'리그 타자'!F30))-(-1*((('리그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타자'!D30-'리그 타자'!F30+'리그 타자'!P30)))</f>
        <v>1.24624866754937</v>
      </c>
      <c r="U30" s="62" t="n">
        <f aca="false">1.5*('리그 투수'!R30+2)</f>
        <v>10.5390841731924</v>
      </c>
      <c r="V30" s="62" t="n">
        <f aca="false">((9*'리그 투수'!E30)-(Y30*'리그 투수'!K30)-(Z30*('리그 투수'!L30+'리그 투수'!M30-'리그 투수'!N30))-(AA30*'리그 투수'!O30))/'리그 투수'!D30</f>
        <v>3.67723074762089</v>
      </c>
      <c r="W30" s="62" t="n">
        <f aca="false">'리그 타자'!E30/'리그 타자'!C30</f>
        <v>0.127437074789047</v>
      </c>
      <c r="X30" s="99" t="n">
        <v>2010</v>
      </c>
      <c r="Y30" s="62" t="n">
        <v>12</v>
      </c>
      <c r="Z30" s="62" t="n">
        <v>3.2</v>
      </c>
      <c r="AA30" s="62" t="n">
        <v>-2.5</v>
      </c>
      <c r="AB30" s="62" t="n">
        <v>0.2</v>
      </c>
      <c r="AC30" s="62" t="n">
        <v>0.4</v>
      </c>
      <c r="AD30" s="62" t="n">
        <v>0.703</v>
      </c>
    </row>
    <row r="31" customFormat="false" ht="17.25" hidden="false" customHeight="false" outlineLevel="0" collapsed="false">
      <c r="A31" s="99" t="n">
        <v>2011</v>
      </c>
      <c r="B31" s="62" t="n">
        <v>0.911</v>
      </c>
      <c r="C31" s="62" t="n">
        <v>1.035</v>
      </c>
      <c r="D31" s="62" t="n">
        <v>0.992</v>
      </c>
      <c r="F31" s="62" t="n">
        <v>1.041</v>
      </c>
      <c r="G31" s="62" t="n">
        <v>0.99</v>
      </c>
      <c r="H31" s="62" t="n">
        <v>1.048</v>
      </c>
      <c r="I31" s="62" t="n">
        <v>1.072</v>
      </c>
      <c r="L31" s="62" t="n">
        <v>1</v>
      </c>
      <c r="M31" s="99" t="n">
        <v>2011</v>
      </c>
      <c r="N31" s="62" t="n">
        <f aca="false">((('리그 투수'!E31/('리그 투수'!D31*3)+0.14))-(-1*((('리그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타자'!D31-'리그 타자'!F31+'리그 타자'!P31)))*(1/((((('리그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타자'!L31-'리그 타자'!N31+'리그 타자'!M31+'리그 타자'!F31))-(-1*((('리그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타자'!D31-'리그 타자'!F31+'리그 타자'!P31))))</f>
        <v>0.732490930920664</v>
      </c>
      <c r="O31" s="62" t="n">
        <f aca="false">(((('리그 투수'!E31/('리그 투수'!D31*3)+0.14))+0.025)-(-1*((('리그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타자'!D31-'리그 타자'!F31+'리그 타자'!P31)))*(1/((((('리그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타자'!L31-'리그 타자'!N31+'리그 타자'!M31+'리그 타자'!F31))-(-1*((('리그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타자'!D31-'리그 타자'!F31+'리그 타자'!P31))))</f>
        <v>0.765703844770264</v>
      </c>
      <c r="P31" s="62" t="n">
        <f aca="false">(((('리그 투수'!E31/('리그 투수'!D31*3)+0.14))+0.155)-(-1*((('리그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타자'!D31-'리그 타자'!F31+'리그 타자'!P31)))*(1/((((('리그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타자'!L31-'리그 타자'!N31+'리그 타자'!M31+'리그 타자'!F31))-(-1*((('리그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타자'!D31-'리그 타자'!F31+'리그 타자'!P31))))</f>
        <v>0.938410996788184</v>
      </c>
      <c r="Q31" s="62" t="n">
        <f aca="false">((((('리그 투수'!E31/('리그 투수'!D31*3)+0.14))+0.155)+0.3)-(-1*((('리그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타자'!D31-'리그 타자'!F31+'리그 타자'!P31)))*(1/((((('리그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타자'!L31-'리그 타자'!N31+'리그 타자'!M31+'리그 타자'!F31))-(-1*((('리그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타자'!D31-'리그 타자'!F31+'리그 타자'!P31))))</f>
        <v>1.33696596298339</v>
      </c>
      <c r="R31" s="62" t="n">
        <f aca="false">(((((('리그 투수'!E31/('리그 투수'!D31*3)+0.14))+0.155)+0.3)+0.27)-(-1*((('리그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타자'!D31-'리그 타자'!F31+'리그 타자'!P31)))*(1/((((('리그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타자'!L31-'리그 타자'!N31+'리그 타자'!M31+'리그 타자'!F31))-(-1*((('리그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타자'!D31-'리그 타자'!F31+'리그 타자'!P31))))</f>
        <v>1.69566543255907</v>
      </c>
      <c r="S31" s="62" t="n">
        <f aca="false">((1.4)-(-1*((('리그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타자'!D31-'리그 타자'!F31+'리그 타자'!P31)))*(1/((((('리그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타자'!L31-'리그 타자'!N31+'리그 타자'!M31+'리그 타자'!F31))-(-1*((('리그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타자'!D31-'리그 타자'!F31+'리그 타자'!P31))))</f>
        <v>2.20184034241445</v>
      </c>
      <c r="T31" s="62" t="n">
        <f aca="false">1/((((('리그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타자'!L31-'리그 타자'!N31+'리그 타자'!M31+'리그 타자'!F31))-(-1*((('리그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타자'!D31-'리그 타자'!F31+'리그 타자'!P31)))</f>
        <v>1.328516553984</v>
      </c>
      <c r="U31" s="62" t="n">
        <f aca="false">1.5*('리그 투수'!R31+2)</f>
        <v>9.8754752851711</v>
      </c>
      <c r="V31" s="62" t="n">
        <f aca="false">((9*'리그 투수'!E31)-(Y31*'리그 투수'!K31)-(Z31*('리그 투수'!L31+'리그 투수'!M31-'리그 투수'!N31))-(AA31*'리그 투수'!O31))/'리그 투수'!D31</f>
        <v>3.57118715673849</v>
      </c>
      <c r="W31" s="62" t="n">
        <f aca="false">'리그 타자'!E31/'리그 타자'!C31</f>
        <v>0.11741501899289</v>
      </c>
      <c r="X31" s="99" t="n">
        <v>2011</v>
      </c>
      <c r="Y31" s="62" t="n">
        <v>12</v>
      </c>
      <c r="Z31" s="62" t="n">
        <v>3.2</v>
      </c>
      <c r="AA31" s="62" t="n">
        <v>-2.5</v>
      </c>
      <c r="AB31" s="62" t="n">
        <v>0.2</v>
      </c>
      <c r="AC31" s="62" t="n">
        <v>0.4</v>
      </c>
      <c r="AD31" s="62" t="n">
        <v>0.676</v>
      </c>
    </row>
    <row r="32" customFormat="false" ht="17.25" hidden="false" customHeight="false" outlineLevel="0" collapsed="false">
      <c r="A32" s="99" t="n">
        <v>2012</v>
      </c>
      <c r="B32" s="62" t="n">
        <v>0.912</v>
      </c>
      <c r="C32" s="62" t="n">
        <v>1.066</v>
      </c>
      <c r="D32" s="62" t="n">
        <v>1.018</v>
      </c>
      <c r="F32" s="62" t="n">
        <v>1.028</v>
      </c>
      <c r="G32" s="62" t="n">
        <v>1.004</v>
      </c>
      <c r="H32" s="62" t="n">
        <v>1.044</v>
      </c>
      <c r="I32" s="62" t="n">
        <v>1.07</v>
      </c>
      <c r="L32" s="62" t="n">
        <v>1</v>
      </c>
      <c r="M32" s="99" t="n">
        <v>2012</v>
      </c>
      <c r="N32" s="62" t="n">
        <f aca="false">((('리그 투수'!E32/('리그 투수'!D32*3)+0.14))-(-1*((('리그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타자'!D32-'리그 타자'!F32+'리그 타자'!P32)))*(1/((((('리그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타자'!L32-'리그 타자'!N32+'리그 타자'!M32+'리그 타자'!F32))-(-1*((('리그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타자'!D32-'리그 타자'!F32+'리그 타자'!P32))))</f>
        <v>0.725672499412452</v>
      </c>
      <c r="O32" s="62" t="n">
        <f aca="false">(((('리그 투수'!E32/('리그 투수'!D32*3)+0.14))+0.025)-(-1*((('리그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타자'!D32-'리그 타자'!F32+'리그 타자'!P32)))*(1/((((('리그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타자'!L32-'리그 타자'!N32+'리그 타자'!M32+'리그 타자'!F32))-(-1*((('리그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타자'!D32-'리그 타자'!F32+'리그 타자'!P32))))</f>
        <v>0.76063219251706</v>
      </c>
      <c r="P32" s="62" t="n">
        <f aca="false">(((('리그 투수'!E32/('리그 투수'!D32*3)+0.14))+0.155)-(-1*((('리그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타자'!D32-'리그 타자'!F32+'리그 타자'!P32)))*(1/((((('리그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타자'!L32-'리그 타자'!N32+'리그 타자'!M32+'리그 타자'!F32))-(-1*((('리그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타자'!D32-'리그 타자'!F32+'리그 타자'!P32))))</f>
        <v>0.942422596661022</v>
      </c>
      <c r="Q32" s="62" t="n">
        <f aca="false">((((('리그 투수'!E32/('리그 투수'!D32*3)+0.14))+0.155)+0.3)-(-1*((('리그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타자'!D32-'리그 타자'!F32+'리그 타자'!P32)))*(1/((((('리그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타자'!L32-'리그 타자'!N32+'리그 타자'!M32+'리그 타자'!F32))-(-1*((('리그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타자'!D32-'리그 타자'!F32+'리그 타자'!P32))))</f>
        <v>1.36193891391632</v>
      </c>
      <c r="R32" s="62" t="n">
        <f aca="false">(((((('리그 투수'!E32/('리그 투수'!D32*3)+0.14))+0.155)+0.3)+0.27)-(-1*((('리그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타자'!D32-'리그 타자'!F32+'리그 타자'!P32)))*(1/((((('리그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타자'!L32-'리그 타자'!N32+'리그 타자'!M32+'리그 타자'!F32))-(-1*((('리그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타자'!D32-'리그 타자'!F32+'리그 타자'!P32))))</f>
        <v>1.73950359944609</v>
      </c>
      <c r="S32" s="62" t="n">
        <f aca="false">((1.4)-(-1*((('리그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타자'!D32-'리그 타자'!F32+'리그 타자'!P32)))*(1/((((('리그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타자'!L32-'리그 타자'!N32+'리그 타자'!M32+'리그 타자'!F32))-(-1*((('리그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타자'!D32-'리그 타자'!F32+'리그 타자'!P32))))</f>
        <v>2.28956800406102</v>
      </c>
      <c r="T32" s="62" t="n">
        <f aca="false">1/((((('리그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타자'!L32-'리그 타자'!N32+'리그 타자'!M32+'리그 타자'!F32))-(-1*((('리그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타자'!D32-'리그 타자'!F32+'리그 타자'!P32)))</f>
        <v>1.39838772418432</v>
      </c>
      <c r="U32" s="62" t="n">
        <f aca="false">1.5*('리그 투수'!R32+2)</f>
        <v>9.22552116234997</v>
      </c>
      <c r="V32" s="62" t="n">
        <f aca="false">((9*'리그 투수'!E32)-(Y32*'리그 투수'!K32)-(Z32*('리그 투수'!L32+'리그 투수'!M32-'리그 투수'!N32))-(AA32*'리그 투수'!O32))/'리그 투수'!D32</f>
        <v>3.43701831964624</v>
      </c>
      <c r="W32" s="62" t="n">
        <f aca="false">'리그 타자'!E32/'리그 타자'!C32</f>
        <v>0.108076097416537</v>
      </c>
      <c r="X32" s="99" t="n">
        <v>2012</v>
      </c>
      <c r="Y32" s="62" t="n">
        <v>12</v>
      </c>
      <c r="Z32" s="62" t="n">
        <v>3.2</v>
      </c>
      <c r="AA32" s="62" t="n">
        <v>-2.5</v>
      </c>
      <c r="AB32" s="62" t="n">
        <v>0.2</v>
      </c>
      <c r="AC32" s="62" t="n">
        <v>0.4</v>
      </c>
      <c r="AD32" s="62" t="n">
        <v>0.69</v>
      </c>
    </row>
    <row r="33" customFormat="false" ht="17.25" hidden="false" customHeight="false" outlineLevel="0" collapsed="false">
      <c r="A33" s="99" t="n">
        <v>2013</v>
      </c>
      <c r="B33" s="62" t="n">
        <v>0.891</v>
      </c>
      <c r="C33" s="62" t="n">
        <v>1.127</v>
      </c>
      <c r="D33" s="62" t="n">
        <v>1.037</v>
      </c>
      <c r="F33" s="62" t="n">
        <v>0.989</v>
      </c>
      <c r="G33" s="102" t="n">
        <v>1.049</v>
      </c>
      <c r="H33" s="62" t="n">
        <v>1.037</v>
      </c>
      <c r="I33" s="62" t="n">
        <v>1.075</v>
      </c>
      <c r="J33" s="62" t="n">
        <v>0.951</v>
      </c>
      <c r="L33" s="62" t="n">
        <v>1</v>
      </c>
      <c r="M33" s="99" t="n">
        <v>2013</v>
      </c>
      <c r="N33" s="62" t="n">
        <f aca="false">((('리그 투수'!E33/('리그 투수'!D33*3)+0.14))-(-1*((('리그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타자'!D33-'리그 타자'!F33+'리그 타자'!P33)))*(1/((((('리그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타자'!L33-'리그 타자'!N33+'리그 타자'!M33+'리그 타자'!F33))-(-1*((('리그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타자'!D33-'리그 타자'!F33+'리그 타자'!P33))))</f>
        <v>0.74012064905436</v>
      </c>
      <c r="O33" s="62" t="n">
        <f aca="false">(((('리그 투수'!E33/('리그 투수'!D33*3)+0.14))+0.025)-(-1*((('리그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타자'!D33-'리그 타자'!F33+'리그 타자'!P33)))*(1/((((('리그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타자'!L33-'리그 타자'!N33+'리그 타자'!M33+'리그 타자'!F33))-(-1*((('리그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타자'!D33-'리그 타자'!F33+'리그 타자'!P33))))</f>
        <v>0.772806558630033</v>
      </c>
      <c r="P33" s="62" t="n">
        <f aca="false">(((('리그 투수'!E33/('리그 투수'!D33*3)+0.14))+0.155)-(-1*((('리그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타자'!D33-'리그 타자'!F33+'리그 타자'!P33)))*(1/((((('리그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타자'!L33-'리그 타자'!N33+'리그 타자'!M33+'리그 타자'!F33))-(-1*((('리그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타자'!D33-'리그 타자'!F33+'리그 타자'!P33))))</f>
        <v>0.942773288423535</v>
      </c>
      <c r="Q33" s="62" t="n">
        <f aca="false">((((('리그 투수'!E33/('리그 투수'!D33*3)+0.14))+0.155)+0.3)-(-1*((('리그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타자'!D33-'리그 타자'!F33+'리그 타자'!P33)))*(1/((((('리그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타자'!L33-'리그 타자'!N33+'리그 타자'!M33+'리그 타자'!F33))-(-1*((('리그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타자'!D33-'리그 타자'!F33+'리그 타자'!P33))))</f>
        <v>1.33500420333162</v>
      </c>
      <c r="R33" s="62" t="n">
        <f aca="false">(((((('리그 투수'!E33/('리그 투수'!D33*3)+0.14))+0.155)+0.3)+0.27)-(-1*((('리그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타자'!D33-'리그 타자'!F33+'리그 타자'!P33)))*(1/((((('리그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타자'!L33-'리그 타자'!N33+'리그 타자'!M33+'리그 타자'!F33))-(-1*((('리그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타자'!D33-'리그 타자'!F33+'리그 타자'!P33))))</f>
        <v>1.68801202674889</v>
      </c>
      <c r="S33" s="62" t="n">
        <f aca="false">((1.4)-(-1*((('리그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타자'!D33-'리그 타자'!F33+'리그 타자'!P33)))*(1/((((('리그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타자'!L33-'리그 타자'!N33+'리그 타자'!M33+'리그 타자'!F33))-(-1*((('리그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타자'!D33-'리그 타자'!F33+'리그 타자'!P33))))</f>
        <v>2.17831592931863</v>
      </c>
      <c r="T33" s="62" t="n">
        <f aca="false">1/((((('리그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타자'!L33-'리그 타자'!N33+'리그 타자'!M33+'리그 타자'!F33))-(-1*((('리그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타자'!D33-'리그 타자'!F33+'리그 타자'!P33)))</f>
        <v>1.30743638302693</v>
      </c>
      <c r="U33" s="62" t="n">
        <f aca="false">1.5*('리그 투수'!R33+2)</f>
        <v>10.0283505154639</v>
      </c>
      <c r="V33" s="62" t="n">
        <f aca="false">((9*'리그 투수'!E33)-(Y33*'리그 투수'!K33)-(Z33*('리그 투수'!L33+'리그 투수'!M33-'리그 투수'!N33))-(AA33*'리그 투수'!O33))/'리그 투수'!D33</f>
        <v>3.74844388251313</v>
      </c>
      <c r="W33" s="62" t="n">
        <f aca="false">'리그 타자'!E33/'리그 타자'!C33</f>
        <v>0.119239079589246</v>
      </c>
      <c r="X33" s="99" t="n">
        <v>2013</v>
      </c>
      <c r="Y33" s="62" t="n">
        <v>12</v>
      </c>
      <c r="Z33" s="62" t="n">
        <v>3.2</v>
      </c>
      <c r="AA33" s="62" t="n">
        <v>-2.5</v>
      </c>
      <c r="AB33" s="62" t="n">
        <v>0.2</v>
      </c>
      <c r="AC33" s="62" t="n">
        <v>0.4</v>
      </c>
      <c r="AD33" s="62" t="n">
        <v>0.699</v>
      </c>
    </row>
    <row r="34" customFormat="false" ht="17.25" hidden="false" customHeight="false" outlineLevel="0" collapsed="false">
      <c r="A34" s="99" t="n">
        <v>2014</v>
      </c>
      <c r="B34" s="62" t="n">
        <v>0.895</v>
      </c>
      <c r="C34" s="62" t="n">
        <v>1.106</v>
      </c>
      <c r="D34" s="62" t="n">
        <v>1.007</v>
      </c>
      <c r="F34" s="62" t="n">
        <v>1.056</v>
      </c>
      <c r="G34" s="62" t="n">
        <v>1.062</v>
      </c>
      <c r="H34" s="62" t="n">
        <v>1.028</v>
      </c>
      <c r="I34" s="62" t="n">
        <v>1.081</v>
      </c>
      <c r="J34" s="62" t="n">
        <v>0.927</v>
      </c>
      <c r="L34" s="62" t="n">
        <v>1</v>
      </c>
      <c r="M34" s="99" t="n">
        <v>2014</v>
      </c>
      <c r="N34" s="62" t="n">
        <f aca="false">((('리그 투수'!E34/('리그 투수'!D34*3)+0.14))-(-1*((('리그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타자'!D34-'리그 타자'!F34+'리그 타자'!P34)))*(1/((((('리그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타자'!L34-'리그 타자'!N34+'리그 타자'!M34+'리그 타자'!F34))-(-1*((('리그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타자'!D34-'리그 타자'!F34+'리그 타자'!P34))))</f>
        <v>0.745190671226144</v>
      </c>
      <c r="O34" s="62" t="n">
        <f aca="false">(((('리그 투수'!E34/('리그 투수'!D34*3)+0.14))+0.025)-(-1*((('리그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타자'!D34-'리그 타자'!F34+'리그 타자'!P34)))*(1/((((('리그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타자'!L34-'리그 타자'!N34+'리그 타자'!M34+'리그 타자'!F34))-(-1*((('리그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타자'!D34-'리그 타자'!F34+'리그 타자'!P34))))</f>
        <v>0.773853050548523</v>
      </c>
      <c r="P34" s="62" t="n">
        <f aca="false">(((('리그 투수'!E34/('리그 투수'!D34*3)+0.14))+0.155)-(-1*((('리그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타자'!D34-'리그 타자'!F34+'리그 타자'!P34)))*(1/((((('리그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타자'!L34-'리그 타자'!N34+'리그 타자'!M34+'리그 타자'!F34))-(-1*((('리그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타자'!D34-'리그 타자'!F34+'리그 타자'!P34))))</f>
        <v>0.922897423024895</v>
      </c>
      <c r="Q34" s="62" t="n">
        <f aca="false">((((('리그 투수'!E34/('리그 투수'!D34*3)+0.14))+0.155)+0.3)-(-1*((('리그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타자'!D34-'리그 타자'!F34+'리그 타자'!P34)))*(1/((((('리그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타자'!L34-'리그 타자'!N34+'리그 타자'!M34+'리그 타자'!F34))-(-1*((('리그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타자'!D34-'리그 타자'!F34+'리그 타자'!P34))))</f>
        <v>1.26684597489345</v>
      </c>
      <c r="R34" s="62" t="n">
        <f aca="false">(((((('리그 투수'!E34/('리그 투수'!D34*3)+0.14))+0.155)+0.3)+0.27)-(-1*((('리그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타자'!D34-'리그 타자'!F34+'리그 타자'!P34)))*(1/((((('리그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타자'!L34-'리그 타자'!N34+'리그 타자'!M34+'리그 타자'!F34))-(-1*((('리그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타자'!D34-'리그 타자'!F34+'리그 타자'!P34))))</f>
        <v>1.57639967157514</v>
      </c>
      <c r="S34" s="62" t="n">
        <f aca="false">((1.4)-(-1*((('리그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타자'!D34-'리그 타자'!F34+'리그 타자'!P34)))*(1/((((('리그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타자'!L34-'리그 타자'!N34+'리그 타자'!M34+'리그 타자'!F34))-(-1*((('리그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타자'!D34-'리그 타자'!F34+'리그 타자'!P34))))</f>
        <v>1.96837310734923</v>
      </c>
      <c r="T34" s="62" t="n">
        <f aca="false">1/((((('리그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타자'!L34-'리그 타자'!N34+'리그 타자'!M34+'리그 타자'!F34))-(-1*((('리그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타자'!D34-'리그 타자'!F34+'리그 타자'!P34)))</f>
        <v>1.14649517289517</v>
      </c>
      <c r="U34" s="62" t="n">
        <f aca="false">1.5*('리그 투수'!R34+2)</f>
        <v>11.580070650574</v>
      </c>
      <c r="V34" s="62" t="n">
        <f aca="false">((9*'리그 투수'!E34)-(Y34*'리그 투수'!K34)-(Z34*('리그 투수'!L34+'리그 투수'!M34-'리그 투수'!N34))-(AA34*'리그 투수'!O34))/'리그 투수'!D34</f>
        <v>4.19681091158866</v>
      </c>
      <c r="W34" s="62" t="n">
        <f aca="false">'리그 타자'!E34/'리그 타자'!C34</f>
        <v>0.14125575207729</v>
      </c>
      <c r="X34" s="99" t="n">
        <v>2014</v>
      </c>
      <c r="Y34" s="62" t="n">
        <v>12</v>
      </c>
      <c r="Z34" s="62" t="n">
        <v>3.2</v>
      </c>
      <c r="AA34" s="62" t="n">
        <v>-2.5</v>
      </c>
      <c r="AB34" s="62" t="n">
        <v>0.2</v>
      </c>
      <c r="AC34" s="62" t="n">
        <v>0.4</v>
      </c>
      <c r="AD34" s="62" t="n">
        <v>0.696</v>
      </c>
    </row>
    <row r="35" customFormat="false" ht="17.25" hidden="false" customHeight="false" outlineLevel="0" collapsed="false">
      <c r="A35" s="99" t="n">
        <v>2015</v>
      </c>
      <c r="B35" s="62" t="n">
        <v>0.887</v>
      </c>
      <c r="C35" s="102" t="n">
        <v>1.081</v>
      </c>
      <c r="D35" s="62" t="n">
        <v>1.002</v>
      </c>
      <c r="E35" s="62" t="n">
        <v>1.067</v>
      </c>
      <c r="F35" s="62" t="n">
        <v>1.039</v>
      </c>
      <c r="G35" s="62" t="n">
        <v>1.023</v>
      </c>
      <c r="H35" s="102" t="n">
        <v>1.018</v>
      </c>
      <c r="I35" s="62" t="n">
        <v>1.077</v>
      </c>
      <c r="J35" s="62" t="n">
        <v>0.935</v>
      </c>
      <c r="L35" s="62" t="n">
        <v>1</v>
      </c>
      <c r="M35" s="99" t="n">
        <v>2015</v>
      </c>
      <c r="N35" s="62" t="n">
        <f aca="false">((('리그 투수'!E35/('리그 투수'!D35*3)+0.14))-(-1*((('리그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타자'!D35-'리그 타자'!F35+'리그 타자'!P35)))*(1/((((('리그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타자'!L35-'리그 타자'!N35+'리그 타자'!M35+'리그 타자'!F35))-(-1*((('리그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타자'!D35-'리그 타자'!F35+'리그 타자'!P35))))</f>
        <v>0.734224893316531</v>
      </c>
      <c r="O35" s="62" t="n">
        <f aca="false">(((('리그 투수'!E35/('리그 투수'!D35*3)+0.14))+0.025)-(-1*((('리그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타자'!D35-'리그 타자'!F35+'리그 타자'!P35)))*(1/((((('리그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타자'!L35-'리그 타자'!N35+'리그 타자'!M35+'리그 타자'!F35))-(-1*((('리그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타자'!D35-'리그 타자'!F35+'리그 타자'!P35))))</f>
        <v>0.763879212366642</v>
      </c>
      <c r="P35" s="62" t="n">
        <f aca="false">(((('리그 투수'!E35/('리그 투수'!D35*3)+0.14))+0.155)-(-1*((('리그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타자'!D35-'리그 타자'!F35+'리그 타자'!P35)))*(1/((((('리그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타자'!L35-'리그 타자'!N35+'리그 타자'!M35+'리그 타자'!F35))-(-1*((('리그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타자'!D35-'리그 타자'!F35+'리그 타자'!P35))))</f>
        <v>0.918081671427215</v>
      </c>
      <c r="Q35" s="62" t="n">
        <f aca="false">((((('리그 투수'!E35/('리그 투수'!D35*3)+0.14))+0.155)+0.3)-(-1*((('리그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타자'!D35-'리그 타자'!F35+'리그 타자'!P35)))*(1/((((('리그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타자'!L35-'리그 타자'!N35+'리그 타자'!M35+'리그 타자'!F35))-(-1*((('리그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타자'!D35-'리그 타자'!F35+'리그 타자'!P35))))</f>
        <v>1.27393350002854</v>
      </c>
      <c r="R35" s="62" t="n">
        <f aca="false">(((((('리그 투수'!E35/('리그 투수'!D35*3)+0.14))+0.155)+0.3)+0.27)-(-1*((('리그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타자'!D35-'리그 타자'!F35+'리그 타자'!P35)))*(1/((((('리그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타자'!L35-'리그 타자'!N35+'리그 타자'!M35+'리그 타자'!F35))-(-1*((('리그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타자'!D35-'리그 타자'!F35+'리그 타자'!P35))))</f>
        <v>1.59420014576973</v>
      </c>
      <c r="S35" s="62" t="n">
        <f aca="false">((1.4)-(-1*((('리그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타자'!D35-'리그 타자'!F35+'리그 타자'!P35)))*(1/((((('리그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타자'!L35-'리그 타자'!N35+'리그 타자'!M35+'리그 타자'!F35))-(-1*((('리그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타자'!D35-'리그 타자'!F35+'리그 타자'!P35))))</f>
        <v>2.01468359481996</v>
      </c>
      <c r="T35" s="62" t="n">
        <f aca="false">1/((((('리그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타자'!L35-'리그 타자'!N35+'리그 타자'!M35+'리그 타자'!F35))-(-1*((('리그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타자'!D35-'리그 타자'!F35+'리그 타자'!P35)))</f>
        <v>1.18617276200441</v>
      </c>
      <c r="U35" s="62" t="n">
        <f aca="false">1.5*('리그 투수'!R35+2)</f>
        <v>11.0212444282251</v>
      </c>
      <c r="V35" s="62" t="n">
        <f aca="false">((9*'리그 투수'!E35)-(Y35*'리그 투수'!K35)-(Z35*('리그 투수'!L35+'리그 투수'!M35-'리그 투수'!N35))-(AA35*'리그 투수'!O35))/'리그 투수'!D35</f>
        <v>4.03910278132576</v>
      </c>
      <c r="W35" s="62" t="n">
        <f aca="false">'리그 타자'!E35/'리그 타자'!C35</f>
        <v>0.133904338937648</v>
      </c>
      <c r="X35" s="99" t="n">
        <v>2015</v>
      </c>
      <c r="Y35" s="62" t="n">
        <v>12</v>
      </c>
      <c r="Z35" s="62" t="n">
        <v>3.2</v>
      </c>
      <c r="AA35" s="62" t="n">
        <v>-2.5</v>
      </c>
      <c r="AB35" s="62" t="n">
        <v>0.2</v>
      </c>
      <c r="AC35" s="62" t="n">
        <v>0.4</v>
      </c>
      <c r="AD35" s="62" t="n">
        <v>0.659</v>
      </c>
      <c r="AG35" s="62" t="n">
        <v>12.7</v>
      </c>
      <c r="AH35" s="62" t="n">
        <v>9.3</v>
      </c>
      <c r="AI35" s="62" t="n">
        <v>2.5</v>
      </c>
    </row>
    <row r="36" customFormat="false" ht="17.25" hidden="false" customHeight="false" outlineLevel="0" collapsed="false">
      <c r="A36" s="99" t="n">
        <v>2016</v>
      </c>
      <c r="B36" s="62" t="n">
        <v>0.889</v>
      </c>
      <c r="C36" s="62" t="n">
        <v>1.026</v>
      </c>
      <c r="D36" s="62" t="n">
        <v>1.023</v>
      </c>
      <c r="E36" s="62" t="n">
        <v>1.061</v>
      </c>
      <c r="F36" s="62" t="n">
        <v>1.026</v>
      </c>
      <c r="G36" s="62" t="n">
        <v>0.985</v>
      </c>
      <c r="H36" s="62" t="n">
        <v>1.083</v>
      </c>
      <c r="I36" s="62" t="n">
        <v>1.071</v>
      </c>
      <c r="J36" s="62" t="n">
        <v>0.947</v>
      </c>
      <c r="L36" s="62" t="n">
        <v>1</v>
      </c>
      <c r="M36" s="99" t="n">
        <v>2016</v>
      </c>
      <c r="N36" s="62" t="n">
        <f aca="false">((('리그 투수'!E36/('리그 투수'!D36*3)+0.14))-(-1*((('리그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타자'!D36-'리그 타자'!F36+'리그 타자'!P36)))*(1/((((('리그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타자'!L36-'리그 타자'!N36+'리그 타자'!M36+'리그 타자'!F36))-(-1*((('리그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타자'!D36-'리그 타자'!F36+'리그 타자'!P36))))</f>
        <v>0.746119335834544</v>
      </c>
      <c r="O36" s="62" t="n">
        <f aca="false">(((('리그 투수'!E36/('리그 투수'!D36*3)+0.14))+0.025)-(-1*((('리그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타자'!D36-'리그 타자'!F36+'리그 타자'!P36)))*(1/((((('리그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타자'!L36-'리그 타자'!N36+'리그 타자'!M36+'리그 타자'!F36))-(-1*((('리그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타자'!D36-'리그 타자'!F36+'리그 타자'!P36))))</f>
        <v>0.775056086879779</v>
      </c>
      <c r="P36" s="62" t="n">
        <f aca="false">(((('리그 투수'!E36/('리그 투수'!D36*3)+0.14))+0.155)-(-1*((('리그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타자'!D36-'리그 타자'!F36+'리그 타자'!P36)))*(1/((((('리그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타자'!L36-'리그 타자'!N36+'리그 타자'!M36+'리그 타자'!F36))-(-1*((('리그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타자'!D36-'리그 타자'!F36+'리그 타자'!P36))))</f>
        <v>0.925527192315004</v>
      </c>
      <c r="Q36" s="62" t="n">
        <f aca="false">((((('리그 투수'!E36/('리그 투수'!D36*3)+0.14))+0.155)+0.3)-(-1*((('리그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타자'!D36-'리그 타자'!F36+'리그 타자'!P36)))*(1/((((('리그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타자'!L36-'리그 타자'!N36+'리그 타자'!M36+'리그 타자'!F36))-(-1*((('리그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타자'!D36-'리그 타자'!F36+'리그 타자'!P36))))</f>
        <v>1.27276820485783</v>
      </c>
      <c r="R36" s="62" t="n">
        <f aca="false">(((((('리그 투수'!E36/('리그 투수'!D36*3)+0.14))+0.155)+0.3)+0.27)-(-1*((('리그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타자'!D36-'리그 타자'!F36+'리그 타자'!P36)))*(1/((((('리그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타자'!L36-'리그 타자'!N36+'리그 타자'!M36+'리그 타자'!F36))-(-1*((('리그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타자'!D36-'리그 타자'!F36+'리그 타자'!P36))))</f>
        <v>1.58528511614637</v>
      </c>
      <c r="S36" s="62" t="n">
        <f aca="false">((1.4)-(-1*((('리그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타자'!D36-'리그 타자'!F36+'리그 타자'!P36)))*(1/((((('리그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타자'!L36-'리그 타자'!N36+'리그 타자'!M36+'리그 타자'!F36))-(-1*((('리그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타자'!D36-'리그 타자'!F36+'리그 타자'!P36))))</f>
        <v>1.98288326092671</v>
      </c>
      <c r="T36" s="62" t="n">
        <f aca="false">1/((((('리그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타자'!L36-'리그 타자'!N36+'리그 타자'!M36+'리그 타자'!F36))-(-1*((('리그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타자'!D36-'리그 타자'!F36+'리그 타자'!P36)))</f>
        <v>1.15747004180942</v>
      </c>
      <c r="U36" s="62" t="n">
        <f aca="false">1.5*('리그 투수'!R36+2)</f>
        <v>11.511335537104</v>
      </c>
      <c r="V36" s="62" t="n">
        <f aca="false">((9*'리그 투수'!E36)-(Y36*'리그 투수'!K36)-(Z36*('리그 투수'!L36+'리그 투수'!M36-'리그 투수'!N36))-(AA36*'리그 투수'!O36))/'리그 투수'!D36</f>
        <v>4.17519196231032</v>
      </c>
      <c r="W36" s="62" t="n">
        <f aca="false">'리그 타자'!E36/'리그 타자'!C36</f>
        <v>0.140139549415073</v>
      </c>
      <c r="X36" s="99" t="n">
        <v>2016</v>
      </c>
      <c r="Y36" s="62" t="n">
        <v>12</v>
      </c>
      <c r="Z36" s="62" t="n">
        <v>3.2</v>
      </c>
      <c r="AA36" s="62" t="n">
        <v>-2.5</v>
      </c>
      <c r="AB36" s="62" t="n">
        <v>0.2</v>
      </c>
      <c r="AC36" s="62" t="n">
        <v>0.4</v>
      </c>
      <c r="AD36" s="62" t="n">
        <v>0.657</v>
      </c>
      <c r="AG36" s="62" t="n">
        <v>12.7</v>
      </c>
      <c r="AH36" s="62" t="n">
        <v>9.3</v>
      </c>
      <c r="AI36" s="62" t="n">
        <v>2.5</v>
      </c>
    </row>
    <row r="37" customFormat="false" ht="17.25" hidden="false" customHeight="false" outlineLevel="0" collapsed="false">
      <c r="A37" s="99" t="n">
        <v>2017</v>
      </c>
      <c r="B37" s="62" t="n">
        <v>0.891</v>
      </c>
      <c r="C37" s="62" t="n">
        <v>0.988</v>
      </c>
      <c r="D37" s="62" t="n">
        <v>1.04</v>
      </c>
      <c r="E37" s="62" t="n">
        <v>1.053</v>
      </c>
      <c r="F37" s="62" t="n">
        <v>1.001</v>
      </c>
      <c r="G37" s="62" t="n">
        <v>0.969</v>
      </c>
      <c r="H37" s="62" t="n">
        <v>1.081</v>
      </c>
      <c r="I37" s="62" t="n">
        <v>1.076</v>
      </c>
      <c r="J37" s="62" t="n">
        <v>0.956</v>
      </c>
      <c r="L37" s="62" t="n">
        <v>1</v>
      </c>
      <c r="M37" s="99" t="n">
        <v>2017</v>
      </c>
      <c r="N37" s="62" t="n">
        <f aca="false">((('리그 투수'!E37/('리그 투수'!D37*3)+0.14))-(-1*((('리그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타자'!D37-'리그 타자'!F37+'리그 타자'!P37)))*(1/((((('리그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타자'!L37-'리그 타자'!N37+'리그 타자'!M37+'리그 타자'!F37))-(-1*((('리그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타자'!D37-'리그 타자'!F37+'리그 타자'!P37))))</f>
        <v>0.72872208544942</v>
      </c>
      <c r="O37" s="62" t="n">
        <f aca="false">(((('리그 투수'!E37/('리그 투수'!D37*3)+0.14))+0.025)-(-1*((('리그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타자'!D37-'리그 타자'!F37+'리그 타자'!P37)))*(1/((((('리그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타자'!L37-'리그 타자'!N37+'리그 타자'!M37+'리그 타자'!F37))-(-1*((('리그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타자'!D37-'리그 타자'!F37+'리그 타자'!P37))))</f>
        <v>0.757870235838632</v>
      </c>
      <c r="P37" s="62" t="n">
        <f aca="false">(((('리그 투수'!E37/('리그 투수'!D37*3)+0.14))+0.155)-(-1*((('리그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타자'!D37-'리그 타자'!F37+'리그 타자'!P37)))*(1/((((('리그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타자'!L37-'리그 타자'!N37+'리그 타자'!M37+'리그 타자'!F37))-(-1*((('리그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타자'!D37-'리그 타자'!F37+'리그 타자'!P37))))</f>
        <v>0.909440617862534</v>
      </c>
      <c r="Q37" s="62" t="n">
        <f aca="false">((((('리그 투수'!E37/('리그 투수'!D37*3)+0.14))+0.155)+0.3)-(-1*((('리그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타자'!D37-'리그 타자'!F37+'리그 타자'!P37)))*(1/((((('리그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타자'!L37-'리그 타자'!N37+'리그 타자'!M37+'리그 타자'!F37))-(-1*((('리그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타자'!D37-'리그 타자'!F37+'리그 타자'!P37))))</f>
        <v>1.25921842253308</v>
      </c>
      <c r="R37" s="62" t="n">
        <f aca="false">(((((('리그 투수'!E37/('리그 투수'!D37*3)+0.14))+0.155)+0.3)+0.27)-(-1*((('리그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타자'!D37-'리그 타자'!F37+'리그 타자'!P37)))*(1/((((('리그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타자'!L37-'리그 타자'!N37+'리그 타자'!M37+'리그 타자'!F37))-(-1*((('리그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타자'!D37-'리그 타자'!F37+'리그 타자'!P37))))</f>
        <v>1.57401844673657</v>
      </c>
      <c r="S37" s="62" t="n">
        <f aca="false">((1.4)-(-1*((('리그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타자'!D37-'리그 타자'!F37+'리그 타자'!P37)))*(1/((((('리그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타자'!L37-'리그 타자'!N37+'리그 타자'!M37+'리그 타자'!F37))-(-1*((('리그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타자'!D37-'리그 타자'!F37+'리그 타자'!P37))))</f>
        <v>1.98323147608073</v>
      </c>
      <c r="T37" s="62" t="n">
        <f aca="false">1/((((('리그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타자'!L37-'리그 타자'!N37+'리그 타자'!M37+'리그 타자'!F37))-(-1*((('리그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타자'!D37-'리그 타자'!F37+'리그 타자'!P37)))</f>
        <v>1.16592601556848</v>
      </c>
      <c r="U37" s="62" t="n">
        <f aca="false">1.5*('리그 투수'!R37+2)</f>
        <v>11.1141538220796</v>
      </c>
      <c r="V37" s="62" t="n">
        <f aca="false">((9*'리그 투수'!E37)-(Y37*'리그 투수'!K37)-(Z37*('리그 투수'!L37+'리그 투수'!M37-'리그 투수'!N37))-(AA37*'리그 투수'!O37))/'리그 투수'!D37</f>
        <v>4.1499804397152</v>
      </c>
      <c r="W37" s="62" t="n">
        <f aca="false">'리그 타자'!E37/'리그 타자'!C37</f>
        <v>0.135051510143806</v>
      </c>
      <c r="X37" s="99" t="n">
        <v>2017</v>
      </c>
      <c r="Y37" s="62" t="n">
        <v>12</v>
      </c>
      <c r="Z37" s="62" t="n">
        <v>3.2</v>
      </c>
      <c r="AA37" s="62" t="n">
        <v>-2.5</v>
      </c>
      <c r="AB37" s="62" t="n">
        <v>0.2</v>
      </c>
      <c r="AC37" s="62" t="n">
        <v>0.4</v>
      </c>
      <c r="AD37" s="62" t="n">
        <v>0.694</v>
      </c>
      <c r="AG37" s="62" t="n">
        <v>12.7</v>
      </c>
      <c r="AH37" s="62" t="n">
        <v>9.3</v>
      </c>
      <c r="AI37" s="62" t="n">
        <v>2.5</v>
      </c>
    </row>
    <row r="38" customFormat="false" ht="17.25" hidden="false" customHeight="false" outlineLevel="0" collapsed="false">
      <c r="A38" s="99" t="n">
        <v>2018</v>
      </c>
      <c r="B38" s="62" t="n">
        <v>0.887</v>
      </c>
      <c r="C38" s="62" t="n">
        <v>0.96</v>
      </c>
      <c r="D38" s="62" t="n">
        <v>1.066</v>
      </c>
      <c r="E38" s="62" t="n">
        <v>1.034</v>
      </c>
      <c r="F38" s="62" t="n">
        <v>0.996</v>
      </c>
      <c r="G38" s="62" t="n">
        <v>0.986</v>
      </c>
      <c r="H38" s="62" t="n">
        <v>1.082</v>
      </c>
      <c r="I38" s="62" t="n">
        <v>1.072</v>
      </c>
      <c r="J38" s="102" t="n">
        <v>1.002</v>
      </c>
      <c r="L38" s="62" t="n">
        <v>1</v>
      </c>
      <c r="M38" s="99" t="n">
        <v>2018</v>
      </c>
      <c r="N38" s="62" t="n">
        <f aca="false">((('리그 투수'!E38/('리그 투수'!D38*3)+0.14))-(-1*((('리그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타자'!D38-'리그 타자'!F38+'리그 타자'!P38)))*(1/((((('리그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타자'!L38-'리그 타자'!N38+'리그 타자'!M38+'리그 타자'!F38))-(-1*((('리그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타자'!D38-'리그 타자'!F38+'리그 타자'!P38))))</f>
        <v>0.726794471314842</v>
      </c>
      <c r="O38" s="62" t="n">
        <f aca="false">(((('리그 투수'!E38/('리그 투수'!D38*3)+0.14))+0.025)-(-1*((('리그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타자'!D38-'리그 타자'!F38+'리그 타자'!P38)))*(1/((((('리그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타자'!L38-'리그 타자'!N38+'리그 타자'!M38+'리그 타자'!F38))-(-1*((('리그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타자'!D38-'리그 타자'!F38+'리그 타자'!P38))))</f>
        <v>0.755127560960582</v>
      </c>
      <c r="P38" s="62" t="n">
        <f aca="false">(((('리그 투수'!E38/('리그 투수'!D38*3)+0.14))+0.155)-(-1*((('리그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타자'!D38-'리그 타자'!F38+'리그 타자'!P38)))*(1/((((('리그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타자'!L38-'리그 타자'!N38+'리그 타자'!M38+'리그 타자'!F38))-(-1*((('리그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타자'!D38-'리그 타자'!F38+'리그 타자'!P38))))</f>
        <v>0.902459627118431</v>
      </c>
      <c r="Q38" s="62" t="n">
        <f aca="false">((((('리그 투수'!E38/('리그 투수'!D38*3)+0.14))+0.155)+0.3)-(-1*((('리그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타자'!D38-'리그 타자'!F38+'리그 타자'!P38)))*(1/((((('리그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타자'!L38-'리그 타자'!N38+'리그 타자'!M38+'리그 타자'!F38))-(-1*((('리그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타자'!D38-'리그 타자'!F38+'리그 타자'!P38))))</f>
        <v>1.24245670286731</v>
      </c>
      <c r="R38" s="62" t="n">
        <f aca="false">(((((('리그 투수'!E38/('리그 투수'!D38*3)+0.14))+0.155)+0.3)+0.27)-(-1*((('리그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타자'!D38-'리그 타자'!F38+'리그 타자'!P38)))*(1/((((('리그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타자'!L38-'리그 타자'!N38+'리그 타자'!M38+'리그 타자'!F38))-(-1*((('리그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타자'!D38-'리그 타자'!F38+'리그 타자'!P38))))</f>
        <v>1.54845407104131</v>
      </c>
      <c r="S38" s="62" t="n">
        <f aca="false">((1.4)-(-1*((('리그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타자'!D38-'리그 타자'!F38+'리그 타자'!P38)))*(1/((((('리그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타자'!L38-'리그 타자'!N38+'리그 타자'!M38+'리그 타자'!F38))-(-1*((('리그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타자'!D38-'리그 타자'!F38+'리그 타자'!P38))))</f>
        <v>1.93766392873552</v>
      </c>
      <c r="T38" s="62" t="n">
        <f aca="false">1/((((('리그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타자'!L38-'리그 타자'!N38+'리그 타자'!M38+'리그 타자'!F38))-(-1*((('리그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타자'!D38-'리그 타자'!F38+'리그 타자'!P38)))</f>
        <v>1.13332358582961</v>
      </c>
      <c r="U38" s="62" t="n">
        <f aca="false">1.5*('리그 투수'!R38+2)</f>
        <v>11.4536268212439</v>
      </c>
      <c r="V38" s="62" t="n">
        <f aca="false">((9*'리그 투수'!E38)-(Y38*'리그 투수'!K38)-(Z38*('리그 투수'!L38+'리그 투수'!M38-'리그 투수'!N38))-(AA38*'리그 투수'!O38))/'리그 투수'!D38</f>
        <v>4.28345605514648</v>
      </c>
      <c r="W38" s="62" t="n">
        <f aca="false">'리그 타자'!E38/'리그 타자'!C38</f>
        <v>0.140484684463034</v>
      </c>
      <c r="X38" s="99" t="n">
        <v>2018</v>
      </c>
      <c r="Y38" s="62" t="n">
        <v>12</v>
      </c>
      <c r="Z38" s="62" t="n">
        <v>3.2</v>
      </c>
      <c r="AA38" s="62" t="n">
        <v>-2.5</v>
      </c>
      <c r="AB38" s="62" t="n">
        <v>0.2</v>
      </c>
      <c r="AC38" s="62" t="n">
        <v>0.4</v>
      </c>
      <c r="AD38" s="62" t="n">
        <v>0.701</v>
      </c>
      <c r="AG38" s="62" t="n">
        <v>12.7</v>
      </c>
      <c r="AH38" s="62" t="n">
        <v>9.3</v>
      </c>
      <c r="AI38" s="62" t="n">
        <v>2.5</v>
      </c>
    </row>
    <row r="39" customFormat="false" ht="17.25" hidden="false" customHeight="false" outlineLevel="0" collapsed="false">
      <c r="A39" s="99" t="n">
        <v>2019</v>
      </c>
      <c r="B39" s="62" t="n">
        <v>0.891</v>
      </c>
      <c r="C39" s="62" t="n">
        <v>0.939</v>
      </c>
      <c r="D39" s="62" t="n">
        <v>1.057</v>
      </c>
      <c r="E39" s="62" t="n">
        <v>1.006</v>
      </c>
      <c r="F39" s="62" t="n">
        <v>0.954</v>
      </c>
      <c r="G39" s="62" t="n">
        <v>1.013</v>
      </c>
      <c r="H39" s="62" t="n">
        <v>1.084</v>
      </c>
      <c r="I39" s="62" t="n">
        <v>1.073</v>
      </c>
      <c r="J39" s="62" t="n">
        <v>1.066</v>
      </c>
      <c r="L39" s="62" t="n">
        <v>1</v>
      </c>
      <c r="M39" s="99" t="n">
        <v>2019</v>
      </c>
      <c r="N39" s="62" t="n">
        <f aca="false">((('리그 투수'!E39/('리그 투수'!D39*3)+0.14))-(-1*((('리그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타자'!D39-'리그 타자'!F39+'리그 타자'!P39)))*(1/((((('리그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타자'!L39-'리그 타자'!N39+'리그 타자'!M39+'리그 타자'!F39))-(-1*((('리그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타자'!D39-'리그 타자'!F39+'리그 타자'!P39))))</f>
        <v>0.724924524766757</v>
      </c>
      <c r="O39" s="62" t="n">
        <f aca="false">(((('리그 투수'!E39/('리그 투수'!D39*3)+0.14))+0.025)-(-1*((('리그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타자'!D39-'리그 타자'!F39+'리그 타자'!P39)))*(1/((((('리그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타자'!L39-'리그 타자'!N39+'리그 타자'!M39+'리그 타자'!F39))-(-1*((('리그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타자'!D39-'리그 타자'!F39+'리그 타자'!P39))))</f>
        <v>0.758022527374757</v>
      </c>
      <c r="P39" s="62" t="n">
        <f aca="false">(((('리그 투수'!E39/('리그 투수'!D39*3)+0.14))+0.155)-(-1*((('리그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타자'!D39-'리그 타자'!F39+'리그 타자'!P39)))*(1/((((('리그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타자'!L39-'리그 타자'!N39+'리그 타자'!M39+'리그 타자'!F39))-(-1*((('리그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타자'!D39-'리그 타자'!F39+'리그 타자'!P39))))</f>
        <v>0.93013214093636</v>
      </c>
      <c r="Q39" s="62" t="n">
        <f aca="false">((((('리그 투수'!E39/('리그 투수'!D39*3)+0.14))+0.155)+0.3)-(-1*((('리그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타자'!D39-'리그 타자'!F39+'리그 타자'!P39)))*(1/((((('리그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타자'!L39-'리그 타자'!N39+'리그 타자'!M39+'리그 타자'!F39))-(-1*((('리그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타자'!D39-'리그 타자'!F39+'리그 타자'!P39))))</f>
        <v>1.32730817223237</v>
      </c>
      <c r="R39" s="62" t="n">
        <f aca="false">(((((('리그 투수'!E39/('리그 투수'!D39*3)+0.14))+0.155)+0.3)+0.27)-(-1*((('리그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타자'!D39-'리그 타자'!F39+'리그 타자'!P39)))*(1/((((('리그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타자'!L39-'리그 타자'!N39+'리그 타자'!M39+'리그 타자'!F39))-(-1*((('리그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타자'!D39-'리그 타자'!F39+'리그 타자'!P39))))</f>
        <v>1.68476660039877</v>
      </c>
      <c r="S39" s="62" t="n">
        <f aca="false">((1.4)-(-1*((('리그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타자'!D39-'리그 타자'!F39+'리그 타자'!P39)))*(1/((((('리그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타자'!L39-'리그 타자'!N39+'리그 타자'!M39+'리그 타자'!F39))-(-1*((('리그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타자'!D39-'리그 타자'!F39+'리그 타자'!P39))))</f>
        <v>2.18882597283799</v>
      </c>
      <c r="T39" s="62" t="n">
        <f aca="false">1/((((('리그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타자'!L39-'리그 타자'!N39+'리그 타자'!M39+'리그 타자'!F39))-(-1*((('리그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타자'!D39-'리그 타자'!F39+'리그 타자'!P39)))</f>
        <v>1.32392010432002</v>
      </c>
      <c r="U39" s="62" t="n">
        <f aca="false">1.5*('리그 투수'!R39+2)</f>
        <v>9.91762312186978</v>
      </c>
      <c r="V39" s="62" t="n">
        <f aca="false">((9*'리그 투수'!E39)-(Y39*'리그 투수'!K39)-(Z39*('리그 투수'!L39+'리그 투수'!M39-'리그 투수'!N39))-(AA39*'리그 투수'!O39))/'리그 투수'!D39</f>
        <v>3.75969584724541</v>
      </c>
      <c r="W39" s="62" t="n">
        <f aca="false">'리그 타자'!E39/'리그 타자'!C39</f>
        <v>0.117712621568663</v>
      </c>
      <c r="X39" s="99" t="n">
        <v>2019</v>
      </c>
      <c r="Y39" s="62" t="n">
        <v>12</v>
      </c>
      <c r="Z39" s="62" t="n">
        <v>3.2</v>
      </c>
      <c r="AA39" s="62" t="n">
        <v>-2.5</v>
      </c>
      <c r="AB39" s="62" t="n">
        <v>0.2</v>
      </c>
      <c r="AC39" s="62" t="n">
        <v>0.4</v>
      </c>
      <c r="AD39" s="62" t="n">
        <v>0.701</v>
      </c>
      <c r="AG39" s="62" t="n">
        <v>12.7</v>
      </c>
      <c r="AH39" s="62" t="n">
        <v>9.3</v>
      </c>
      <c r="AI39" s="62" t="n">
        <v>2.5</v>
      </c>
    </row>
    <row r="40" customFormat="false" ht="17.25" hidden="false" customHeight="false" outlineLevel="0" collapsed="false">
      <c r="A40" s="99" t="n">
        <v>2020</v>
      </c>
      <c r="B40" s="62" t="n">
        <v>0.889</v>
      </c>
      <c r="C40" s="62" t="n">
        <v>0.928</v>
      </c>
      <c r="D40" s="62" t="n">
        <v>1.063</v>
      </c>
      <c r="E40" s="62" t="n">
        <v>1.027</v>
      </c>
      <c r="F40" s="62" t="n">
        <v>0.949</v>
      </c>
      <c r="G40" s="62" t="n">
        <v>1.017</v>
      </c>
      <c r="H40" s="62" t="n">
        <v>1.081</v>
      </c>
      <c r="I40" s="62" t="n">
        <v>1.082</v>
      </c>
      <c r="J40" s="62" t="n">
        <v>1.069</v>
      </c>
      <c r="L40" s="62" t="n">
        <v>1</v>
      </c>
      <c r="M40" s="99" t="n">
        <v>2020</v>
      </c>
      <c r="N40" s="62" t="n">
        <f aca="false">((('리그 투수'!E40/('리그 투수'!D40*3)+0.14))-(-1*((('리그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타자'!D40-'리그 타자'!F40+'리그 타자'!P40)))*(1/((((('리그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타자'!L40-'리그 타자'!N40+'리그 타자'!M40+'리그 타자'!F40))-(-1*((('리그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타자'!D40-'리그 타자'!F40+'리그 타자'!P40))))</f>
        <v>0.735135592315139</v>
      </c>
      <c r="O40" s="62" t="n">
        <f aca="false">(((('리그 투수'!E40/('리그 투수'!D40*3)+0.14))+0.025)-(-1*((('리그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타자'!D40-'리그 타자'!F40+'리그 타자'!P40)))*(1/((((('리그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타자'!L40-'리그 타자'!N40+'리그 타자'!M40+'리그 타자'!F40))-(-1*((('리그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타자'!D40-'리그 타자'!F40+'리그 타자'!P40))))</f>
        <v>0.76584918191531</v>
      </c>
      <c r="P40" s="62" t="n">
        <f aca="false">(((('리그 투수'!E40/('리그 투수'!D40*3)+0.14))+0.155)-(-1*((('리그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타자'!D40-'리그 타자'!F40+'리그 타자'!P40)))*(1/((((('리그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타자'!L40-'리그 타자'!N40+'리그 타자'!M40+'리그 타자'!F40))-(-1*((('리그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타자'!D40-'리그 타자'!F40+'리그 타자'!P40))))</f>
        <v>0.925559847836196</v>
      </c>
      <c r="Q40" s="62" t="n">
        <f aca="false">((((('리그 투수'!E40/('리그 투수'!D40*3)+0.14))+0.155)+0.3)-(-1*((('리그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타자'!D40-'리그 타자'!F40+'리그 타자'!P40)))*(1/((((('리그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타자'!L40-'리그 타자'!N40+'리그 타자'!M40+'리그 타자'!F40))-(-1*((('리그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타자'!D40-'리그 타자'!F40+'리그 타자'!P40))))</f>
        <v>1.29412292303824</v>
      </c>
      <c r="R40" s="62" t="n">
        <f aca="false">(((((('리그 투수'!E40/('리그 투수'!D40*3)+0.14))+0.155)+0.3)+0.27)-(-1*((('리그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타자'!D40-'리그 타자'!F40+'리그 타자'!P40)))*(1/((((('리그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타자'!L40-'리그 타자'!N40+'리그 타자'!M40+'리그 타자'!F40))-(-1*((('리그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타자'!D40-'리그 타자'!F40+'리그 타자'!P40))))</f>
        <v>1.62582969072008</v>
      </c>
      <c r="S40" s="62" t="n">
        <f aca="false">((1.4)-(-1*((('리그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타자'!D40-'리그 타자'!F40+'리그 타자'!P40)))*(1/((((('리그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타자'!L40-'리그 타자'!N40+'리그 타자'!M40+'리그 타자'!F40))-(-1*((('리그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타자'!D40-'리그 타자'!F40+'리그 타자'!P40))))</f>
        <v>2.06668292927707</v>
      </c>
      <c r="T40" s="62" t="n">
        <f aca="false">1/((((('리그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타자'!L40-'리그 타자'!N40+'리그 타자'!M40+'리그 타자'!F40))-(-1*((('리그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타자'!D40-'리그 타자'!F40+'리그 타자'!P40)))</f>
        <v>1.22854358400682</v>
      </c>
      <c r="U40" s="62" t="n">
        <f aca="false">1.5*('리그 투수'!R40+2)</f>
        <v>10.8489926763794</v>
      </c>
      <c r="V40" s="62" t="n">
        <f aca="false">((9*'리그 투수'!E40)-(Y40*'리그 투수'!K40)-(Z40*('리그 투수'!L40+'리그 투수'!M40-'리그 투수'!N40))-(AA40*'리그 투수'!O40))/'리그 투수'!D40</f>
        <v>3.93584143449139</v>
      </c>
      <c r="W40" s="62" t="n">
        <f aca="false">'리그 타자'!E40/'리그 타자'!C40</f>
        <v>0.131278357431633</v>
      </c>
      <c r="X40" s="99" t="n">
        <v>2020</v>
      </c>
      <c r="Y40" s="62" t="n">
        <v>12</v>
      </c>
      <c r="Z40" s="62" t="n">
        <v>3.2</v>
      </c>
      <c r="AA40" s="62" t="n">
        <v>-2.5</v>
      </c>
      <c r="AB40" s="62" t="n">
        <v>0.2</v>
      </c>
      <c r="AC40" s="62" t="n">
        <v>0.4</v>
      </c>
      <c r="AD40" s="62" t="n">
        <v>0.703</v>
      </c>
      <c r="AG40" s="62" t="n">
        <v>12.7</v>
      </c>
      <c r="AH40" s="62" t="n">
        <v>9.3</v>
      </c>
      <c r="AI40" s="62" t="n">
        <v>2.5</v>
      </c>
    </row>
    <row r="41" customFormat="false" ht="17.25" hidden="false" customHeight="false" outlineLevel="0" collapsed="false">
      <c r="A41" s="99" t="n">
        <v>2021</v>
      </c>
      <c r="B41" s="62" t="n">
        <v>0.889</v>
      </c>
      <c r="C41" s="62" t="n">
        <v>0.944</v>
      </c>
      <c r="D41" s="62" t="n">
        <v>1.06</v>
      </c>
      <c r="E41" s="62" t="n">
        <v>1.053</v>
      </c>
      <c r="F41" s="62" t="n">
        <v>0.953</v>
      </c>
      <c r="G41" s="62" t="n">
        <v>0.997</v>
      </c>
      <c r="H41" s="62" t="n">
        <v>1.08</v>
      </c>
      <c r="I41" s="62" t="n">
        <v>1.077</v>
      </c>
      <c r="J41" s="62" t="n">
        <v>1.056</v>
      </c>
      <c r="L41" s="62" t="n">
        <v>1</v>
      </c>
      <c r="M41" s="99" t="n">
        <v>2021</v>
      </c>
      <c r="N41" s="62" t="n">
        <f aca="false">((('리그 투수'!E41/('리그 투수'!D41*3)+0.14))-(-1*((('리그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타자'!D41-'리그 타자'!F41+'리그 타자'!P41)))*(1/((((('리그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타자'!L41-'리그 타자'!N41+'리그 타자'!M41+'리그 타자'!F41))-(-1*((('리그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타자'!D41-'리그 타자'!F41+'리그 타자'!P41))))</f>
        <v>0.740367481593015</v>
      </c>
      <c r="O41" s="62" t="n">
        <f aca="false">(((('리그 투수'!E41/('리그 투수'!D41*3)+0.14))+0.025)-(-1*((('리그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타자'!D41-'리그 타자'!F41+'리그 타자'!P41)))*(1/((((('리그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타자'!L41-'리그 타자'!N41+'리그 타자'!M41+'리그 타자'!F41))-(-1*((('리그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타자'!D41-'리그 타자'!F41+'리그 타자'!P41))))</f>
        <v>0.772905304484655</v>
      </c>
      <c r="P41" s="62" t="n">
        <f aca="false">(((('리그 투수'!E41/('리그 투수'!D41*3)+0.14))+0.155)-(-1*((('리그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타자'!D41-'리그 타자'!F41+'리그 타자'!P41)))*(1/((((('리그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타자'!L41-'리그 타자'!N41+'리그 타자'!M41+'리그 타자'!F41))-(-1*((('리그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타자'!D41-'리그 타자'!F41+'리그 타자'!P41))))</f>
        <v>0.942101983521181</v>
      </c>
      <c r="Q41" s="62" t="n">
        <f aca="false">((((('리그 투수'!E41/('리그 투수'!D41*3)+0.14))+0.155)+0.3)-(-1*((('리그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타자'!D41-'리그 타자'!F41+'리그 타자'!P41)))*(1/((((('리그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타자'!L41-'리그 타자'!N41+'리그 타자'!M41+'리그 타자'!F41))-(-1*((('리그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타자'!D41-'리그 타자'!F41+'리그 타자'!P41))))</f>
        <v>1.33255585822086</v>
      </c>
      <c r="R41" s="62" t="n">
        <f aca="false">(((((('리그 투수'!E41/('리그 투수'!D41*3)+0.14))+0.155)+0.3)+0.27)-(-1*((('리그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타자'!D41-'리그 타자'!F41+'리그 타자'!P41)))*(1/((((('리그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타자'!L41-'리그 타자'!N41+'리그 타자'!M41+'리그 타자'!F41))-(-1*((('리그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타자'!D41-'리그 타자'!F41+'리그 타자'!P41))))</f>
        <v>1.68396434545057</v>
      </c>
      <c r="S41" s="62" t="n">
        <f aca="false">((1.4)-(-1*((('리그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타자'!D41-'리그 타자'!F41+'리그 타자'!P41)))*(1/((((('리그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타자'!L41-'리그 타자'!N41+'리그 타자'!M41+'리그 타자'!F41))-(-1*((('리그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타자'!D41-'리그 타자'!F41+'리그 타자'!P41))))</f>
        <v>2.16633628475503</v>
      </c>
      <c r="T41" s="62" t="n">
        <f aca="false">1/((((('리그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타자'!L41-'리그 타자'!N41+'리그 타자'!M41+'리그 타자'!F41))-(-1*((('리그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타자'!D41-'리그 타자'!F41+'리그 타자'!P41)))</f>
        <v>1.30151291566559</v>
      </c>
      <c r="U41" s="62" t="n">
        <f aca="false">1.5*('리그 투수'!R41+2)</f>
        <v>10.3535545023697</v>
      </c>
      <c r="V41" s="62" t="n">
        <f aca="false">((9*'리그 투수'!E41)-(Y41*'리그 투수'!K41)-(Z41*('리그 투수'!L41+'리그 투수'!M41-'리그 투수'!N41))-(AA41*'리그 투수'!O41))/'리그 투수'!D41</f>
        <v>3.71022116903633</v>
      </c>
      <c r="W41" s="62" t="n">
        <f aca="false">'리그 타자'!E41/'리그 타자'!C41</f>
        <v>0.12297596119552</v>
      </c>
      <c r="X41" s="99" t="n">
        <v>2021</v>
      </c>
      <c r="Y41" s="62" t="n">
        <v>12</v>
      </c>
      <c r="Z41" s="62" t="n">
        <v>3.2</v>
      </c>
      <c r="AA41" s="62" t="n">
        <v>-2.5</v>
      </c>
      <c r="AB41" s="62" t="n">
        <v>0.2</v>
      </c>
      <c r="AC41" s="62" t="n">
        <v>0.4</v>
      </c>
      <c r="AD41" s="62" t="n">
        <v>0.705</v>
      </c>
      <c r="AG41" s="62" t="n">
        <v>12.7</v>
      </c>
      <c r="AH41" s="62" t="n">
        <v>9.3</v>
      </c>
      <c r="AI41" s="62" t="n">
        <v>2.5</v>
      </c>
    </row>
    <row r="42" customFormat="false" ht="17.25" hidden="false" customHeight="false" outlineLevel="0" collapsed="false">
      <c r="A42" s="99" t="n">
        <v>2022</v>
      </c>
      <c r="B42" s="62" t="n">
        <v>0.893</v>
      </c>
      <c r="C42" s="62" t="n">
        <v>0.933</v>
      </c>
      <c r="D42" s="62" t="n">
        <v>1.073</v>
      </c>
      <c r="E42" s="62" t="n">
        <v>1.084</v>
      </c>
      <c r="F42" s="62" t="n">
        <v>0.989</v>
      </c>
      <c r="G42" s="62" t="n">
        <v>0.974</v>
      </c>
      <c r="H42" s="62" t="n">
        <v>1.076</v>
      </c>
      <c r="I42" s="62" t="n">
        <v>1.075</v>
      </c>
      <c r="J42" s="62" t="n">
        <v>1.026</v>
      </c>
      <c r="L42" s="62" t="n">
        <v>1</v>
      </c>
      <c r="M42" s="99" t="n">
        <v>2022</v>
      </c>
      <c r="N42" s="62" t="n">
        <f aca="false">((('리그 투수'!E42/('리그 투수'!D42*3)+0.14))-(-1*((('리그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타자'!D42-'리그 타자'!F42+'리그 타자'!P42)))*(1/((((('리그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타자'!L42-'리그 타자'!N42+'리그 타자'!M42+'리그 타자'!F42))-(-1*((('리그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타자'!D42-'리그 타자'!F42+'리그 타자'!P42))))</f>
        <v>0.719617259625219</v>
      </c>
      <c r="O42" s="62" t="n">
        <f aca="false">(((('리그 투수'!E42/('리그 투수'!D42*3)+0.14))+0.025)-(-1*((('리그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타자'!D42-'리그 타자'!F42+'리그 타자'!P42)))*(1/((((('리그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타자'!L42-'리그 타자'!N42+'리그 타자'!M42+'리그 타자'!F42))-(-1*((('리그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타자'!D42-'리그 타자'!F42+'리그 타자'!P42))))</f>
        <v>0.753096612996868</v>
      </c>
      <c r="P42" s="62" t="n">
        <f aca="false">(((('리그 투수'!E42/('리그 투수'!D42*3)+0.14))+0.155)-(-1*((('리그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타자'!D42-'리그 타자'!F42+'리그 타자'!P42)))*(1/((((('리그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타자'!L42-'리그 타자'!N42+'리그 타자'!M42+'리그 타자'!F42))-(-1*((('리그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타자'!D42-'리그 타자'!F42+'리그 타자'!P42))))</f>
        <v>0.927189250529441</v>
      </c>
      <c r="Q42" s="62" t="n">
        <f aca="false">((((('리그 투수'!E42/('리그 투수'!D42*3)+0.14))+0.155)+0.3)-(-1*((('리그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타자'!D42-'리그 타자'!F42+'리그 타자'!P42)))*(1/((((('리그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타자'!L42-'리그 타자'!N42+'리그 타자'!M42+'리그 타자'!F42))-(-1*((('리그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타자'!D42-'리그 타자'!F42+'리그 타자'!P42))))</f>
        <v>1.32894149098922</v>
      </c>
      <c r="R42" s="62" t="n">
        <f aca="false">(((((('리그 투수'!E42/('리그 투수'!D42*3)+0.14))+0.155)+0.3)+0.27)-(-1*((('리그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타자'!D42-'리그 타자'!F42+'리그 타자'!P42)))*(1/((((('리그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타자'!L42-'리그 타자'!N42+'리그 타자'!M42+'리그 타자'!F42))-(-1*((('리그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타자'!D42-'리그 타자'!F42+'리그 타자'!P42))))</f>
        <v>1.69051850740303</v>
      </c>
      <c r="S42" s="62" t="n">
        <f aca="false">((1.4)-(-1*((('리그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타자'!D42-'리그 타자'!F42+'리그 타자'!P42)))*(1/((((('리그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타자'!L42-'리그 타자'!N42+'리그 타자'!M42+'리그 타자'!F42))-(-1*((('리그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타자'!D42-'리그 타자'!F42+'리그 타자'!P42))))</f>
        <v>2.2057046727281</v>
      </c>
      <c r="T42" s="62" t="n">
        <f aca="false">1/((((('리그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타자'!L42-'리그 타자'!N42+'리그 타자'!M42+'리그 타자'!F42))-(-1*((('리그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타자'!D42-'리그 타자'!F42+'리그 타자'!P42)))</f>
        <v>1.33917413486594</v>
      </c>
      <c r="U42" s="62" t="n">
        <f aca="false">1.5*('리그 투수'!R42+2)</f>
        <v>9.85046934965253</v>
      </c>
      <c r="V42" s="62" t="n">
        <f aca="false">((9*'리그 투수'!E42)-(Y42*'리그 투수'!K42)-(Z42*('리그 투수'!L42+'리그 투수'!M42-'리그 투수'!N42))-(AA42*'리그 투수'!O42))/'리그 투수'!D42</f>
        <v>3.72618763613733</v>
      </c>
      <c r="W42" s="62" t="n">
        <f aca="false">'리그 타자'!E42/'리그 타자'!C42</f>
        <v>0.116559155156085</v>
      </c>
      <c r="X42" s="99" t="n">
        <v>2022</v>
      </c>
      <c r="Y42" s="62" t="n">
        <v>12</v>
      </c>
      <c r="Z42" s="62" t="n">
        <v>3.2</v>
      </c>
      <c r="AA42" s="62" t="n">
        <v>-2.5</v>
      </c>
      <c r="AB42" s="62" t="n">
        <v>0.2</v>
      </c>
      <c r="AC42" s="62" t="n">
        <v>0.4</v>
      </c>
      <c r="AD42" s="62" t="n">
        <v>0.708</v>
      </c>
      <c r="AG42" s="62" t="n">
        <v>12.7</v>
      </c>
      <c r="AH42" s="62" t="n">
        <v>9.3</v>
      </c>
      <c r="AI42" s="62" t="n">
        <v>2.5</v>
      </c>
    </row>
    <row r="43" customFormat="false" ht="17.25" hidden="false" customHeight="false" outlineLevel="0" collapsed="false">
      <c r="A43" s="99" t="n">
        <v>2023</v>
      </c>
      <c r="B43" s="62" t="n">
        <v>0.905</v>
      </c>
      <c r="C43" s="62" t="n">
        <v>0.959</v>
      </c>
      <c r="D43" s="62" t="n">
        <v>1.05</v>
      </c>
      <c r="E43" s="62" t="n">
        <v>1.091</v>
      </c>
      <c r="F43" s="62" t="n">
        <v>1.006</v>
      </c>
      <c r="G43" s="62" t="n">
        <v>0.971</v>
      </c>
      <c r="H43" s="62" t="n">
        <v>1.063</v>
      </c>
      <c r="I43" s="62" t="n">
        <v>1.076</v>
      </c>
      <c r="J43" s="62" t="n">
        <v>1.006</v>
      </c>
      <c r="L43" s="62" t="n">
        <v>1</v>
      </c>
      <c r="M43" s="99" t="n">
        <v>2023</v>
      </c>
      <c r="N43" s="62" t="n">
        <f aca="false">((('리그 투수'!E43/('리그 투수'!D43*3)+0.14))-(-1*((('리그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타자'!D43-'리그 타자'!F43+'리그 타자'!P43)))*(1/((((('리그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타자'!L43-'리그 타자'!N43+'리그 타자'!M43+'리그 타자'!F43))-(-1*((('리그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타자'!D43-'리그 타자'!F43+'리그 타자'!P43))))</f>
        <v>0.732116704981637</v>
      </c>
      <c r="O43" s="62" t="n">
        <f aca="false">(((('리그 투수'!E43/('리그 투수'!D43*3)+0.14))+0.025)-(-1*((('리그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타자'!D43-'리그 타자'!F43+'리그 타자'!P43)))*(1/((((('리그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타자'!L43-'리그 타자'!N43+'리그 타자'!M43+'리그 타자'!F43))-(-1*((('리그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타자'!D43-'리그 타자'!F43+'리그 타자'!P43))))</f>
        <v>0.765839734408464</v>
      </c>
      <c r="P43" s="62" t="n">
        <f aca="false">(((('리그 투수'!E43/('리그 투수'!D43*3)+0.14))+0.155)-(-1*((('리그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타자'!D43-'리그 타자'!F43+'리그 타자'!P43)))*(1/((((('리그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타자'!L43-'리그 타자'!N43+'리그 타자'!M43+'리그 타자'!F43))-(-1*((('리그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타자'!D43-'리그 타자'!F43+'리그 타자'!P43))))</f>
        <v>0.941199487427967</v>
      </c>
      <c r="Q43" s="62" t="n">
        <f aca="false">((((('리그 투수'!E43/('리그 투수'!D43*3)+0.14))+0.155)+0.3)-(-1*((('리그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타자'!D43-'리그 타자'!F43+'리그 타자'!P43)))*(1/((((('리그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타자'!L43-'리그 타자'!N43+'리그 타자'!M43+'리그 타자'!F43))-(-1*((('리그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타자'!D43-'리그 타자'!F43+'리그 타자'!P43))))</f>
        <v>1.3458758405499</v>
      </c>
      <c r="R43" s="62" t="n">
        <f aca="false">(((((('리그 투수'!E43/('리그 투수'!D43*3)+0.14))+0.155)+0.3)+0.27)-(-1*((('리그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타자'!D43-'리그 타자'!F43+'리그 타자'!P43)))*(1/((((('리그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타자'!L43-'리그 타자'!N43+'리그 타자'!M43+'리그 타자'!F43))-(-1*((('리그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타자'!D43-'리그 타자'!F43+'리그 타자'!P43))))</f>
        <v>1.71008455835963</v>
      </c>
      <c r="S43" s="62" t="n">
        <f aca="false">((1.4)-(-1*((('리그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타자'!D43-'리그 타자'!F43+'리그 타자'!P43)))*(1/((((('리그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타자'!L43-'리그 타자'!N43+'리그 타자'!M43+'리그 타자'!F43))-(-1*((('리그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타자'!D43-'리그 타자'!F43+'리그 타자'!P43))))</f>
        <v>2.22488053302747</v>
      </c>
      <c r="T43" s="62" t="n">
        <f aca="false">1/((((('리그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타자'!L43-'리그 타자'!N43+'리그 타자'!M43+'리그 타자'!F43))-(-1*((('리그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타자'!D43-'리그 타자'!F43+'리그 타자'!P43)))</f>
        <v>1.3489211770731</v>
      </c>
      <c r="U43" s="62" t="n">
        <f aca="false">1.5*('리그 투수'!R43+2)</f>
        <v>9.96545723709841</v>
      </c>
      <c r="V43" s="62" t="n">
        <f aca="false">((9*'리그 투수'!E43)-(Y43*'리그 투수'!K43)-(Z43*('리그 투수'!L43+'리그 투수'!M43-'리그 투수'!N43))-(AA43*'리그 투수'!O43))/'리그 투수'!D43</f>
        <v>3.8075059086305</v>
      </c>
      <c r="W43" s="62" t="n">
        <f aca="false">'리그 타자'!E43/'리그 타자'!C43</f>
        <v>0.11776422258185</v>
      </c>
      <c r="X43" s="99" t="n">
        <v>2023</v>
      </c>
      <c r="Y43" s="62" t="n">
        <v>12</v>
      </c>
      <c r="Z43" s="62" t="n">
        <v>3.2</v>
      </c>
      <c r="AA43" s="62" t="n">
        <v>-2.5</v>
      </c>
      <c r="AB43" s="62" t="n">
        <v>0.2</v>
      </c>
      <c r="AC43" s="62" t="n">
        <v>0.4</v>
      </c>
      <c r="AD43" s="62" t="n">
        <v>0.724</v>
      </c>
      <c r="AG43" s="62" t="n">
        <v>12.7</v>
      </c>
      <c r="AH43" s="62" t="n">
        <v>9.3</v>
      </c>
      <c r="AI43" s="62" t="n">
        <v>2.5</v>
      </c>
    </row>
    <row r="44" customFormat="false" ht="17.25" hidden="false" customHeight="false" outlineLevel="0" collapsed="false">
      <c r="A44" s="99" t="n">
        <v>2024</v>
      </c>
      <c r="B44" s="62" t="n">
        <v>0.933</v>
      </c>
      <c r="C44" s="62" t="n">
        <v>0.915</v>
      </c>
      <c r="D44" s="62" t="n">
        <v>1.071</v>
      </c>
      <c r="E44" s="62" t="n">
        <v>1.038</v>
      </c>
      <c r="F44" s="62" t="n">
        <v>1.007</v>
      </c>
      <c r="G44" s="62" t="n">
        <v>0.987</v>
      </c>
      <c r="H44" s="62" t="n">
        <v>1.073</v>
      </c>
      <c r="I44" s="62" t="n">
        <v>1.061</v>
      </c>
      <c r="J44" s="62" t="n">
        <v>0.949</v>
      </c>
      <c r="L44" s="62" t="n">
        <v>1</v>
      </c>
      <c r="M44" s="99" t="n">
        <v>2024</v>
      </c>
      <c r="N44" s="62" t="n">
        <f aca="false">((('리그 투수'!E44/('리그 투수'!D44*3)+0.14))-(-1*((('리그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타자'!D44-'리그 타자'!F44+'리그 타자'!P44)))*(1/((((('리그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타자'!L44-'리그 타자'!N44+'리그 타자'!M44+'리그 타자'!F44))-(-1*((('리그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타자'!D44-'리그 타자'!F44+'리그 타자'!P44))))</f>
        <v>0.736460139907168</v>
      </c>
      <c r="O44" s="62" t="n">
        <f aca="false">(((('리그 투수'!E44/('리그 투수'!D44*3)+0.14))+0.025)-(-1*((('리그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타자'!D44-'리그 타자'!F44+'리그 타자'!P44)))*(1/((((('리그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타자'!L44-'리그 타자'!N44+'리그 타자'!M44+'리그 타자'!F44))-(-1*((('리그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타자'!D44-'리그 타자'!F44+'리그 타자'!P44))))</f>
        <v>0.766482608666513</v>
      </c>
      <c r="P44" s="62" t="n">
        <f aca="false">(((('리그 투수'!E44/('리그 투수'!D44*3)+0.14))+0.155)-(-1*((('리그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타자'!D44-'리그 타자'!F44+'리그 타자'!P44)))*(1/((((('리그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타자'!L44-'리그 타자'!N44+'리그 타자'!M44+'리그 타자'!F44))-(-1*((('리그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타자'!D44-'리그 타자'!F44+'리그 타자'!P44))))</f>
        <v>0.922599446215104</v>
      </c>
      <c r="Q44" s="62" t="n">
        <f aca="false">((((('리그 투수'!E44/('리그 투수'!D44*3)+0.14))+0.155)+0.3)-(-1*((('리그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타자'!D44-'리그 타자'!F44+'리그 타자'!P44)))*(1/((((('리그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타자'!L44-'리그 타자'!N44+'리그 타자'!M44+'리그 타자'!F44))-(-1*((('리그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타자'!D44-'리그 타자'!F44+'리그 타자'!P44))))</f>
        <v>1.28286907132724</v>
      </c>
      <c r="R44" s="62" t="n">
        <f aca="false">(((((('리그 투수'!E44/('리그 투수'!D44*3)+0.14))+0.155)+0.3)+0.27)-(-1*((('리그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타자'!D44-'리그 타자'!F44+'리그 타자'!P44)))*(1/((((('리그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타자'!L44-'리그 타자'!N44+'리그 타자'!M44+'리그 타자'!F44))-(-1*((('리그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타자'!D44-'리그 타자'!F44+'리그 타자'!P44))))</f>
        <v>1.60711173392816</v>
      </c>
      <c r="S44" s="62" t="n">
        <f aca="false">((1.4)-(-1*((('리그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타자'!D44-'리그 타자'!F44+'리그 타자'!P44)))*(1/((((('리그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타자'!L44-'리그 타자'!N44+'리그 타자'!M44+'리그 타자'!F44))-(-1*((('리그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타자'!D44-'리그 타자'!F44+'리그 타자'!P44))))</f>
        <v>2.03136684828777</v>
      </c>
      <c r="T44" s="62" t="n">
        <f aca="false">1/((((('리그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타자'!L44-'리그 타자'!N44+'리그 타자'!M44+'리그 타자'!F44))-(-1*((('리그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타자'!D44-'리그 타자'!F44+'리그 타자'!P44)))</f>
        <v>1.20089875037378</v>
      </c>
      <c r="U44" s="62" t="n">
        <f aca="false">1.5*('리그 투수'!R44+2)</f>
        <v>11.1703026038001</v>
      </c>
      <c r="V44" s="62" t="n">
        <f aca="false">((9*'리그 투수'!E44)-(Y44*'리그 투수'!K44)-(Z44*('리그 투수'!L44+'리그 투수'!M44-'리그 투수'!N44))-(AA44*'리그 투수'!O44))/'리그 투수'!D44</f>
        <v>4.19762295722887</v>
      </c>
      <c r="W44" s="62" t="n">
        <f aca="false">'리그 타자'!E44/'리그 타자'!C44</f>
        <v>0.135161093163363</v>
      </c>
      <c r="X44" s="99" t="n">
        <v>2024</v>
      </c>
      <c r="Y44" s="62" t="n">
        <v>12</v>
      </c>
      <c r="Z44" s="62" t="n">
        <v>3.2</v>
      </c>
      <c r="AA44" s="62" t="n">
        <v>-2.5</v>
      </c>
      <c r="AB44" s="62" t="n">
        <v>0.2</v>
      </c>
      <c r="AC44" s="62" t="n">
        <v>0.4</v>
      </c>
      <c r="AD44" s="62" t="n">
        <v>0.744</v>
      </c>
      <c r="AG44" s="62" t="n">
        <v>12.7</v>
      </c>
      <c r="AH44" s="62" t="n">
        <v>9.3</v>
      </c>
      <c r="AI44" s="62" t="n">
        <v>2.5</v>
      </c>
    </row>
    <row r="45" customFormat="false" ht="17.25" hidden="false" customHeight="false" outlineLevel="0" collapsed="false">
      <c r="A45" s="99" t="n">
        <v>2025</v>
      </c>
      <c r="B45" s="62" t="n">
        <v>0.927</v>
      </c>
      <c r="C45" s="62" t="n">
        <v>0.909</v>
      </c>
      <c r="D45" s="62" t="n">
        <v>1.028</v>
      </c>
      <c r="E45" s="62" t="n">
        <v>1.034</v>
      </c>
      <c r="F45" s="62" t="n">
        <v>1.056</v>
      </c>
      <c r="G45" s="62" t="n">
        <v>0.978</v>
      </c>
      <c r="H45" s="62" t="n">
        <v>1.077</v>
      </c>
      <c r="I45" s="62" t="n">
        <v>1.069</v>
      </c>
      <c r="J45" s="62" t="n">
        <v>1.027</v>
      </c>
      <c r="L45" s="62" t="n">
        <v>1</v>
      </c>
      <c r="M45" s="99" t="n">
        <v>2025</v>
      </c>
      <c r="N45" s="62" t="n">
        <f aca="false">((('리그 투수'!E45/('리그 투수'!D45*3)+0.14))-(-1*((('리그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타자'!D45-'리그 타자'!F45+'리그 타자'!P45)))*(1/((((('리그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타자'!L45-'리그 타자'!N45+'리그 타자'!M45+'리그 타자'!F45))-(-1*((('리그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타자'!D45-'리그 타자'!F45+'리그 타자'!P45))))</f>
        <v>0.725375527536933</v>
      </c>
      <c r="O45" s="62" t="n">
        <f aca="false">(((('리그 투수'!E45/('리그 투수'!D45*3)+0.14))+0.025)-(-1*((('리그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타자'!D45-'리그 타자'!F45+'리그 타자'!P45)))*(1/((((('리그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타자'!L45-'리그 타자'!N45+'리그 타자'!M45+'리그 타자'!F45))-(-1*((('리그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타자'!D45-'리그 타자'!F45+'리그 타자'!P45))))</f>
        <v>0.75784842446101</v>
      </c>
      <c r="P45" s="62" t="n">
        <f aca="false">(((('리그 투수'!E45/('리그 투수'!D45*3)+0.14))+0.155)-(-1*((('리그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타자'!D45-'리그 타자'!F45+'리그 타자'!P45)))*(1/((((('리그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타자'!L45-'리그 타자'!N45+'리그 타자'!M45+'리그 타자'!F45))-(-1*((('리그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타자'!D45-'리그 타자'!F45+'리그 타자'!P45))))</f>
        <v>0.926707488466212</v>
      </c>
      <c r="Q45" s="62" t="n">
        <f aca="false">((((('리그 투수'!E45/('리그 투수'!D45*3)+0.14))+0.155)+0.3)-(-1*((('리그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타자'!D45-'리그 타자'!F45+'리그 타자'!P45)))*(1/((((('리그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타자'!L45-'리그 타자'!N45+'리그 타자'!M45+'리그 타자'!F45))-(-1*((('리그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타자'!D45-'리그 타자'!F45+'리그 타자'!P45))))</f>
        <v>1.31638225155514</v>
      </c>
      <c r="R45" s="62" t="n">
        <f aca="false">(((((('리그 투수'!E45/('리그 투수'!D45*3)+0.14))+0.155)+0.3)+0.27)-(-1*((('리그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타자'!D45-'리그 타자'!F45+'리그 타자'!P45)))*(1/((((('리그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타자'!L45-'리그 타자'!N45+'리그 타자'!M45+'리그 타자'!F45))-(-1*((('리그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타자'!D45-'리그 타자'!F45+'리그 타자'!P45))))</f>
        <v>1.66708953833517</v>
      </c>
      <c r="S45" s="62" t="n">
        <f aca="false">((1.4)-(-1*((('리그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타자'!D45-'리그 타자'!F45+'리그 타자'!P45)))*(1/((((('리그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타자'!L45-'리그 타자'!N45+'리그 타자'!M45+'리그 타자'!F45))-(-1*((('리그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타자'!D45-'리그 타자'!F45+'리그 타자'!P45))))</f>
        <v>2.15473752531778</v>
      </c>
      <c r="T45" s="62" t="n">
        <f aca="false">1/((((('리그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타자'!L45-'리그 타자'!N45+'리그 타자'!M45+'리그 타자'!F45))-(-1*((('리그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타자'!D45-'리그 타자'!F45+'리그 타자'!P45)))</f>
        <v>1.29891587696309</v>
      </c>
      <c r="U45" s="62" t="n">
        <f aca="false">1.5*('리그 투수'!R45+2)</f>
        <v>10.200399258892</v>
      </c>
      <c r="V45" s="62" t="n">
        <f aca="false">((9*'리그 투수'!E45)-(Y45*'리그 투수'!K45)-(Z45*('리그 투수'!L45+'리그 투수'!M45-'리그 투수'!N45))-(AA45*'리그 투수'!O45))/'리그 투수'!D45</f>
        <v>3.90871323817228</v>
      </c>
      <c r="W45" s="62" t="n">
        <f aca="false">'리그 타자'!E45/'리그 타자'!C45</f>
        <v>0.121669404957497</v>
      </c>
      <c r="X45" s="99" t="n">
        <v>2025</v>
      </c>
      <c r="Y45" s="62" t="n">
        <v>12</v>
      </c>
      <c r="Z45" s="62" t="n">
        <v>3.2</v>
      </c>
      <c r="AA45" s="62" t="n">
        <v>-2.5</v>
      </c>
      <c r="AB45" s="62" t="n">
        <v>0.2</v>
      </c>
      <c r="AC45" s="62" t="n">
        <v>0.4</v>
      </c>
      <c r="AD45" s="62" t="n">
        <v>0.749</v>
      </c>
      <c r="AG45" s="62" t="n">
        <v>12.7</v>
      </c>
      <c r="AH45" s="62" t="n">
        <v>9.3</v>
      </c>
      <c r="AI45" s="62" t="n">
        <v>2.5</v>
      </c>
    </row>
    <row r="46" customFormat="false" ht="17.25" hidden="false" customHeight="false" outlineLevel="0" collapsed="false">
      <c r="A46" s="99" t="n">
        <v>2026</v>
      </c>
      <c r="B46" s="62" t="n">
        <v>0.871842</v>
      </c>
      <c r="C46" s="62" t="n">
        <v>0.931727</v>
      </c>
      <c r="D46" s="62" t="n">
        <v>0.943387</v>
      </c>
      <c r="E46" s="62" t="n">
        <v>1.069855</v>
      </c>
      <c r="F46" s="62" t="n">
        <v>1.170772</v>
      </c>
      <c r="G46" s="62" t="n">
        <v>0.919389</v>
      </c>
      <c r="H46" s="62" t="n">
        <v>1.055356</v>
      </c>
      <c r="I46" s="62" t="n">
        <v>1.163773</v>
      </c>
      <c r="J46" s="62" t="n">
        <v>0.968492</v>
      </c>
      <c r="L46" s="62" t="n">
        <v>1</v>
      </c>
      <c r="M46" s="99" t="n">
        <v>2026</v>
      </c>
      <c r="N46" s="62" t="n">
        <f aca="false">((('리그 투수'!E46/('리그 투수'!D46*3)+0.14))-(-1*((('리그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타자'!D46-'리그 타자'!F46+'리그 타자'!P46)))*(1/((((('리그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타자'!L46-'리그 타자'!N46+'리그 타자'!M46+'리그 타자'!F46))-(-1*((('리그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타자'!D46-'리그 타자'!F46+'리그 타자'!P46))))</f>
        <v>0.73504656252721</v>
      </c>
      <c r="O46" s="62" t="n">
        <f aca="false">(((('리그 투수'!E46/('리그 투수'!D46*3)+0.14))+0.025)-(-1*((('리그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타자'!D46-'리그 타자'!F46+'리그 타자'!P46)))*(1/((((('리그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타자'!L46-'리그 타자'!N46+'리그 타자'!M46+'리그 타자'!F46))-(-1*((('리그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타자'!D46-'리그 타자'!F46+'리그 타자'!P46))))</f>
        <v>0.76601492354545</v>
      </c>
      <c r="P46" s="62" t="n">
        <f aca="false">(((('리그 투수'!E46/('리그 투수'!D46*3)+0.14))+0.155)-(-1*((('리그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타자'!D46-'리그 타자'!F46+'리그 타자'!P46)))*(1/((((('리그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타자'!L46-'리그 타자'!N46+'리그 타자'!M46+'리그 타자'!F46))-(-1*((('리그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타자'!D46-'리그 타자'!F46+'리그 타자'!P46))))</f>
        <v>0.927050400840301</v>
      </c>
      <c r="Q46" s="62" t="n">
        <f aca="false">((((('리그 투수'!E46/('리그 투수'!D46*3)+0.14))+0.155)+0.3)-(-1*((('리그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타자'!D46-'리그 타자'!F46+'리그 타자'!P46)))*(1/((((('리그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타자'!L46-'리그 타자'!N46+'리그 타자'!M46+'리그 타자'!F46))-(-1*((('리그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타자'!D46-'리그 타자'!F46+'리그 타자'!P46))))</f>
        <v>1.29867073305919</v>
      </c>
      <c r="R46" s="62" t="n">
        <f aca="false">(((((('리그 투수'!E46/('리그 투수'!D46*3)+0.14))+0.155)+0.3)+0.27)-(-1*((('리그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타자'!D46-'리그 타자'!F46+'리그 타자'!P46)))*(1/((((('리그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타자'!L46-'리그 타자'!N46+'리그 타자'!M46+'리그 타자'!F46))-(-1*((('리그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타자'!D46-'리그 타자'!F46+'리그 타자'!P46))))</f>
        <v>1.63312903205618</v>
      </c>
      <c r="S46" s="62" t="n">
        <f aca="false">((1.4)-(-1*((('리그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타자'!D46-'리그 타자'!F46+'리그 타자'!P46)))*(1/((((('리그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타자'!L46-'리그 타자'!N46+'리그 타자'!M46+'리그 타자'!F46))-(-1*((('리그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타자'!D46-'리그 타자'!F46+'리그 타자'!P46))))</f>
        <v>2.0805798903309</v>
      </c>
      <c r="T46" s="62" t="n">
        <f aca="false">1/((((('리그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타자'!L46-'리그 타자'!N46+'리그 타자'!M46+'리그 타자'!F46))-(-1*((('리그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타자'!D46-'리그 타자'!F46+'리그 타자'!P46)))</f>
        <v>1.23873444072962</v>
      </c>
      <c r="U46" s="62" t="n">
        <f aca="false">1.5*('리그 투수'!R46+2)</f>
        <v>10.8011753183154</v>
      </c>
      <c r="V46" s="62" t="n">
        <f aca="false">((9*'리그 투수'!E46)-(Y46*'리그 투수'!K46)-(Z46*('리그 투수'!L46+'리그 투수'!M46-'리그 투수'!N46))-(AA46*'리그 투수'!O46))/'리그 투수'!D46</f>
        <v>4.03803134182174</v>
      </c>
      <c r="W46" s="62" t="n">
        <f aca="false">'리그 타자'!E46/'리그 타자'!C46</f>
        <v>0.129630443380059</v>
      </c>
      <c r="X46" s="99" t="n">
        <v>2026</v>
      </c>
      <c r="Y46" s="62" t="n">
        <v>12</v>
      </c>
      <c r="Z46" s="62" t="n">
        <v>3.2</v>
      </c>
      <c r="AA46" s="62" t="n">
        <v>-2.5</v>
      </c>
      <c r="AB46" s="62" t="n">
        <v>0.2</v>
      </c>
      <c r="AC46" s="62" t="n">
        <v>0.4</v>
      </c>
      <c r="AD46" s="62" t="n">
        <v>0.749</v>
      </c>
      <c r="AG46" s="62" t="n">
        <v>12.7</v>
      </c>
      <c r="AH46" s="62" t="n">
        <v>9.3</v>
      </c>
      <c r="AI46" s="62" t="n">
        <v>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96875" defaultRowHeight="17.25" customHeight="false" zeroHeight="false" outlineLevelRow="0" outlineLevelCol="0"/>
  <cols>
    <col collapsed="false" customWidth="true" hidden="false" outlineLevel="0" max="1" min="1" style="2" width="5.6"/>
    <col collapsed="false" customWidth="true" hidden="false" outlineLevel="0" max="2" min="2" style="29" width="5.2"/>
    <col collapsed="false" customWidth="true" hidden="false" outlineLevel="0" max="4" min="3" style="29" width="5.5"/>
    <col collapsed="false" customWidth="true" hidden="false" outlineLevel="0" max="5" min="5" style="29" width="5"/>
    <col collapsed="false" customWidth="true" hidden="false" outlineLevel="0" max="16" min="6" style="29" width="5.5"/>
    <col collapsed="false" customWidth="true" hidden="false" outlineLevel="0" max="23" min="17" style="29" width="4.9"/>
    <col collapsed="false" customWidth="true" hidden="false" outlineLevel="0" max="32" min="24" style="29" width="5.5"/>
    <col collapsed="false" customWidth="true" hidden="false" outlineLevel="0" max="522" min="33" style="29" width="5.3"/>
  </cols>
  <sheetData>
    <row r="1" s="3" customFormat="true" ht="17.25" hidden="false" customHeight="false" outlineLevel="0" collapsed="false">
      <c r="A1" s="103" t="s">
        <v>296</v>
      </c>
      <c r="B1" s="98" t="s">
        <v>30</v>
      </c>
      <c r="C1" s="98" t="s">
        <v>10</v>
      </c>
      <c r="D1" s="98" t="s">
        <v>11</v>
      </c>
      <c r="E1" s="98" t="s">
        <v>12</v>
      </c>
      <c r="F1" s="98" t="s">
        <v>13</v>
      </c>
      <c r="G1" s="98" t="s">
        <v>14</v>
      </c>
      <c r="H1" s="98" t="s">
        <v>15</v>
      </c>
      <c r="I1" s="98" t="s">
        <v>16</v>
      </c>
      <c r="J1" s="99" t="s">
        <v>18</v>
      </c>
      <c r="K1" s="99" t="s">
        <v>19</v>
      </c>
      <c r="L1" s="98" t="s">
        <v>20</v>
      </c>
      <c r="M1" s="98" t="s">
        <v>21</v>
      </c>
      <c r="N1" s="98" t="s">
        <v>22</v>
      </c>
      <c r="O1" s="99" t="s">
        <v>24</v>
      </c>
      <c r="P1" s="98" t="s">
        <v>25</v>
      </c>
      <c r="Q1" s="98" t="s">
        <v>26</v>
      </c>
      <c r="R1" s="98" t="s">
        <v>27</v>
      </c>
      <c r="S1" s="98" t="s">
        <v>28</v>
      </c>
      <c r="T1" s="98" t="s">
        <v>29</v>
      </c>
    </row>
    <row r="2" customFormat="false" ht="17.25" hidden="false" customHeight="false" outlineLevel="0" collapsed="false">
      <c r="A2" s="104" t="n">
        <v>1982</v>
      </c>
      <c r="B2" s="62" t="n">
        <f aca="false">('리그 투수'!N2*(L2-N2)+'연도별 상수'!O2*M2+'연도별 상수'!P2*(F2-G2-H2-I2)+'연도별 상수'!Q2*G2+'연도별 상수'!R2*H2+'연도별 상수'!S2*I2)/(D2+L2+M2-N2+P2)</f>
        <v>6.18495859218822</v>
      </c>
      <c r="C2" s="62" t="n">
        <v>18208</v>
      </c>
      <c r="D2" s="62" t="n">
        <v>16026</v>
      </c>
      <c r="E2" s="62" t="n">
        <v>2272</v>
      </c>
      <c r="F2" s="62" t="n">
        <v>4247</v>
      </c>
      <c r="G2" s="62" t="n">
        <v>726</v>
      </c>
      <c r="H2" s="62" t="n">
        <v>95</v>
      </c>
      <c r="I2" s="62" t="n">
        <v>362</v>
      </c>
      <c r="J2" s="62" t="n">
        <v>700</v>
      </c>
      <c r="K2" s="62" t="n">
        <v>311</v>
      </c>
      <c r="L2" s="62" t="n">
        <v>1604</v>
      </c>
      <c r="M2" s="62" t="n">
        <v>228</v>
      </c>
      <c r="N2" s="62" t="n">
        <v>69</v>
      </c>
      <c r="O2" s="62" t="n">
        <v>306</v>
      </c>
      <c r="P2" s="62" t="n">
        <v>130</v>
      </c>
      <c r="Q2" s="62" t="n">
        <f aca="false">F2/D2</f>
        <v>0.26500686384625</v>
      </c>
      <c r="R2" s="62" t="n">
        <f aca="false">(F2+L2+M2)/(D2+L2+M2+P2)</f>
        <v>0.337947520569268</v>
      </c>
      <c r="S2" s="62" t="n">
        <f aca="false">(1*(F2-G2-H2-I2)+2*G2+3*H2+4*I2)/D2</f>
        <v>0.389928865593411</v>
      </c>
      <c r="T2" s="62" t="n">
        <f aca="false">R2+S2</f>
        <v>0.727876386162679</v>
      </c>
    </row>
    <row r="3" customFormat="false" ht="17.25" hidden="false" customHeight="false" outlineLevel="0" collapsed="false">
      <c r="A3" s="104" t="n">
        <v>1983</v>
      </c>
      <c r="B3" s="62" t="n">
        <f aca="false">('연도별 상수'!N3*(L3-N3)+'연도별 상수'!O3*M3+'연도별 상수'!P3*(F3-G3-H3-I3)+'연도별 상수'!Q3*G3+'연도별 상수'!R3*H3+'연도별 상수'!S3*I3)/(D3+L3+M3-N3+P3)</f>
        <v>0.320469266657607</v>
      </c>
      <c r="C3" s="62" t="n">
        <v>22546</v>
      </c>
      <c r="D3" s="62" t="n">
        <v>19957</v>
      </c>
      <c r="E3" s="62" t="n">
        <v>2411</v>
      </c>
      <c r="F3" s="62" t="n">
        <v>5103</v>
      </c>
      <c r="G3" s="62" t="n">
        <v>805</v>
      </c>
      <c r="H3" s="62" t="n">
        <v>108</v>
      </c>
      <c r="I3" s="62" t="n">
        <v>403</v>
      </c>
      <c r="J3" s="62" t="n">
        <v>498</v>
      </c>
      <c r="K3" s="62" t="n">
        <v>351</v>
      </c>
      <c r="L3" s="62" t="n">
        <v>1757</v>
      </c>
      <c r="M3" s="62" t="n">
        <v>292</v>
      </c>
      <c r="N3" s="62" t="n">
        <v>77</v>
      </c>
      <c r="O3" s="62" t="n">
        <v>405</v>
      </c>
      <c r="P3" s="62" t="n">
        <v>148</v>
      </c>
      <c r="Q3" s="62" t="n">
        <f aca="false">F3/D3</f>
        <v>0.255699754472115</v>
      </c>
      <c r="R3" s="62" t="n">
        <f aca="false">(F3+L3+M3)/(D3+L3+M3+P3)</f>
        <v>0.322831091450754</v>
      </c>
      <c r="S3" s="62" t="n">
        <f aca="false">(1*(F3-G3-H3-I3)+2*G3+3*H3+4*I3)/D3</f>
        <v>0.367439995991382</v>
      </c>
      <c r="T3" s="62" t="n">
        <f aca="false">R3+S3</f>
        <v>0.690271087442135</v>
      </c>
    </row>
    <row r="4" customFormat="false" ht="17.25" hidden="false" customHeight="false" outlineLevel="0" collapsed="false">
      <c r="A4" s="104" t="n">
        <v>1984</v>
      </c>
      <c r="B4" s="62" t="n">
        <f aca="false">('연도별 상수'!N4*(L4-N4)+'연도별 상수'!O4*M4+'연도별 상수'!P4*(F4-G4-H4-I4)+'연도별 상수'!Q4*G4+'연도별 상수'!R4*H4+'연도별 상수'!S4*I4)/(D4+L4+M4-N4+P4)</f>
        <v>0.323635204662387</v>
      </c>
      <c r="C4" s="62" t="n">
        <v>22399</v>
      </c>
      <c r="D4" s="62" t="n">
        <v>19703</v>
      </c>
      <c r="E4" s="62" t="n">
        <v>2300</v>
      </c>
      <c r="F4" s="62" t="n">
        <v>4995</v>
      </c>
      <c r="G4" s="62" t="n">
        <v>824</v>
      </c>
      <c r="H4" s="62" t="n">
        <v>115</v>
      </c>
      <c r="I4" s="62" t="n">
        <v>383</v>
      </c>
      <c r="J4" s="62" t="n">
        <v>522</v>
      </c>
      <c r="K4" s="62" t="n">
        <v>338</v>
      </c>
      <c r="L4" s="62" t="n">
        <v>1937</v>
      </c>
      <c r="M4" s="62" t="n">
        <v>261</v>
      </c>
      <c r="N4" s="62" t="n">
        <v>85</v>
      </c>
      <c r="O4" s="62" t="n">
        <v>414</v>
      </c>
      <c r="P4" s="62" t="n">
        <v>147</v>
      </c>
      <c r="Q4" s="62" t="n">
        <f aca="false">F4/D4</f>
        <v>0.25351469319393</v>
      </c>
      <c r="R4" s="62" t="n">
        <f aca="false">(F4+L4+M4)/(D4+L4+M4+P4)</f>
        <v>0.326242743105951</v>
      </c>
      <c r="S4" s="62" t="n">
        <f aca="false">(1*(F4-G4-H4-I4)+2*G4+3*H4+4*I4)/D4</f>
        <v>0.365325077399381</v>
      </c>
      <c r="T4" s="62" t="n">
        <f aca="false">R4+S4</f>
        <v>0.691567820505332</v>
      </c>
    </row>
    <row r="5" customFormat="false" ht="17.25" hidden="false" customHeight="false" outlineLevel="0" collapsed="false">
      <c r="A5" s="104" t="n">
        <v>1985</v>
      </c>
      <c r="B5" s="62" t="n">
        <f aca="false">('연도별 상수'!N5*(L5-N5)+'연도별 상수'!O5*M5+'연도별 상수'!P5*(F5-G5-H5-I5)+'연도별 상수'!Q5*G5+'연도별 상수'!R5*H5+'연도별 상수'!S5*I5)/(D5+L5+M5-N5+P5)</f>
        <v>0.329678422387693</v>
      </c>
      <c r="C5" s="62" t="n">
        <v>24995</v>
      </c>
      <c r="D5" s="62" t="n">
        <v>21893</v>
      </c>
      <c r="E5" s="62" t="n">
        <v>2695</v>
      </c>
      <c r="F5" s="62" t="n">
        <v>5700</v>
      </c>
      <c r="G5" s="62" t="n">
        <v>943</v>
      </c>
      <c r="H5" s="62" t="n">
        <v>109</v>
      </c>
      <c r="I5" s="62" t="n">
        <v>450</v>
      </c>
      <c r="J5" s="62" t="n">
        <v>632</v>
      </c>
      <c r="K5" s="62" t="n">
        <v>416</v>
      </c>
      <c r="L5" s="62" t="n">
        <v>2158</v>
      </c>
      <c r="M5" s="62" t="n">
        <v>273</v>
      </c>
      <c r="N5" s="62" t="n">
        <v>73</v>
      </c>
      <c r="O5" s="62" t="n">
        <v>453</v>
      </c>
      <c r="P5" s="62" t="n">
        <v>191</v>
      </c>
      <c r="Q5" s="62" t="n">
        <f aca="false">F5/D5</f>
        <v>0.260357191796465</v>
      </c>
      <c r="R5" s="62" t="n">
        <f aca="false">(F5+L5+M5)/(D5+L5+M5+P5)</f>
        <v>0.331674485009178</v>
      </c>
      <c r="S5" s="62" t="n">
        <f aca="false">(1*(F5-G5-H5-I5)+2*G5+3*H5+4*I5)/D5</f>
        <v>0.375051386287855</v>
      </c>
      <c r="T5" s="62" t="n">
        <f aca="false">R5+S5</f>
        <v>0.706725871297033</v>
      </c>
    </row>
    <row r="6" customFormat="false" ht="17.25" hidden="false" customHeight="false" outlineLevel="0" collapsed="false">
      <c r="A6" s="104" t="n">
        <v>1986</v>
      </c>
      <c r="B6" s="62" t="n">
        <f aca="false">('연도별 상수'!N6*(L6-N6)+'연도별 상수'!O6*M6+'연도별 상수'!P6*(F6-G6-H6-I6)+'연도별 상수'!Q6*G6+'연도별 상수'!R6*H6+'연도별 상수'!S6*I6)/(D6+L6+M6-N6+P6)</f>
        <v>0.319558929862618</v>
      </c>
      <c r="C6" s="62" t="n">
        <v>28364</v>
      </c>
      <c r="D6" s="62" t="n">
        <v>24879</v>
      </c>
      <c r="E6" s="62" t="n">
        <v>2776</v>
      </c>
      <c r="F6" s="62" t="n">
        <v>6234</v>
      </c>
      <c r="G6" s="62" t="n">
        <v>977</v>
      </c>
      <c r="H6" s="62" t="n">
        <v>162</v>
      </c>
      <c r="I6" s="62" t="n">
        <v>397</v>
      </c>
      <c r="J6" s="62" t="n">
        <v>640</v>
      </c>
      <c r="K6" s="62" t="n">
        <v>462</v>
      </c>
      <c r="L6" s="62" t="n">
        <v>2415</v>
      </c>
      <c r="M6" s="62" t="n">
        <v>277</v>
      </c>
      <c r="N6" s="62" t="n">
        <v>87</v>
      </c>
      <c r="O6" s="62" t="n">
        <v>537</v>
      </c>
      <c r="P6" s="62" t="n">
        <v>176</v>
      </c>
      <c r="Q6" s="62" t="n">
        <f aca="false">F6/D6</f>
        <v>0.250572772217533</v>
      </c>
      <c r="R6" s="62" t="n">
        <f aca="false">(F6+L6+M6)/(D6+L6+M6+P6)</f>
        <v>0.321692435218222</v>
      </c>
      <c r="S6" s="62" t="n">
        <f aca="false">(1*(F6-G6-H6-I6)+2*G6+3*H6+4*I6)/D6</f>
        <v>0.350737569838016</v>
      </c>
      <c r="T6" s="62" t="n">
        <f aca="false">R6+S6</f>
        <v>0.672430005056238</v>
      </c>
    </row>
    <row r="7" customFormat="false" ht="17.25" hidden="false" customHeight="false" outlineLevel="0" collapsed="false">
      <c r="A7" s="104" t="n">
        <v>1987</v>
      </c>
      <c r="B7" s="62" t="n">
        <f aca="false">('연도별 상수'!N7*(L7-N7)+'연도별 상수'!O7*M7+'연도별 상수'!P7*(F7-G7-H7-I7)+'연도별 상수'!Q7*G7+'연도별 상수'!R7*H7+'연도별 상수'!S7*I7)/(D7+L7+M7-N7+P7)</f>
        <v>0.333023189235614</v>
      </c>
      <c r="C7" s="62" t="n">
        <v>28567</v>
      </c>
      <c r="D7" s="62" t="n">
        <v>25125</v>
      </c>
      <c r="E7" s="62" t="n">
        <v>3022</v>
      </c>
      <c r="F7" s="62" t="n">
        <v>6666</v>
      </c>
      <c r="G7" s="62" t="n">
        <v>1013</v>
      </c>
      <c r="H7" s="62" t="n">
        <v>176</v>
      </c>
      <c r="I7" s="62" t="n">
        <v>384</v>
      </c>
      <c r="J7" s="62" t="n">
        <v>661</v>
      </c>
      <c r="K7" s="62" t="n">
        <v>413</v>
      </c>
      <c r="L7" s="62" t="n">
        <v>2469</v>
      </c>
      <c r="M7" s="62" t="n">
        <v>266</v>
      </c>
      <c r="N7" s="62" t="n">
        <v>95</v>
      </c>
      <c r="O7" s="62" t="n">
        <v>618</v>
      </c>
      <c r="P7" s="62" t="n">
        <v>179</v>
      </c>
      <c r="Q7" s="62" t="n">
        <f aca="false">F7/D7</f>
        <v>0.265313432835821</v>
      </c>
      <c r="R7" s="62" t="n">
        <f aca="false">(F7+L7+M7)/(D7+L7+M7+P7)</f>
        <v>0.335282998680409</v>
      </c>
      <c r="S7" s="62" t="n">
        <f aca="false">(1*(F7-G7-H7-I7)+2*G7+3*H7+4*I7)/D7</f>
        <v>0.365492537313433</v>
      </c>
      <c r="T7" s="62" t="n">
        <f aca="false">R7+S7</f>
        <v>0.700775535993842</v>
      </c>
    </row>
    <row r="8" customFormat="false" ht="17.25" hidden="false" customHeight="false" outlineLevel="0" collapsed="false">
      <c r="A8" s="104" t="n">
        <v>1988</v>
      </c>
      <c r="B8" s="62" t="n">
        <f aca="false">('연도별 상수'!N8*(L8-N8)+'연도별 상수'!O8*M8+'연도별 상수'!P8*(F8-G8-H8-I8)+'연도별 상수'!Q8*G8+'연도별 상수'!R8*H8+'연도별 상수'!S8*I8)/(D8+L8+M8-N8+P8)</f>
        <v>0.333083404741503</v>
      </c>
      <c r="C8" s="62" t="n">
        <v>28655</v>
      </c>
      <c r="D8" s="62" t="n">
        <v>25255</v>
      </c>
      <c r="E8" s="62" t="n">
        <v>3222</v>
      </c>
      <c r="F8" s="62" t="n">
        <v>6769</v>
      </c>
      <c r="G8" s="62" t="n">
        <v>1044</v>
      </c>
      <c r="H8" s="62" t="n">
        <v>148</v>
      </c>
      <c r="I8" s="62" t="n">
        <v>482</v>
      </c>
      <c r="J8" s="62" t="n">
        <v>747</v>
      </c>
      <c r="K8" s="62" t="n">
        <v>401</v>
      </c>
      <c r="L8" s="62" t="n">
        <v>2386</v>
      </c>
      <c r="M8" s="62" t="n">
        <v>267</v>
      </c>
      <c r="N8" s="62" t="n">
        <v>93</v>
      </c>
      <c r="O8" s="62" t="n">
        <v>578</v>
      </c>
      <c r="P8" s="62" t="n">
        <v>193</v>
      </c>
      <c r="Q8" s="62" t="n">
        <f aca="false">F8/D8</f>
        <v>0.268026133438923</v>
      </c>
      <c r="R8" s="62" t="n">
        <f aca="false">(F8+L8+M8)/(D8+L8+M8+P8)</f>
        <v>0.335290559054838</v>
      </c>
      <c r="S8" s="62" t="n">
        <f aca="false">(1*(F8-G8-H8-I8)+2*G8+3*H8+4*I8)/D8</f>
        <v>0.378340922589586</v>
      </c>
      <c r="T8" s="62" t="n">
        <f aca="false">R8+S8</f>
        <v>0.713631481644424</v>
      </c>
    </row>
    <row r="9" customFormat="false" ht="17.25" hidden="false" customHeight="false" outlineLevel="0" collapsed="false">
      <c r="A9" s="104" t="n">
        <v>1989</v>
      </c>
      <c r="B9" s="62" t="n">
        <f aca="false">('연도별 상수'!N9*(L9-N9)+'연도별 상수'!O9*M9+'연도별 상수'!P9*(F9-G9-H9-I9)+'연도별 상수'!Q9*G9+'연도별 상수'!R9*H9+'연도별 상수'!S9*I9)/(D9+L9+M9-N9+P9)</f>
        <v>0.333365231259968</v>
      </c>
      <c r="C9" s="62" t="n">
        <v>32030</v>
      </c>
      <c r="D9" s="62" t="n">
        <v>27781</v>
      </c>
      <c r="E9" s="62" t="n">
        <v>3530</v>
      </c>
      <c r="F9" s="62" t="n">
        <v>7136</v>
      </c>
      <c r="G9" s="62" t="n">
        <v>1169</v>
      </c>
      <c r="H9" s="62" t="n">
        <v>168</v>
      </c>
      <c r="I9" s="62" t="n">
        <v>460</v>
      </c>
      <c r="J9" s="62" t="n">
        <v>969</v>
      </c>
      <c r="K9" s="62" t="n">
        <v>535</v>
      </c>
      <c r="L9" s="62" t="n">
        <v>3161</v>
      </c>
      <c r="M9" s="62" t="n">
        <v>292</v>
      </c>
      <c r="N9" s="62" t="n">
        <v>138</v>
      </c>
      <c r="O9" s="62" t="n">
        <v>590</v>
      </c>
      <c r="P9" s="62" t="n">
        <v>254</v>
      </c>
      <c r="Q9" s="62" t="n">
        <f aca="false">F9/D9</f>
        <v>0.256866203520392</v>
      </c>
      <c r="R9" s="62" t="n">
        <f aca="false">(F9+L9+M9)/(D9+L9+M9+P9)</f>
        <v>0.336286839430894</v>
      </c>
      <c r="S9" s="62" t="n">
        <f aca="false">(1*(F9-G9-H9-I9)+2*G9+3*H9+4*I9)/D9</f>
        <v>0.36071415715777</v>
      </c>
      <c r="T9" s="62" t="n">
        <f aca="false">R9+S9</f>
        <v>0.697000996588664</v>
      </c>
    </row>
    <row r="10" customFormat="false" ht="17.25" hidden="false" customHeight="false" outlineLevel="0" collapsed="false">
      <c r="A10" s="104" t="n">
        <v>1990</v>
      </c>
      <c r="B10" s="62" t="n">
        <f aca="false">('연도별 상수'!N10*(L10-N10)+'연도별 상수'!O10*M10+'연도별 상수'!P10*(F10-G10-H10-I10)+'연도별 상수'!Q10*G10+'연도별 상수'!R10*H10+'연도별 상수'!S10*I10)/(D10+L10+M10-N10+P10)</f>
        <v>0.33576385557581</v>
      </c>
      <c r="C10" s="62" t="n">
        <v>31961</v>
      </c>
      <c r="D10" s="62" t="n">
        <v>27607</v>
      </c>
      <c r="E10" s="62" t="n">
        <v>3679</v>
      </c>
      <c r="F10" s="62" t="n">
        <v>7084</v>
      </c>
      <c r="G10" s="62" t="n">
        <v>1170</v>
      </c>
      <c r="H10" s="62" t="n">
        <v>178</v>
      </c>
      <c r="I10" s="62" t="n">
        <v>541</v>
      </c>
      <c r="J10" s="62" t="n">
        <v>828</v>
      </c>
      <c r="K10" s="62" t="n">
        <v>510</v>
      </c>
      <c r="L10" s="62" t="n">
        <v>3196</v>
      </c>
      <c r="M10" s="62" t="n">
        <v>347</v>
      </c>
      <c r="N10" s="62" t="n">
        <v>128</v>
      </c>
      <c r="O10" s="62" t="n">
        <v>619</v>
      </c>
      <c r="P10" s="62" t="n">
        <v>247</v>
      </c>
      <c r="Q10" s="62" t="n">
        <f aca="false">F10/D10</f>
        <v>0.256601586554135</v>
      </c>
      <c r="R10" s="62" t="n">
        <f aca="false">(F10+L10+M10)/(D10+L10+M10+P10)</f>
        <v>0.338471828518648</v>
      </c>
      <c r="S10" s="62" t="n">
        <f aca="false">(1*(F10-G10-H10-I10)+2*G10+3*H10+4*I10)/D10</f>
        <v>0.370666859854385</v>
      </c>
      <c r="T10" s="62" t="n">
        <f aca="false">R10+S10</f>
        <v>0.709138688373033</v>
      </c>
    </row>
    <row r="11" customFormat="false" ht="17.25" hidden="false" customHeight="false" outlineLevel="0" collapsed="false">
      <c r="A11" s="104" t="n">
        <v>1991</v>
      </c>
      <c r="B11" s="62" t="n">
        <f aca="false">('연도별 상수'!N11*(L11-N11)+'연도별 상수'!O11*M11+'연도별 상수'!P11*(F11-G11-H11-I11)+'연도별 상수'!Q11*G11+'연도별 상수'!R11*H11+'연도별 상수'!S11*I11)/(D11+L11+M11-N11+P11)</f>
        <v>0.33305747617395</v>
      </c>
      <c r="C11" s="62" t="n">
        <v>38292</v>
      </c>
      <c r="D11" s="62" t="n">
        <v>33238</v>
      </c>
      <c r="E11" s="62" t="n">
        <v>4437</v>
      </c>
      <c r="F11" s="62" t="n">
        <v>8514</v>
      </c>
      <c r="G11" s="62" t="n">
        <v>1443</v>
      </c>
      <c r="H11" s="62" t="n">
        <v>278</v>
      </c>
      <c r="I11" s="62" t="n">
        <v>711</v>
      </c>
      <c r="J11" s="62" t="n">
        <v>1015</v>
      </c>
      <c r="K11" s="62" t="n">
        <v>617</v>
      </c>
      <c r="L11" s="62" t="n">
        <v>3684</v>
      </c>
      <c r="M11" s="62" t="n">
        <v>449</v>
      </c>
      <c r="N11" s="62" t="n">
        <v>171</v>
      </c>
      <c r="O11" s="62" t="n">
        <v>722</v>
      </c>
      <c r="P11" s="62" t="n">
        <v>259</v>
      </c>
      <c r="Q11" s="62" t="n">
        <f aca="false">F11/D11</f>
        <v>0.256152596425778</v>
      </c>
      <c r="R11" s="62" t="n">
        <f aca="false">(F11+L11+M11)/(D11+L11+M11+P11)</f>
        <v>0.336088227478076</v>
      </c>
      <c r="S11" s="62" t="n">
        <f aca="false">(1*(F11-G11-H11-I11)+2*G11+3*H11+4*I11)/D11</f>
        <v>0.380468138877189</v>
      </c>
      <c r="T11" s="62" t="n">
        <f aca="false">R11+S11</f>
        <v>0.716556366355265</v>
      </c>
    </row>
    <row r="12" customFormat="false" ht="17.25" hidden="false" customHeight="false" outlineLevel="0" collapsed="false">
      <c r="A12" s="104" t="n">
        <v>1992</v>
      </c>
      <c r="B12" s="62" t="n">
        <f aca="false">('연도별 상수'!N12*(L12-N12)+'연도별 상수'!O12*M12+'연도별 상수'!P12*(F12-G12-H12-I12)+'연도별 상수'!Q12*G12+'연도별 상수'!R12*H12+'연도별 상수'!S12*I12)/(D12+L12+M12-N12+P12)</f>
        <v>0.342953355607587</v>
      </c>
      <c r="C12" s="62" t="n">
        <v>38797</v>
      </c>
      <c r="D12" s="62" t="n">
        <v>33563</v>
      </c>
      <c r="E12" s="62" t="n">
        <v>4801</v>
      </c>
      <c r="F12" s="62" t="n">
        <v>8872</v>
      </c>
      <c r="G12" s="62" t="n">
        <v>1479</v>
      </c>
      <c r="H12" s="62" t="n">
        <v>239</v>
      </c>
      <c r="I12" s="62" t="n">
        <v>871</v>
      </c>
      <c r="J12" s="62" t="n">
        <v>844</v>
      </c>
      <c r="K12" s="62" t="n">
        <v>447</v>
      </c>
      <c r="L12" s="62" t="n">
        <v>3871</v>
      </c>
      <c r="M12" s="62" t="n">
        <v>446</v>
      </c>
      <c r="N12" s="62" t="n">
        <v>153</v>
      </c>
      <c r="O12" s="62" t="n">
        <v>834</v>
      </c>
      <c r="P12" s="62" t="n">
        <v>284</v>
      </c>
      <c r="Q12" s="62" t="n">
        <f aca="false">F12/D12</f>
        <v>0.2643387063135</v>
      </c>
      <c r="R12" s="62" t="n">
        <f aca="false">(F12+L12+M12)/(D12+L12+M12+P12)</f>
        <v>0.345587464626349</v>
      </c>
      <c r="S12" s="62" t="n">
        <f aca="false">(1*(F12-G12-H12-I12)+2*G12+3*H12+4*I12)/D12</f>
        <v>0.400500551202217</v>
      </c>
      <c r="T12" s="62" t="n">
        <f aca="false">R12+S12</f>
        <v>0.746088015828566</v>
      </c>
    </row>
    <row r="13" customFormat="false" ht="17.25" hidden="false" customHeight="false" outlineLevel="0" collapsed="false">
      <c r="A13" s="104" t="n">
        <v>1993</v>
      </c>
      <c r="B13" s="62" t="n">
        <f aca="false">('연도별 상수'!N13*(L13-N13)+'연도별 상수'!O13*M13+'연도별 상수'!P13*(F13-G13-H13-I13)+'연도별 상수'!Q13*G13+'연도별 상수'!R13*H13+'연도별 상수'!S13*I13)/(D13+L13+M13-N13+P13)</f>
        <v>0.317903409398883</v>
      </c>
      <c r="C13" s="62" t="n">
        <v>37717</v>
      </c>
      <c r="D13" s="62" t="n">
        <v>33070</v>
      </c>
      <c r="E13" s="62" t="n">
        <v>3721</v>
      </c>
      <c r="F13" s="62" t="n">
        <v>8156</v>
      </c>
      <c r="G13" s="62" t="n">
        <v>1339</v>
      </c>
      <c r="H13" s="62" t="n">
        <v>180</v>
      </c>
      <c r="I13" s="62" t="n">
        <v>552</v>
      </c>
      <c r="J13" s="62" t="n">
        <v>936</v>
      </c>
      <c r="K13" s="62" t="n">
        <v>521</v>
      </c>
      <c r="L13" s="62" t="n">
        <v>3263</v>
      </c>
      <c r="M13" s="62" t="n">
        <v>419</v>
      </c>
      <c r="N13" s="62" t="n">
        <v>108</v>
      </c>
      <c r="O13" s="62" t="n">
        <v>774</v>
      </c>
      <c r="P13" s="62" t="n">
        <v>254</v>
      </c>
      <c r="Q13" s="62" t="n">
        <f aca="false">F13/D13</f>
        <v>0.246628364076202</v>
      </c>
      <c r="R13" s="62" t="n">
        <f aca="false">(F13+L13+M13)/(D13+L13+M13+P13)</f>
        <v>0.319894071231692</v>
      </c>
      <c r="S13" s="62" t="n">
        <f aca="false">(1*(F13-G13-H13-I13)+2*G13+3*H13+4*I13)/D13</f>
        <v>0.348079830662232</v>
      </c>
      <c r="T13" s="62" t="n">
        <f aca="false">R13+S13</f>
        <v>0.667973901893924</v>
      </c>
    </row>
    <row r="14" customFormat="false" ht="17.25" hidden="false" customHeight="false" outlineLevel="0" collapsed="false">
      <c r="A14" s="104" t="n">
        <v>1994</v>
      </c>
      <c r="B14" s="62" t="n">
        <f aca="false">('연도별 상수'!N14*(L14-N14)+'연도별 상수'!O14*M14+'연도별 상수'!P14*(F14-G14-H14-I14)+'연도별 상수'!Q14*G14+'연도별 상수'!R14*H14+'연도별 상수'!S14*I14)/(D14+L14+M14-N14+P14)</f>
        <v>0.324722049395407</v>
      </c>
      <c r="C14" s="62" t="n">
        <v>37828</v>
      </c>
      <c r="D14" s="62" t="n">
        <v>33221</v>
      </c>
      <c r="E14" s="62" t="n">
        <v>4186</v>
      </c>
      <c r="F14" s="62" t="n">
        <v>8540</v>
      </c>
      <c r="G14" s="62" t="n">
        <v>1397</v>
      </c>
      <c r="H14" s="62" t="n">
        <v>179</v>
      </c>
      <c r="I14" s="62" t="n">
        <v>666</v>
      </c>
      <c r="J14" s="62" t="n">
        <v>995</v>
      </c>
      <c r="K14" s="62" t="n">
        <v>528</v>
      </c>
      <c r="L14" s="62" t="n">
        <v>3167</v>
      </c>
      <c r="M14" s="62" t="n">
        <v>445</v>
      </c>
      <c r="N14" s="62" t="n">
        <v>148</v>
      </c>
      <c r="O14" s="62" t="n">
        <v>681</v>
      </c>
      <c r="P14" s="62" t="n">
        <v>282</v>
      </c>
      <c r="Q14" s="62" t="n">
        <f aca="false">F14/D14</f>
        <v>0.257066313476416</v>
      </c>
      <c r="R14" s="62" t="n">
        <f aca="false">(F14+L14+M14)/(D14+L14+M14+P14)</f>
        <v>0.327414791863128</v>
      </c>
      <c r="S14" s="62" t="n">
        <f aca="false">(1*(F14-G14-H14-I14)+2*G14+3*H14+4*I14)/D14</f>
        <v>0.370037024773487</v>
      </c>
      <c r="T14" s="62" t="n">
        <f aca="false">R14+S14</f>
        <v>0.697451816636615</v>
      </c>
    </row>
    <row r="15" customFormat="false" ht="17.25" hidden="false" customHeight="false" outlineLevel="0" collapsed="false">
      <c r="A15" s="104" t="n">
        <v>1995</v>
      </c>
      <c r="B15" s="62" t="n">
        <f aca="false">('연도별 상수'!N15*(L15-N15)+'연도별 상수'!O15*M15+'연도별 상수'!P15*(F15-G15-H15-I15)+'연도별 상수'!Q15*G15+'연도별 상수'!R15*H15+'연도별 상수'!S15*I15)/(D15+L15+M15-N15+P15)</f>
        <v>0.318942328383904</v>
      </c>
      <c r="C15" s="62" t="n">
        <v>37945</v>
      </c>
      <c r="D15" s="62" t="n">
        <v>33393</v>
      </c>
      <c r="E15" s="62" t="n">
        <v>4188</v>
      </c>
      <c r="F15" s="62" t="n">
        <v>8381</v>
      </c>
      <c r="G15" s="62" t="n">
        <v>1425</v>
      </c>
      <c r="H15" s="62" t="n">
        <v>221</v>
      </c>
      <c r="I15" s="62" t="n">
        <v>680</v>
      </c>
      <c r="J15" s="62" t="n">
        <v>1012</v>
      </c>
      <c r="K15" s="62" t="n">
        <v>455</v>
      </c>
      <c r="L15" s="62" t="n">
        <v>3123</v>
      </c>
      <c r="M15" s="62" t="n">
        <v>514</v>
      </c>
      <c r="N15" s="62" t="n">
        <v>161</v>
      </c>
      <c r="O15" s="62" t="n">
        <v>680</v>
      </c>
      <c r="P15" s="62" t="n">
        <v>307</v>
      </c>
      <c r="Q15" s="62" t="n">
        <f aca="false">F15/D15</f>
        <v>0.250980744467403</v>
      </c>
      <c r="R15" s="62" t="n">
        <f aca="false">(F15+L15+M15)/(D15+L15+M15+P15)</f>
        <v>0.321879101159708</v>
      </c>
      <c r="S15" s="62" t="n">
        <f aca="false">(1*(F15-G15-H15-I15)+2*G15+3*H15+4*I15)/D15</f>
        <v>0.367981313448926</v>
      </c>
      <c r="T15" s="62" t="n">
        <f aca="false">R15+S15</f>
        <v>0.689860414608634</v>
      </c>
    </row>
    <row r="16" customFormat="false" ht="17.25" hidden="false" customHeight="false" outlineLevel="0" collapsed="false">
      <c r="A16" s="104" t="n">
        <v>1996</v>
      </c>
      <c r="B16" s="62" t="n">
        <f aca="false">('연도별 상수'!N16*(L16-N16)+'연도별 상수'!O16*M16+'연도별 상수'!P16*(F16-G16-H16-I16)+'연도별 상수'!Q16*G16+'연도별 상수'!R16*H16+'연도별 상수'!S16*I16)/(D16+L16+M16-N16+P16)</f>
        <v>0.322938248351944</v>
      </c>
      <c r="C16" s="62" t="n">
        <v>38138</v>
      </c>
      <c r="D16" s="62" t="n">
        <v>33234</v>
      </c>
      <c r="E16" s="62" t="n">
        <v>4161</v>
      </c>
      <c r="F16" s="62" t="n">
        <v>8342</v>
      </c>
      <c r="G16" s="62" t="n">
        <v>1506</v>
      </c>
      <c r="H16" s="62" t="n">
        <v>197</v>
      </c>
      <c r="I16" s="62" t="n">
        <v>686</v>
      </c>
      <c r="J16" s="62" t="n">
        <v>909</v>
      </c>
      <c r="K16" s="62" t="n">
        <v>530</v>
      </c>
      <c r="L16" s="62" t="n">
        <v>3307</v>
      </c>
      <c r="M16" s="62" t="n">
        <v>573</v>
      </c>
      <c r="N16" s="62" t="n">
        <v>220</v>
      </c>
      <c r="O16" s="62" t="n">
        <v>692</v>
      </c>
      <c r="P16" s="62" t="n">
        <v>271</v>
      </c>
      <c r="Q16" s="62" t="n">
        <f aca="false">F16/D16</f>
        <v>0.251008003851477</v>
      </c>
      <c r="R16" s="62" t="n">
        <f aca="false">(F16+L16+M16)/(D16+L16+M16+P16)</f>
        <v>0.326922562525077</v>
      </c>
      <c r="S16" s="62" t="n">
        <f aca="false">(1*(F16-G16-H16-I16)+2*G16+3*H16+4*I16)/D16</f>
        <v>0.370102906661852</v>
      </c>
      <c r="T16" s="62" t="n">
        <f aca="false">R16+S16</f>
        <v>0.697025469186929</v>
      </c>
    </row>
    <row r="17" customFormat="false" ht="17.25" hidden="false" customHeight="false" outlineLevel="0" collapsed="false">
      <c r="A17" s="104" t="n">
        <v>1997</v>
      </c>
      <c r="B17" s="62" t="n">
        <f aca="false">('연도별 상수'!N17*(L17-N17)+'연도별 상수'!O17*M17+'연도별 상수'!P17*(F17-G17-H17-I17)+'연도별 상수'!Q17*G17+'연도별 상수'!R17*H17+'연도별 상수'!S17*I17)/(D17+L17+M17-N17+P17)</f>
        <v>0.330034249346026</v>
      </c>
      <c r="C17" s="62" t="n">
        <v>38142</v>
      </c>
      <c r="D17" s="62" t="n">
        <v>33091</v>
      </c>
      <c r="E17" s="62" t="n">
        <v>4453</v>
      </c>
      <c r="F17" s="62" t="n">
        <v>8532</v>
      </c>
      <c r="G17" s="62" t="n">
        <v>1577</v>
      </c>
      <c r="H17" s="62" t="n">
        <v>170</v>
      </c>
      <c r="I17" s="62" t="n">
        <v>834</v>
      </c>
      <c r="J17" s="62" t="n">
        <v>966</v>
      </c>
      <c r="K17" s="62" t="n">
        <v>529</v>
      </c>
      <c r="L17" s="62" t="n">
        <v>3380</v>
      </c>
      <c r="M17" s="62" t="n">
        <v>566</v>
      </c>
      <c r="N17" s="62" t="n">
        <v>240</v>
      </c>
      <c r="O17" s="62" t="n">
        <v>715</v>
      </c>
      <c r="P17" s="62" t="n">
        <v>284</v>
      </c>
      <c r="Q17" s="62" t="n">
        <f aca="false">F17/D17</f>
        <v>0.257834456498746</v>
      </c>
      <c r="R17" s="62" t="n">
        <f aca="false">(F17+L17+M17)/(D17+L17+M17+P17)</f>
        <v>0.334342595321669</v>
      </c>
      <c r="S17" s="62" t="n">
        <f aca="false">(1*(F17-G17-H17-I17)+2*G17+3*H17+4*I17)/D17</f>
        <v>0.39137529841951</v>
      </c>
      <c r="T17" s="62" t="n">
        <f aca="false">R17+S17</f>
        <v>0.725717893741179</v>
      </c>
    </row>
    <row r="18" customFormat="false" ht="17.25" hidden="false" customHeight="false" outlineLevel="0" collapsed="false">
      <c r="A18" s="104" t="n">
        <v>1998</v>
      </c>
      <c r="B18" s="62" t="n">
        <f aca="false">('연도별 상수'!N18*(L18-N18)+'연도별 상수'!O18*M18+'연도별 상수'!P18*(F18-G18-H18-I18)+'연도별 상수'!Q18*G18+'연도별 상수'!R18*H18+'연도별 상수'!S18*I18)/(D18+L18+M18-N18+P18)</f>
        <v>0.327681493802651</v>
      </c>
      <c r="C18" s="62" t="n">
        <v>38180</v>
      </c>
      <c r="D18" s="62" t="n">
        <v>33540</v>
      </c>
      <c r="E18" s="62" t="n">
        <v>4446</v>
      </c>
      <c r="F18" s="62" t="n">
        <v>8745</v>
      </c>
      <c r="G18" s="62" t="n">
        <v>1597</v>
      </c>
      <c r="H18" s="62" t="n">
        <v>172</v>
      </c>
      <c r="I18" s="62" t="n">
        <v>891</v>
      </c>
      <c r="J18" s="62" t="n">
        <v>794</v>
      </c>
      <c r="K18" s="62" t="n">
        <v>430</v>
      </c>
      <c r="L18" s="62" t="n">
        <v>3163</v>
      </c>
      <c r="M18" s="62" t="n">
        <v>508</v>
      </c>
      <c r="N18" s="62" t="n">
        <v>202</v>
      </c>
      <c r="O18" s="62" t="n">
        <v>744</v>
      </c>
      <c r="P18" s="62" t="n">
        <v>265</v>
      </c>
      <c r="Q18" s="62" t="n">
        <f aca="false">F18/D18</f>
        <v>0.260733452593918</v>
      </c>
      <c r="R18" s="62" t="n">
        <f aca="false">(F18+L18+M18)/(D18+L18+M18+P18)</f>
        <v>0.331305368769346</v>
      </c>
      <c r="S18" s="62" t="n">
        <f aca="false">(1*(F18-G18-H18-I18)+2*G18+3*H18+4*I18)/D18</f>
        <v>0.39830053667263</v>
      </c>
      <c r="T18" s="62" t="n">
        <f aca="false">R18+S18</f>
        <v>0.729605905441976</v>
      </c>
    </row>
    <row r="19" customFormat="false" ht="17.25" hidden="false" customHeight="false" outlineLevel="0" collapsed="false">
      <c r="A19" s="104" t="n">
        <v>1999</v>
      </c>
      <c r="B19" s="62" t="n">
        <f aca="false">('연도별 상수'!N19*(L19-N19)+'연도별 상수'!O19*M19+'연도별 상수'!P19*(F19-G19-H19-I19)+'연도별 상수'!Q19*G19+'연도별 상수'!R19*H19+'연도별 상수'!S19*I19)/(D19+L19+M19-N19+P19)</f>
        <v>0.349806058820641</v>
      </c>
      <c r="C19" s="62" t="n">
        <v>41598</v>
      </c>
      <c r="D19" s="62" t="n">
        <v>36160</v>
      </c>
      <c r="E19" s="62" t="n">
        <v>5684</v>
      </c>
      <c r="F19" s="62" t="n">
        <v>9995</v>
      </c>
      <c r="G19" s="62" t="n">
        <v>1722</v>
      </c>
      <c r="H19" s="62" t="n">
        <v>206</v>
      </c>
      <c r="I19" s="62" t="n">
        <v>1274</v>
      </c>
      <c r="J19" s="62" t="n">
        <v>934</v>
      </c>
      <c r="K19" s="62" t="n">
        <v>426</v>
      </c>
      <c r="L19" s="62" t="n">
        <v>3796</v>
      </c>
      <c r="M19" s="62" t="n">
        <v>592</v>
      </c>
      <c r="N19" s="62" t="n">
        <v>134</v>
      </c>
      <c r="O19" s="62" t="n">
        <v>769</v>
      </c>
      <c r="P19" s="62" t="n">
        <v>320</v>
      </c>
      <c r="Q19" s="62" t="n">
        <f aca="false">F19/D19</f>
        <v>0.276410398230089</v>
      </c>
      <c r="R19" s="62" t="n">
        <f aca="false">(F19+L19+M19)/(D19+L19+M19+P19)</f>
        <v>0.351937946559656</v>
      </c>
      <c r="S19" s="62" t="n">
        <f aca="false">(1*(F19-G19-H19-I19)+2*G19+3*H19+4*I19)/D19</f>
        <v>0.441122787610619</v>
      </c>
      <c r="T19" s="62" t="n">
        <f aca="false">R19+S19</f>
        <v>0.793060734170275</v>
      </c>
    </row>
    <row r="20" customFormat="false" ht="17.25" hidden="false" customHeight="false" outlineLevel="0" collapsed="false">
      <c r="A20" s="104" t="n">
        <v>2000</v>
      </c>
      <c r="B20" s="62" t="n">
        <f aca="false">('연도별 상수'!N20*(L20-N20)+'연도별 상수'!O20*M20+'연도별 상수'!P20*(F20-G20-H20-I20)+'연도별 상수'!Q20*G20+'연도별 상수'!R20*H20+'연도별 상수'!S20*I20)/(D20+L20+M20-N20+P20)</f>
        <v>0.344785485800796</v>
      </c>
      <c r="C20" s="62" t="n">
        <v>41605</v>
      </c>
      <c r="D20" s="62" t="n">
        <v>36308</v>
      </c>
      <c r="E20" s="62" t="n">
        <v>5375</v>
      </c>
      <c r="F20" s="62" t="n">
        <v>9792</v>
      </c>
      <c r="G20" s="62" t="n">
        <v>1804</v>
      </c>
      <c r="H20" s="62" t="n">
        <v>159</v>
      </c>
      <c r="I20" s="62" t="n">
        <v>1132</v>
      </c>
      <c r="J20" s="62" t="n">
        <v>747</v>
      </c>
      <c r="K20" s="62" t="n">
        <v>359</v>
      </c>
      <c r="L20" s="62" t="n">
        <v>3925</v>
      </c>
      <c r="M20" s="62" t="n">
        <v>536</v>
      </c>
      <c r="N20" s="62" t="n">
        <v>133</v>
      </c>
      <c r="O20" s="62" t="n">
        <v>836</v>
      </c>
      <c r="P20" s="62" t="n">
        <v>317</v>
      </c>
      <c r="Q20" s="62" t="n">
        <f aca="false">F20/D20</f>
        <v>0.269692629723477</v>
      </c>
      <c r="R20" s="62" t="n">
        <f aca="false">(F20+L20+M20)/(D20+L20+M20+P20)</f>
        <v>0.346906488828311</v>
      </c>
      <c r="S20" s="62" t="n">
        <f aca="false">(1*(F20-G20-H20-I20)+2*G20+3*H20+4*I20)/D20</f>
        <v>0.421670155337667</v>
      </c>
      <c r="T20" s="62" t="n">
        <f aca="false">R20+S20</f>
        <v>0.768576644165978</v>
      </c>
    </row>
    <row r="21" customFormat="false" ht="17.25" hidden="false" customHeight="false" outlineLevel="0" collapsed="false">
      <c r="A21" s="104" t="n">
        <v>2001</v>
      </c>
      <c r="B21" s="62" t="n">
        <f aca="false">('연도별 상수'!N21*(L21-N21)+'연도별 상수'!O21*M21+'연도별 상수'!P21*(F21-G21-H21-I21)+'연도별 상수'!Q21*G21+'연도별 상수'!R21*H21+'연도별 상수'!S21*I21)/(D21+L21+M21-N21+P21)</f>
        <v>0.353784458745558</v>
      </c>
      <c r="C21" s="62" t="n">
        <v>42503</v>
      </c>
      <c r="D21" s="62" t="n">
        <v>36606</v>
      </c>
      <c r="E21" s="62" t="n">
        <v>5571</v>
      </c>
      <c r="F21" s="62" t="n">
        <v>10017</v>
      </c>
      <c r="G21" s="62" t="n">
        <v>1765</v>
      </c>
      <c r="H21" s="62" t="n">
        <v>161</v>
      </c>
      <c r="I21" s="62" t="n">
        <v>1080</v>
      </c>
      <c r="J21" s="62" t="n">
        <v>874</v>
      </c>
      <c r="K21" s="62" t="n">
        <v>445</v>
      </c>
      <c r="L21" s="62" t="n">
        <v>4397</v>
      </c>
      <c r="M21" s="62" t="n">
        <v>523</v>
      </c>
      <c r="N21" s="62" t="n">
        <v>204</v>
      </c>
      <c r="O21" s="62" t="n">
        <v>868</v>
      </c>
      <c r="P21" s="62" t="n">
        <v>322</v>
      </c>
      <c r="Q21" s="62" t="n">
        <f aca="false">F21/D21</f>
        <v>0.273643664972955</v>
      </c>
      <c r="R21" s="62" t="n">
        <f aca="false">(F21+L21+M21)/(D21+L21+M21+P21)</f>
        <v>0.356934620531447</v>
      </c>
      <c r="S21" s="62" t="n">
        <f aca="false">(1*(F21-G21-H21-I21)+2*G21+3*H21+4*I21)/D21</f>
        <v>0.419166256897776</v>
      </c>
      <c r="T21" s="62" t="n">
        <f aca="false">R21+S21</f>
        <v>0.776100877429224</v>
      </c>
    </row>
    <row r="22" customFormat="false" ht="17.25" hidden="false" customHeight="false" outlineLevel="0" collapsed="false">
      <c r="A22" s="104" t="n">
        <v>2002</v>
      </c>
      <c r="B22" s="62" t="n">
        <f aca="false">('연도별 상수'!N22*(L22-N22)+'연도별 상수'!O22*M22+'연도별 상수'!P22*(F22-G22-H22-I22)+'연도별 상수'!Q22*G22+'연도별 상수'!R22*H22+'연도별 상수'!S22*I22)/(D22+L22+M22-N22+P22)</f>
        <v>0.332356447446851</v>
      </c>
      <c r="C22" s="62" t="n">
        <v>40986</v>
      </c>
      <c r="D22" s="62" t="n">
        <v>36135</v>
      </c>
      <c r="E22" s="62" t="n">
        <v>4932</v>
      </c>
      <c r="F22" s="62" t="n">
        <v>9517</v>
      </c>
      <c r="G22" s="62" t="n">
        <v>1679</v>
      </c>
      <c r="H22" s="62" t="n">
        <v>154</v>
      </c>
      <c r="I22" s="62" t="n">
        <v>1127</v>
      </c>
      <c r="J22" s="62" t="n">
        <v>777</v>
      </c>
      <c r="K22" s="62" t="n">
        <v>406</v>
      </c>
      <c r="L22" s="62" t="n">
        <v>3388</v>
      </c>
      <c r="M22" s="62" t="n">
        <v>658</v>
      </c>
      <c r="N22" s="62" t="n">
        <v>181</v>
      </c>
      <c r="O22" s="62" t="n">
        <v>777</v>
      </c>
      <c r="P22" s="62" t="n">
        <v>264</v>
      </c>
      <c r="Q22" s="62" t="n">
        <f aca="false">F22/D22</f>
        <v>0.263373460633735</v>
      </c>
      <c r="R22" s="62" t="n">
        <f aca="false">(F22+L22+M22)/(D22+L22+M22+P22)</f>
        <v>0.335344294721226</v>
      </c>
      <c r="S22" s="62" t="n">
        <f aca="false">(1*(F22-G22-H22-I22)+2*G22+3*H22+4*I22)/D22</f>
        <v>0.411927494119275</v>
      </c>
      <c r="T22" s="62" t="n">
        <f aca="false">R22+S22</f>
        <v>0.747271788840501</v>
      </c>
    </row>
    <row r="23" customFormat="false" ht="17.25" hidden="false" customHeight="false" outlineLevel="0" collapsed="false">
      <c r="A23" s="104" t="n">
        <v>2003</v>
      </c>
      <c r="B23" s="62" t="n">
        <f aca="false">('연도별 상수'!N23*(L23-N23)+'연도별 상수'!O23*M23+'연도별 상수'!P23*(F23-G23-H23-I23)+'연도별 상수'!Q23*G23+'연도별 상수'!R23*H23+'연도별 상수'!S23*I23)/(D23+L23+M23-N23+P23)</f>
        <v>0.342994809129971</v>
      </c>
      <c r="C23" s="62" t="n">
        <v>41152</v>
      </c>
      <c r="D23" s="62" t="n">
        <v>35774</v>
      </c>
      <c r="E23" s="62" t="n">
        <v>4933</v>
      </c>
      <c r="F23" s="62" t="n">
        <v>9607</v>
      </c>
      <c r="G23" s="62" t="n">
        <v>1715</v>
      </c>
      <c r="H23" s="62" t="n">
        <v>149</v>
      </c>
      <c r="I23" s="62" t="n">
        <v>1063</v>
      </c>
      <c r="J23" s="62" t="n">
        <v>714</v>
      </c>
      <c r="K23" s="62" t="n">
        <v>425</v>
      </c>
      <c r="L23" s="62" t="n">
        <v>3729</v>
      </c>
      <c r="M23" s="62" t="n">
        <v>605</v>
      </c>
      <c r="N23" s="62" t="n">
        <v>131</v>
      </c>
      <c r="O23" s="62" t="n">
        <v>765</v>
      </c>
      <c r="P23" s="62" t="n">
        <v>286</v>
      </c>
      <c r="Q23" s="62" t="n">
        <f aca="false">F23/D23</f>
        <v>0.268546989433667</v>
      </c>
      <c r="R23" s="62" t="n">
        <f aca="false">(F23+L23+M23)/(D23+L23+M23+P23)</f>
        <v>0.345125513690152</v>
      </c>
      <c r="S23" s="62" t="n">
        <f aca="false">(1*(F23-G23-H23-I23)+2*G23+3*H23+4*I23)/D23</f>
        <v>0.413959859115559</v>
      </c>
      <c r="T23" s="62" t="n">
        <f aca="false">R23+S23</f>
        <v>0.759085372805711</v>
      </c>
    </row>
    <row r="24" customFormat="false" ht="17.25" hidden="false" customHeight="false" outlineLevel="0" collapsed="false">
      <c r="A24" s="104" t="n">
        <v>2004</v>
      </c>
      <c r="B24" s="62" t="n">
        <f aca="false">('연도별 상수'!N24*(L24-N24)+'연도별 상수'!O24*M24+'연도별 상수'!P24*(F24-G24-H24-I24)+'연도별 상수'!Q24*G24+'연도별 상수'!R24*H24+'연도별 상수'!S24*I24)/(D24+L24+M24-N24+P24)</f>
        <v>0.344232762450027</v>
      </c>
      <c r="C24" s="62" t="n">
        <v>41351</v>
      </c>
      <c r="D24" s="62" t="n">
        <v>35812</v>
      </c>
      <c r="E24" s="62" t="n">
        <v>4990</v>
      </c>
      <c r="F24" s="62" t="n">
        <v>9541</v>
      </c>
      <c r="G24" s="62" t="n">
        <v>1653</v>
      </c>
      <c r="H24" s="62" t="n">
        <v>121</v>
      </c>
      <c r="I24" s="62" t="n">
        <v>966</v>
      </c>
      <c r="J24" s="62" t="n">
        <v>678</v>
      </c>
      <c r="K24" s="62" t="n">
        <v>389</v>
      </c>
      <c r="L24" s="62" t="n">
        <v>3883</v>
      </c>
      <c r="M24" s="62" t="n">
        <v>681</v>
      </c>
      <c r="N24" s="62" t="n">
        <v>156</v>
      </c>
      <c r="O24" s="62" t="n">
        <v>828</v>
      </c>
      <c r="P24" s="62" t="n">
        <v>302</v>
      </c>
      <c r="Q24" s="62" t="n">
        <f aca="false">F24/D24</f>
        <v>0.266419077404222</v>
      </c>
      <c r="R24" s="62" t="n">
        <f aca="false">(F24+L24+M24)/(D24+L24+M24+P24)</f>
        <v>0.34674762771031</v>
      </c>
      <c r="S24" s="62" t="n">
        <f aca="false">(1*(F24-G24-H24-I24)+2*G24+3*H24+4*I24)/D24</f>
        <v>0.400256897129454</v>
      </c>
      <c r="T24" s="62" t="n">
        <f aca="false">R24+S24</f>
        <v>0.747004524839764</v>
      </c>
    </row>
    <row r="25" customFormat="false" ht="17.25" hidden="false" customHeight="false" outlineLevel="0" collapsed="false">
      <c r="A25" s="104" t="n">
        <v>2005</v>
      </c>
      <c r="B25" s="62" t="n">
        <f aca="false">('연도별 상수'!N25*(L25-N25)+'연도별 상수'!O25*M25+'연도별 상수'!P25*(F25-G25-H25-I25)+'연도별 상수'!Q25*G25+'연도별 상수'!R25*H25+'연도별 상수'!S25*I25)/(D25+L25+M25-N25+P25)</f>
        <v>0.339495005112877</v>
      </c>
      <c r="C25" s="62" t="n">
        <v>38976</v>
      </c>
      <c r="D25" s="62" t="n">
        <v>33847</v>
      </c>
      <c r="E25" s="62" t="n">
        <v>4626</v>
      </c>
      <c r="F25" s="62" t="n">
        <v>8912</v>
      </c>
      <c r="G25" s="62" t="n">
        <v>1488</v>
      </c>
      <c r="H25" s="62" t="n">
        <v>117</v>
      </c>
      <c r="I25" s="62" t="n">
        <v>876</v>
      </c>
      <c r="J25" s="62" t="n">
        <v>782</v>
      </c>
      <c r="K25" s="62" t="n">
        <v>344</v>
      </c>
      <c r="L25" s="62" t="n">
        <v>3458</v>
      </c>
      <c r="M25" s="62" t="n">
        <v>711</v>
      </c>
      <c r="N25" s="62" t="n">
        <v>133</v>
      </c>
      <c r="O25" s="62" t="n">
        <v>755</v>
      </c>
      <c r="P25" s="62" t="n">
        <v>256</v>
      </c>
      <c r="Q25" s="62" t="n">
        <f aca="false">F25/D25</f>
        <v>0.263302508346382</v>
      </c>
      <c r="R25" s="62" t="n">
        <f aca="false">(F25+L25+M25)/(D25+L25+M25+P25)</f>
        <v>0.341790342809365</v>
      </c>
      <c r="S25" s="62" t="n">
        <f aca="false">(1*(F25-G25-H25-I25)+2*G25+3*H25+4*I25)/D25</f>
        <v>0.391822022631252</v>
      </c>
      <c r="T25" s="62" t="n">
        <f aca="false">R25+S25</f>
        <v>0.733612365440617</v>
      </c>
    </row>
    <row r="26" customFormat="false" ht="17.25" hidden="false" customHeight="false" outlineLevel="0" collapsed="false">
      <c r="A26" s="104" t="n">
        <v>2006</v>
      </c>
      <c r="B26" s="62" t="n">
        <f aca="false">('연도별 상수'!N26*(L26-N26)+'연도별 상수'!O26*M26+'연도별 상수'!P26*(F26-G26-H26-I26)+'연도별 상수'!Q26*G26+'연도별 상수'!R26*H26+'연도별 상수'!S26*I26)/(D26+L26+M26-N26+P26)</f>
        <v>0.327393130181975</v>
      </c>
      <c r="C26" s="62" t="n">
        <v>38091</v>
      </c>
      <c r="D26" s="62" t="n">
        <v>33212</v>
      </c>
      <c r="E26" s="62" t="n">
        <v>3981</v>
      </c>
      <c r="F26" s="62" t="n">
        <v>8469</v>
      </c>
      <c r="G26" s="62" t="n">
        <v>1423</v>
      </c>
      <c r="H26" s="62" t="n">
        <v>109</v>
      </c>
      <c r="I26" s="62" t="n">
        <v>660</v>
      </c>
      <c r="J26" s="62" t="n">
        <v>745</v>
      </c>
      <c r="K26" s="62" t="n">
        <v>348</v>
      </c>
      <c r="L26" s="62" t="n">
        <v>3293</v>
      </c>
      <c r="M26" s="62" t="n">
        <v>533</v>
      </c>
      <c r="N26" s="62" t="n">
        <v>133</v>
      </c>
      <c r="O26" s="62" t="n">
        <v>781</v>
      </c>
      <c r="P26" s="62" t="n">
        <v>243</v>
      </c>
      <c r="Q26" s="62" t="n">
        <f aca="false">F26/D26</f>
        <v>0.254998193424064</v>
      </c>
      <c r="R26" s="62" t="n">
        <f aca="false">(F26+L26+M26)/(D26+L26+M26+P26)</f>
        <v>0.329792655776401</v>
      </c>
      <c r="S26" s="62" t="n">
        <f aca="false">(1*(F26-G26-H26-I26)+2*G26+3*H26+4*I26)/D26</f>
        <v>0.364025051186318</v>
      </c>
      <c r="T26" s="62" t="n">
        <f aca="false">R26+S26</f>
        <v>0.693817706962719</v>
      </c>
    </row>
    <row r="27" customFormat="false" ht="17.25" hidden="false" customHeight="false" outlineLevel="0" collapsed="false">
      <c r="A27" s="104" t="n">
        <v>2007</v>
      </c>
      <c r="B27" s="62" t="n">
        <f aca="false">('연도별 상수'!N27*(L27-N27)+'연도별 상수'!O27*M27+'연도별 상수'!P27*(F27-G27-H27-I27)+'연도별 상수'!Q27*G27+'연도별 상수'!R27*H27+'연도별 상수'!S27*I27)/(D27+L27+M27-N27+P27)</f>
        <v>0.336818325102448</v>
      </c>
      <c r="C27" s="62" t="n">
        <v>38995</v>
      </c>
      <c r="D27" s="62" t="n">
        <v>33808</v>
      </c>
      <c r="E27" s="62" t="n">
        <v>4306</v>
      </c>
      <c r="F27" s="62" t="n">
        <v>8879</v>
      </c>
      <c r="G27" s="62" t="n">
        <v>1532</v>
      </c>
      <c r="H27" s="62" t="n">
        <v>134</v>
      </c>
      <c r="I27" s="62" t="n">
        <v>703</v>
      </c>
      <c r="J27" s="62" t="n">
        <v>764</v>
      </c>
      <c r="K27" s="62" t="n">
        <v>366</v>
      </c>
      <c r="L27" s="62" t="n">
        <v>3615</v>
      </c>
      <c r="M27" s="62" t="n">
        <v>519</v>
      </c>
      <c r="N27" s="62" t="n">
        <v>191</v>
      </c>
      <c r="O27" s="62" t="n">
        <v>831</v>
      </c>
      <c r="P27" s="62" t="n">
        <v>317</v>
      </c>
      <c r="Q27" s="62" t="n">
        <f aca="false">F27/D27</f>
        <v>0.262630146710838</v>
      </c>
      <c r="R27" s="62" t="n">
        <f aca="false">(F27+L27+M27)/(D27+L27+M27+P27)</f>
        <v>0.340129119945634</v>
      </c>
      <c r="S27" s="62" t="n">
        <f aca="false">(1*(F27-G27-H27-I27)+2*G27+3*H27+4*I27)/D27</f>
        <v>0.378253667770942</v>
      </c>
      <c r="T27" s="62" t="n">
        <f aca="false">R27+S27</f>
        <v>0.718382787716576</v>
      </c>
    </row>
    <row r="28" customFormat="false" ht="17.25" hidden="false" customHeight="false" outlineLevel="0" collapsed="false">
      <c r="A28" s="104" t="n">
        <v>2008</v>
      </c>
      <c r="B28" s="62" t="n">
        <f aca="false">('연도별 상수'!N28*(L28-N28)+'연도별 상수'!O28*M28+'연도별 상수'!P28*(F28-G28-H28-I28)+'연도별 상수'!Q28*G28+'연도별 상수'!R28*H28+'연도별 상수'!S28*I28)/(D28+L28+M28-N28+P28)</f>
        <v>0.340005212405525</v>
      </c>
      <c r="C28" s="62" t="n">
        <v>39018</v>
      </c>
      <c r="D28" s="62" t="n">
        <v>34098</v>
      </c>
      <c r="E28" s="62" t="n">
        <v>4522</v>
      </c>
      <c r="F28" s="62" t="n">
        <v>9098</v>
      </c>
      <c r="G28" s="62" t="n">
        <v>1512</v>
      </c>
      <c r="H28" s="62" t="n">
        <v>188</v>
      </c>
      <c r="I28" s="62" t="n">
        <v>646</v>
      </c>
      <c r="J28" s="62" t="n">
        <v>987</v>
      </c>
      <c r="K28" s="62" t="n">
        <v>443</v>
      </c>
      <c r="L28" s="62" t="n">
        <v>3589</v>
      </c>
      <c r="M28" s="62" t="n">
        <v>482</v>
      </c>
      <c r="N28" s="62" t="n">
        <v>123</v>
      </c>
      <c r="O28" s="62" t="n">
        <v>827</v>
      </c>
      <c r="P28" s="62" t="n">
        <v>324</v>
      </c>
      <c r="Q28" s="62" t="n">
        <f aca="false">F28/D28</f>
        <v>0.266819168279665</v>
      </c>
      <c r="R28" s="62" t="n">
        <f aca="false">(F28+L28+M28)/(D28+L28+M28+P28)</f>
        <v>0.342114150624789</v>
      </c>
      <c r="S28" s="62" t="n">
        <f aca="false">(1*(F28-G28-H28-I28)+2*G28+3*H28+4*I28)/D28</f>
        <v>0.379025162766145</v>
      </c>
      <c r="T28" s="62" t="n">
        <f aca="false">R28+S28</f>
        <v>0.721139313390934</v>
      </c>
    </row>
    <row r="29" customFormat="false" ht="17.25" hidden="false" customHeight="false" outlineLevel="0" collapsed="false">
      <c r="A29" s="104" t="n">
        <v>2009</v>
      </c>
      <c r="B29" s="62" t="n">
        <f aca="false">('연도별 상수'!N29*(L29-N29)+'연도별 상수'!O29*M29+'연도별 상수'!P29*(F29-G29-H29-I29)+'연도별 상수'!Q29*G29+'연도별 상수'!R29*H29+'연도별 상수'!S29*I29)/(D29+L29+M29-N29+P29)</f>
        <v>0.355592289180057</v>
      </c>
      <c r="C29" s="62" t="n">
        <v>41864</v>
      </c>
      <c r="D29" s="62" t="n">
        <v>36110</v>
      </c>
      <c r="E29" s="62" t="n">
        <v>5492</v>
      </c>
      <c r="F29" s="62" t="n">
        <v>9938</v>
      </c>
      <c r="G29" s="62" t="n">
        <v>1753</v>
      </c>
      <c r="H29" s="62" t="n">
        <v>158</v>
      </c>
      <c r="I29" s="62" t="n">
        <v>1155</v>
      </c>
      <c r="J29" s="62" t="n">
        <v>1056</v>
      </c>
      <c r="K29" s="62" t="n">
        <v>399</v>
      </c>
      <c r="L29" s="62" t="n">
        <v>4290</v>
      </c>
      <c r="M29" s="62" t="n">
        <v>564</v>
      </c>
      <c r="N29" s="62" t="n">
        <v>164</v>
      </c>
      <c r="O29" s="62" t="n">
        <v>938</v>
      </c>
      <c r="P29" s="62" t="n">
        <v>337</v>
      </c>
      <c r="Q29" s="62" t="n">
        <f aca="false">F29/D29</f>
        <v>0.275214621988369</v>
      </c>
      <c r="R29" s="62" t="n">
        <f aca="false">(F29+L29+M29)/(D29+L29+M29+P29)</f>
        <v>0.3581511343551</v>
      </c>
      <c r="S29" s="62" t="n">
        <f aca="false">(1*(F29-G29-H29-I29)+2*G29+3*H29+4*I29)/D29</f>
        <v>0.428468568263639</v>
      </c>
      <c r="T29" s="62" t="n">
        <f aca="false">R29+S29</f>
        <v>0.786619702618739</v>
      </c>
    </row>
    <row r="30" customFormat="false" ht="17.25" hidden="false" customHeight="false" outlineLevel="0" collapsed="false">
      <c r="A30" s="104" t="n">
        <v>2010</v>
      </c>
      <c r="B30" s="62" t="n">
        <f aca="false">('연도별 상수'!N30*(L30-N30)+'연도별 상수'!O30*M30+'연도별 상수'!P30*(F30-G30-H30-I30)+'연도별 상수'!Q30*G30+'연도별 상수'!R30*H30+'연도별 상수'!S30*I30)/(D30+L30+M30-N30+P30)</f>
        <v>0.348436079510553</v>
      </c>
      <c r="C30" s="62" t="n">
        <v>41597</v>
      </c>
      <c r="D30" s="62" t="n">
        <v>35879</v>
      </c>
      <c r="E30" s="62" t="n">
        <v>5301</v>
      </c>
      <c r="F30" s="62" t="n">
        <v>9681</v>
      </c>
      <c r="G30" s="62" t="n">
        <v>1650</v>
      </c>
      <c r="H30" s="62" t="n">
        <v>138</v>
      </c>
      <c r="I30" s="62" t="n">
        <v>990</v>
      </c>
      <c r="J30" s="62" t="n">
        <v>1113</v>
      </c>
      <c r="K30" s="62" t="n">
        <v>470</v>
      </c>
      <c r="L30" s="62" t="n">
        <v>4045</v>
      </c>
      <c r="M30" s="62" t="n">
        <v>616</v>
      </c>
      <c r="N30" s="62" t="n">
        <v>161</v>
      </c>
      <c r="O30" s="62" t="n">
        <v>831</v>
      </c>
      <c r="P30" s="62" t="n">
        <v>320</v>
      </c>
      <c r="Q30" s="62" t="n">
        <f aca="false">F30/D30</f>
        <v>0.269823573678196</v>
      </c>
      <c r="R30" s="62" t="n">
        <f aca="false">(F30+L30+M30)/(D30+L30+M30+P30)</f>
        <v>0.351003426333823</v>
      </c>
      <c r="S30" s="62" t="n">
        <f aca="false">(1*(F30-G30-H30-I30)+2*G30+3*H30+4*I30)/D30</f>
        <v>0.406282226371973</v>
      </c>
      <c r="T30" s="62" t="n">
        <f aca="false">R30+S30</f>
        <v>0.757285652705795</v>
      </c>
    </row>
    <row r="31" customFormat="false" ht="17.25" hidden="false" customHeight="false" outlineLevel="0" collapsed="false">
      <c r="A31" s="104" t="n">
        <v>2011</v>
      </c>
      <c r="B31" s="62" t="n">
        <f aca="false">('연도별 상수'!N31*(L31-N31)+'연도별 상수'!O31*M31+'연도별 상수'!P31*(F31-G31-H31-I31)+'연도별 상수'!Q31*G31+'연도별 상수'!R31*H31+'연도별 상수'!S31*I31)/(D31+L31+M31-N31+P31)</f>
        <v>0.341917166836849</v>
      </c>
      <c r="C31" s="62" t="n">
        <v>41068</v>
      </c>
      <c r="D31" s="62" t="n">
        <v>35543</v>
      </c>
      <c r="E31" s="62" t="n">
        <v>4822</v>
      </c>
      <c r="F31" s="62" t="n">
        <v>9409</v>
      </c>
      <c r="G31" s="62" t="n">
        <v>1562</v>
      </c>
      <c r="H31" s="62" t="n">
        <v>162</v>
      </c>
      <c r="I31" s="62" t="n">
        <v>770</v>
      </c>
      <c r="J31" s="62" t="n">
        <v>933</v>
      </c>
      <c r="K31" s="62" t="n">
        <v>448</v>
      </c>
      <c r="L31" s="62" t="n">
        <v>3936</v>
      </c>
      <c r="M31" s="62" t="n">
        <v>514</v>
      </c>
      <c r="N31" s="62" t="n">
        <v>130</v>
      </c>
      <c r="O31" s="62" t="n">
        <v>830</v>
      </c>
      <c r="P31" s="62" t="n">
        <v>290</v>
      </c>
      <c r="Q31" s="62" t="n">
        <f aca="false">F31/D31</f>
        <v>0.264721604816701</v>
      </c>
      <c r="R31" s="62" t="n">
        <f aca="false">(F31+L31+M31)/(D31+L31+M31+P31)</f>
        <v>0.344040910557804</v>
      </c>
      <c r="S31" s="62" t="n">
        <f aca="false">(1*(F31-G31-H31-I31)+2*G31+3*H31+4*I31)/D31</f>
        <v>0.382775792701798</v>
      </c>
      <c r="T31" s="62" t="n">
        <f aca="false">R31+S31</f>
        <v>0.726816703259601</v>
      </c>
    </row>
    <row r="32" customFormat="false" ht="17.25" hidden="false" customHeight="false" outlineLevel="0" collapsed="false">
      <c r="A32" s="104" t="n">
        <v>2012</v>
      </c>
      <c r="B32" s="62" t="n">
        <f aca="false">('연도별 상수'!N32*(L32-N32)+'연도별 상수'!O32*M32+'연도별 상수'!P32*(F32-G32-H32-I32)+'연도별 상수'!Q32*G32+'연도별 상수'!R32*H32+'연도별 상수'!S32*I32)/(D32+L32+M32-N32+P32)</f>
        <v>0.331825190202967</v>
      </c>
      <c r="C32" s="62" t="n">
        <v>40527</v>
      </c>
      <c r="D32" s="62" t="n">
        <v>35199</v>
      </c>
      <c r="E32" s="62" t="n">
        <v>4380</v>
      </c>
      <c r="F32" s="62" t="n">
        <v>9072</v>
      </c>
      <c r="G32" s="62" t="n">
        <v>1577</v>
      </c>
      <c r="H32" s="62" t="n">
        <v>160</v>
      </c>
      <c r="I32" s="62" t="n">
        <v>615</v>
      </c>
      <c r="J32" s="62" t="n">
        <v>1022</v>
      </c>
      <c r="K32" s="62" t="n">
        <v>460</v>
      </c>
      <c r="L32" s="62" t="n">
        <v>3698</v>
      </c>
      <c r="M32" s="62" t="n">
        <v>498</v>
      </c>
      <c r="N32" s="62" t="n">
        <v>140</v>
      </c>
      <c r="O32" s="62" t="n">
        <v>784</v>
      </c>
      <c r="P32" s="62" t="n">
        <v>308</v>
      </c>
      <c r="Q32" s="62" t="n">
        <f aca="false">F32/D32</f>
        <v>0.257734594732805</v>
      </c>
      <c r="R32" s="62" t="n">
        <f aca="false">(F32+L32+M32)/(D32+L32+M32+P32)</f>
        <v>0.334181296123719</v>
      </c>
      <c r="S32" s="62" t="n">
        <f aca="false">(1*(F32-G32-H32-I32)+2*G32+3*H32+4*I32)/D32</f>
        <v>0.364044433080485</v>
      </c>
      <c r="T32" s="62" t="n">
        <f aca="false">R32+S32</f>
        <v>0.698225729204204</v>
      </c>
    </row>
    <row r="33" customFormat="false" ht="17.25" hidden="false" customHeight="false" outlineLevel="0" collapsed="false">
      <c r="A33" s="104" t="n">
        <v>2013</v>
      </c>
      <c r="B33" s="62" t="n">
        <f aca="false">('연도별 상수'!N33*(L33-N33)+'연도별 상수'!O33*M33+'연도별 상수'!P33*(F33-G33-H33-I33)+'연도별 상수'!Q33*G33+'연도별 상수'!R33*H33+'연도별 상수'!S33*I33)/(D33+L33+M33-N33+P33)</f>
        <v>0.347904993080919</v>
      </c>
      <c r="C33" s="62" t="n">
        <v>44893</v>
      </c>
      <c r="D33" s="62" t="n">
        <v>38794</v>
      </c>
      <c r="E33" s="62" t="n">
        <v>5353</v>
      </c>
      <c r="F33" s="62" t="n">
        <v>10411</v>
      </c>
      <c r="G33" s="62" t="n">
        <v>1845</v>
      </c>
      <c r="H33" s="62" t="n">
        <v>192</v>
      </c>
      <c r="I33" s="62" t="n">
        <v>798</v>
      </c>
      <c r="J33" s="62" t="n">
        <v>1167</v>
      </c>
      <c r="K33" s="62" t="n">
        <v>502</v>
      </c>
      <c r="L33" s="62" t="n">
        <v>4351</v>
      </c>
      <c r="M33" s="62" t="n">
        <v>703</v>
      </c>
      <c r="N33" s="62" t="n">
        <v>129</v>
      </c>
      <c r="O33" s="62" t="n">
        <v>912</v>
      </c>
      <c r="P33" s="62" t="n">
        <v>362</v>
      </c>
      <c r="Q33" s="62" t="n">
        <f aca="false">F33/D33</f>
        <v>0.268366242202402</v>
      </c>
      <c r="R33" s="62" t="n">
        <f aca="false">(F33+L33+M33)/(D33+L33+M33+P33)</f>
        <v>0.349807735806379</v>
      </c>
      <c r="S33" s="62" t="n">
        <f aca="false">(1*(F33-G33-H33-I33)+2*G33+3*H33+4*I33)/D33</f>
        <v>0.387534154766201</v>
      </c>
      <c r="T33" s="62" t="n">
        <f aca="false">R33+S33</f>
        <v>0.73734189057258</v>
      </c>
    </row>
    <row r="34" customFormat="false" ht="17.25" hidden="false" customHeight="false" outlineLevel="0" collapsed="false">
      <c r="A34" s="104" t="n">
        <v>2014</v>
      </c>
      <c r="B34" s="62" t="n">
        <f aca="false">('연도별 상수'!N34*(L34-N34)+'연도별 상수'!O34*M34+'연도별 상수'!P34*(F34-G34-H34-I34)+'연도별 상수'!Q34*G34+'연도별 상수'!R34*H34+'연도별 상수'!S34*I34)/(D34+L34+M34-N34+P34)</f>
        <v>0.363279865295994</v>
      </c>
      <c r="C34" s="62" t="n">
        <v>45853</v>
      </c>
      <c r="D34" s="62" t="n">
        <v>39870</v>
      </c>
      <c r="E34" s="62" t="n">
        <v>6477</v>
      </c>
      <c r="F34" s="62" t="n">
        <v>11533</v>
      </c>
      <c r="G34" s="62" t="n">
        <v>2155</v>
      </c>
      <c r="H34" s="62" t="n">
        <v>237</v>
      </c>
      <c r="I34" s="62" t="n">
        <v>1162</v>
      </c>
      <c r="J34" s="62" t="n">
        <v>1024</v>
      </c>
      <c r="K34" s="62" t="n">
        <v>436</v>
      </c>
      <c r="L34" s="62" t="n">
        <v>4351</v>
      </c>
      <c r="M34" s="62" t="n">
        <v>617</v>
      </c>
      <c r="N34" s="62" t="n">
        <v>104</v>
      </c>
      <c r="O34" s="62" t="n">
        <v>900</v>
      </c>
      <c r="P34" s="62" t="n">
        <v>402</v>
      </c>
      <c r="Q34" s="62" t="n">
        <f aca="false">F34/D34</f>
        <v>0.289265111612741</v>
      </c>
      <c r="R34" s="62" t="n">
        <f aca="false">(F34+L34+M34)/(D34+L34+M34+P34)</f>
        <v>0.36474358974359</v>
      </c>
      <c r="S34" s="62" t="n">
        <f aca="false">(1*(F34-G34-H34-I34)+2*G34+3*H34+4*I34)/D34</f>
        <v>0.442638575369952</v>
      </c>
      <c r="T34" s="62" t="n">
        <f aca="false">R34+S34</f>
        <v>0.807382165113542</v>
      </c>
    </row>
    <row r="35" customFormat="false" ht="17.25" hidden="false" customHeight="false" outlineLevel="0" collapsed="false">
      <c r="A35" s="104" t="n">
        <v>2015</v>
      </c>
      <c r="B35" s="62" t="n">
        <f aca="false">('연도별 상수'!N35*(L35-N35)+'연도별 상수'!O35*M35+'연도별 상수'!P35*(F35-G35-H35-I35)+'연도별 상수'!Q35*G35+'연도별 상수'!R35*H35+'연도별 상수'!S35*I35)/(D35+L35+M35-N35+P35)</f>
        <v>0.35404172801379</v>
      </c>
      <c r="C35" s="62" t="n">
        <v>56742</v>
      </c>
      <c r="D35" s="62" t="n">
        <v>49342</v>
      </c>
      <c r="E35" s="62" t="n">
        <v>7598</v>
      </c>
      <c r="F35" s="62" t="n">
        <v>13804</v>
      </c>
      <c r="G35" s="62" t="n">
        <v>2482</v>
      </c>
      <c r="H35" s="62" t="n">
        <v>202</v>
      </c>
      <c r="I35" s="62" t="n">
        <v>1511</v>
      </c>
      <c r="J35" s="62" t="n">
        <v>1202</v>
      </c>
      <c r="K35" s="62" t="n">
        <v>526</v>
      </c>
      <c r="L35" s="62" t="n">
        <v>5254</v>
      </c>
      <c r="M35" s="62" t="n">
        <v>871</v>
      </c>
      <c r="N35" s="62" t="n">
        <v>211</v>
      </c>
      <c r="O35" s="62" t="n">
        <v>1147</v>
      </c>
      <c r="P35" s="62" t="n">
        <v>438</v>
      </c>
      <c r="Q35" s="62" t="n">
        <f aca="false">F35/D35</f>
        <v>0.279761663491549</v>
      </c>
      <c r="R35" s="62" t="n">
        <f aca="false">(F35+L35+M35)/(D35+L35+M35+P35)</f>
        <v>0.356479742420177</v>
      </c>
      <c r="S35" s="62" t="n">
        <f aca="false">(1*(F35-G35-H35-I35)+2*G35+3*H35+4*I35)/D35</f>
        <v>0.43012038425682</v>
      </c>
      <c r="T35" s="62" t="n">
        <f aca="false">R35+S35</f>
        <v>0.786600126676997</v>
      </c>
    </row>
    <row r="36" customFormat="false" ht="17.25" hidden="false" customHeight="false" outlineLevel="0" collapsed="false">
      <c r="A36" s="104" t="n">
        <v>2016</v>
      </c>
      <c r="B36" s="62" t="n">
        <f aca="false">('연도별 상수'!N36*(L36-N36)+'연도별 상수'!O36*M36+'연도별 상수'!P36*(F36-G36-H36-I36)+'연도별 상수'!Q36*G36+'연도별 상수'!R36*H36+'연도별 상수'!S36*I36)/(D36+L36+M36-N36+P36)</f>
        <v>0.362425202393523</v>
      </c>
      <c r="C36" s="62" t="n">
        <v>57614</v>
      </c>
      <c r="D36" s="62" t="n">
        <v>50280</v>
      </c>
      <c r="E36" s="62" t="n">
        <v>8074</v>
      </c>
      <c r="F36" s="62" t="n">
        <v>14560</v>
      </c>
      <c r="G36" s="62" t="n">
        <v>2480</v>
      </c>
      <c r="H36" s="62" t="n">
        <v>248</v>
      </c>
      <c r="I36" s="62" t="n">
        <v>1483</v>
      </c>
      <c r="J36" s="62" t="n">
        <v>1058</v>
      </c>
      <c r="K36" s="62" t="n">
        <v>547</v>
      </c>
      <c r="L36" s="62" t="n">
        <v>5373</v>
      </c>
      <c r="M36" s="62" t="n">
        <v>800</v>
      </c>
      <c r="N36" s="62" t="n">
        <v>140</v>
      </c>
      <c r="O36" s="62" t="n">
        <v>1172</v>
      </c>
      <c r="P36" s="62" t="n">
        <v>507</v>
      </c>
      <c r="Q36" s="62" t="n">
        <f aca="false">F36/D36</f>
        <v>0.289578361177407</v>
      </c>
      <c r="R36" s="62" t="n">
        <f aca="false">(F36+L36+M36)/(D36+L36+M36+P36)</f>
        <v>0.363992275280899</v>
      </c>
      <c r="S36" s="62" t="n">
        <f aca="false">(1*(F36-G36-H36-I36)+2*G36+3*H36+4*I36)/D36</f>
        <v>0.43725139220366</v>
      </c>
      <c r="T36" s="62" t="n">
        <f aca="false">R36+S36</f>
        <v>0.801243667484558</v>
      </c>
    </row>
    <row r="37" customFormat="false" ht="17.25" hidden="false" customHeight="false" outlineLevel="0" collapsed="false">
      <c r="A37" s="104" t="n">
        <v>2017</v>
      </c>
      <c r="B37" s="62" t="n">
        <f aca="false">('연도별 상수'!N37*(L37-N37)+'연도별 상수'!O37*M37+'연도별 상수'!P37*(F37-G37-H37-I37)+'연도별 상수'!Q37*G37+'연도별 상수'!R37*H37+'연도별 상수'!S37*I37)/(D37+L37+M37-N37+P37)</f>
        <v>0.350935054284848</v>
      </c>
      <c r="C37" s="62" t="n">
        <v>56882</v>
      </c>
      <c r="D37" s="62" t="n">
        <v>50346</v>
      </c>
      <c r="E37" s="62" t="n">
        <v>7682</v>
      </c>
      <c r="F37" s="62" t="n">
        <v>14397</v>
      </c>
      <c r="G37" s="62" t="n">
        <v>2584</v>
      </c>
      <c r="H37" s="62" t="n">
        <v>219</v>
      </c>
      <c r="I37" s="62" t="n">
        <v>1547</v>
      </c>
      <c r="J37" s="62" t="n">
        <v>778</v>
      </c>
      <c r="K37" s="62" t="n">
        <v>407</v>
      </c>
      <c r="L37" s="62" t="n">
        <v>4520</v>
      </c>
      <c r="M37" s="62" t="n">
        <v>953</v>
      </c>
      <c r="N37" s="62" t="n">
        <v>185</v>
      </c>
      <c r="O37" s="62" t="n">
        <v>1178</v>
      </c>
      <c r="P37" s="62" t="n">
        <v>459</v>
      </c>
      <c r="Q37" s="62" t="n">
        <f aca="false">F37/D37</f>
        <v>0.285961148849958</v>
      </c>
      <c r="R37" s="62" t="n">
        <f aca="false">(F37+L37+M37)/(D37+L37+M37+P37)</f>
        <v>0.353068694694197</v>
      </c>
      <c r="S37" s="62" t="n">
        <f aca="false">(1*(F37-G37-H37-I37)+2*G37+3*H37+4*I37)/D37</f>
        <v>0.438167878282287</v>
      </c>
      <c r="T37" s="62" t="n">
        <f aca="false">R37+S37</f>
        <v>0.791236572976483</v>
      </c>
    </row>
    <row r="38" customFormat="false" ht="17.25" hidden="false" customHeight="false" outlineLevel="0" collapsed="false">
      <c r="A38" s="104" t="n">
        <v>2018</v>
      </c>
      <c r="B38" s="62" t="n">
        <f aca="false">('연도별 상수'!N38*(L38-N38)+'연도별 상수'!O38*M38+'연도별 상수'!P38*(F38-G38-H38-I38)+'연도별 상수'!Q38*G38+'연도별 상수'!R38*H38+'연도별 상수'!S38*I38)/(D38+L38+M38-N38+P38)</f>
        <v>0.351010908574068</v>
      </c>
      <c r="C38" s="62" t="n">
        <v>56903</v>
      </c>
      <c r="D38" s="62" t="n">
        <v>50547</v>
      </c>
      <c r="E38" s="62" t="n">
        <v>7994</v>
      </c>
      <c r="F38" s="62" t="n">
        <v>14445</v>
      </c>
      <c r="G38" s="62" t="n">
        <v>2639</v>
      </c>
      <c r="H38" s="62" t="n">
        <v>187</v>
      </c>
      <c r="I38" s="62" t="n">
        <v>1756</v>
      </c>
      <c r="J38" s="62" t="n">
        <v>928</v>
      </c>
      <c r="K38" s="62" t="n">
        <v>410</v>
      </c>
      <c r="L38" s="62" t="n">
        <v>4622</v>
      </c>
      <c r="M38" s="62" t="n">
        <v>860</v>
      </c>
      <c r="N38" s="62" t="n">
        <v>170</v>
      </c>
      <c r="O38" s="62" t="n">
        <v>1138</v>
      </c>
      <c r="P38" s="62" t="n">
        <v>427</v>
      </c>
      <c r="Q38" s="62" t="n">
        <f aca="false">F38/D38</f>
        <v>0.285773636417592</v>
      </c>
      <c r="R38" s="62" t="n">
        <f aca="false">(F38+L38+M38)/(D38+L38+M38+P38)</f>
        <v>0.352965140994757</v>
      </c>
      <c r="S38" s="62" t="n">
        <f aca="false">(1*(F38-G38-H38-I38)+2*G38+3*H38+4*I38)/D38</f>
        <v>0.449601361109462</v>
      </c>
      <c r="T38" s="62" t="n">
        <f aca="false">R38+S38</f>
        <v>0.802566502104219</v>
      </c>
    </row>
    <row r="39" customFormat="false" ht="17.25" hidden="false" customHeight="false" outlineLevel="0" collapsed="false">
      <c r="A39" s="104" t="n">
        <v>2019</v>
      </c>
      <c r="B39" s="62" t="n">
        <f aca="false">('연도별 상수'!N39*(L39-N39)+'연도별 상수'!O39*M39+'연도별 상수'!P39*(F39-G39-H39-I39)+'연도별 상수'!Q39*G39+'연도별 상수'!R39*H39+'연도별 상수'!S39*I39)/(D39+L39+M39-N39+P39)</f>
        <v>0.335337826789964</v>
      </c>
      <c r="C39" s="62" t="n">
        <v>55627</v>
      </c>
      <c r="D39" s="62" t="n">
        <v>49225</v>
      </c>
      <c r="E39" s="62" t="n">
        <v>6548</v>
      </c>
      <c r="F39" s="62" t="n">
        <v>13145</v>
      </c>
      <c r="G39" s="62" t="n">
        <v>2288</v>
      </c>
      <c r="H39" s="62" t="n">
        <v>227</v>
      </c>
      <c r="I39" s="62" t="n">
        <v>1014</v>
      </c>
      <c r="J39" s="62" t="n">
        <v>993</v>
      </c>
      <c r="K39" s="62" t="n">
        <v>423</v>
      </c>
      <c r="L39" s="62" t="n">
        <v>4749</v>
      </c>
      <c r="M39" s="62" t="n">
        <v>711</v>
      </c>
      <c r="N39" s="62" t="n">
        <v>147</v>
      </c>
      <c r="O39" s="62" t="n">
        <v>1122</v>
      </c>
      <c r="P39" s="62" t="n">
        <v>505</v>
      </c>
      <c r="Q39" s="62" t="n">
        <f aca="false">F39/D39</f>
        <v>0.267039106145251</v>
      </c>
      <c r="R39" s="62" t="n">
        <f aca="false">(F39+L39+M39)/(D39+L39+M39+P39)</f>
        <v>0.337108171770248</v>
      </c>
      <c r="S39" s="62" t="n">
        <f aca="false">(1*(F39-G39-H39-I39)+2*G39+3*H39+4*I39)/D39</f>
        <v>0.384540375825292</v>
      </c>
      <c r="T39" s="62" t="n">
        <f aca="false">R39+S39</f>
        <v>0.72164854759554</v>
      </c>
    </row>
    <row r="40" customFormat="false" ht="17.25" hidden="false" customHeight="false" outlineLevel="0" collapsed="false">
      <c r="A40" s="104" t="n">
        <v>2020</v>
      </c>
      <c r="B40" s="62" t="n">
        <f aca="false">('연도별 상수'!N40*(L40-N40)+'연도별 상수'!O40*M40+'연도별 상수'!P40*(F40-G40-H40-I40)+'연도별 상수'!Q40*G40+'연도별 상수'!R40*H40+'연도별 상수'!S40*I40)/(D40+L40+M40-N40+P40)</f>
        <v>0.34672191166753</v>
      </c>
      <c r="C40" s="62" t="n">
        <v>56643</v>
      </c>
      <c r="D40" s="62" t="n">
        <v>49658</v>
      </c>
      <c r="E40" s="62" t="n">
        <v>7436</v>
      </c>
      <c r="F40" s="62" t="n">
        <v>13547</v>
      </c>
      <c r="G40" s="62" t="n">
        <v>2325</v>
      </c>
      <c r="H40" s="62" t="n">
        <v>183</v>
      </c>
      <c r="I40" s="62" t="n">
        <v>1363</v>
      </c>
      <c r="J40" s="62" t="n">
        <v>892</v>
      </c>
      <c r="K40" s="62" t="n">
        <v>377</v>
      </c>
      <c r="L40" s="62" t="n">
        <v>5314</v>
      </c>
      <c r="M40" s="62" t="n">
        <v>716</v>
      </c>
      <c r="N40" s="62" t="n">
        <v>163</v>
      </c>
      <c r="O40" s="62" t="n">
        <v>1174</v>
      </c>
      <c r="P40" s="62" t="n">
        <v>468</v>
      </c>
      <c r="Q40" s="62" t="n">
        <f aca="false">F40/D40</f>
        <v>0.272805992992066</v>
      </c>
      <c r="R40" s="62" t="n">
        <f aca="false">(F40+L40+M40)/(D40+L40+M40+P40)</f>
        <v>0.348618135194814</v>
      </c>
      <c r="S40" s="62" t="n">
        <f aca="false">(1*(F40-G40-H40-I40)+2*G40+3*H40+4*I40)/D40</f>
        <v>0.409339884812115</v>
      </c>
      <c r="T40" s="62" t="n">
        <f aca="false">R40+S40</f>
        <v>0.757958020006929</v>
      </c>
    </row>
    <row r="41" customFormat="false" ht="17.25" hidden="false" customHeight="false" outlineLevel="0" collapsed="false">
      <c r="A41" s="104" t="n">
        <v>2021</v>
      </c>
      <c r="B41" s="62" t="n">
        <f aca="false">('연도별 상수'!N41*(L41-N41)+'연도별 상수'!O41*M41+'연도별 상수'!P41*(F41-G41-H41-I41)+'연도별 상수'!Q41*G41+'연도별 상수'!R41*H41+'연도별 상수'!S41*I41)/(D41+L41+M41-N41+P41)</f>
        <v>0.344218202823207</v>
      </c>
      <c r="C41" s="62" t="n">
        <v>56076</v>
      </c>
      <c r="D41" s="62" t="n">
        <v>48402</v>
      </c>
      <c r="E41" s="62" t="n">
        <v>6896</v>
      </c>
      <c r="F41" s="62" t="n">
        <v>12566</v>
      </c>
      <c r="G41" s="62" t="n">
        <v>2181</v>
      </c>
      <c r="H41" s="62" t="n">
        <v>163</v>
      </c>
      <c r="I41" s="62" t="n">
        <v>1158</v>
      </c>
      <c r="J41" s="62" t="n">
        <v>941</v>
      </c>
      <c r="K41" s="62" t="n">
        <v>394</v>
      </c>
      <c r="L41" s="62" t="n">
        <v>5891</v>
      </c>
      <c r="M41" s="62" t="n">
        <v>792</v>
      </c>
      <c r="N41" s="62" t="n">
        <v>180</v>
      </c>
      <c r="O41" s="62" t="n">
        <v>1078</v>
      </c>
      <c r="P41" s="62" t="n">
        <v>493</v>
      </c>
      <c r="Q41" s="62" t="n">
        <f aca="false">F41/D41</f>
        <v>0.259617371183009</v>
      </c>
      <c r="R41" s="62" t="n">
        <f aca="false">(F41+L41+M41)/(D41+L41+M41+P41)</f>
        <v>0.346342077800569</v>
      </c>
      <c r="S41" s="62" t="n">
        <f aca="false">(1*(F41-G41-H41-I41)+2*G41+3*H41+4*I41)/D41</f>
        <v>0.383186645179951</v>
      </c>
      <c r="T41" s="62" t="n">
        <f aca="false">R41+S41</f>
        <v>0.72952872298052</v>
      </c>
    </row>
    <row r="42" customFormat="false" ht="17.25" hidden="false" customHeight="false" outlineLevel="0" collapsed="false">
      <c r="A42" s="104" t="n">
        <v>2022</v>
      </c>
      <c r="B42" s="62" t="n">
        <f aca="false">('연도별 상수'!N42*(L42-N42)+'연도별 상수'!O42*M42+'연도별 상수'!P42*(F42-G42-H42-I42)+'연도별 상수'!Q42*G42+'연도별 상수'!R42*H42+'연도별 상수'!S42*I42)/(D42+L42+M42-N42+P42)</f>
        <v>0.33086088391578</v>
      </c>
      <c r="C42" s="62" t="n">
        <v>55963</v>
      </c>
      <c r="D42" s="62" t="n">
        <v>49276</v>
      </c>
      <c r="E42" s="62" t="n">
        <v>6523</v>
      </c>
      <c r="F42" s="62" t="n">
        <v>12801</v>
      </c>
      <c r="G42" s="62" t="n">
        <v>2220</v>
      </c>
      <c r="H42" s="62" t="n">
        <v>203</v>
      </c>
      <c r="I42" s="62" t="n">
        <v>1085</v>
      </c>
      <c r="J42" s="62" t="n">
        <v>890</v>
      </c>
      <c r="K42" s="62" t="n">
        <v>367</v>
      </c>
      <c r="L42" s="62" t="n">
        <v>4930</v>
      </c>
      <c r="M42" s="62" t="n">
        <v>721</v>
      </c>
      <c r="N42" s="62" t="n">
        <v>208</v>
      </c>
      <c r="O42" s="62" t="n">
        <v>1076</v>
      </c>
      <c r="P42" s="62" t="n">
        <v>422</v>
      </c>
      <c r="Q42" s="62" t="n">
        <f aca="false">F42/D42</f>
        <v>0.259781638119977</v>
      </c>
      <c r="R42" s="62" t="n">
        <f aca="false">(F42+L42+M42)/(D42+L42+M42+P42)</f>
        <v>0.333375490072088</v>
      </c>
      <c r="S42" s="62" t="n">
        <f aca="false">(1*(F42-G42-H42-I42)+2*G42+3*H42+4*I42)/D42</f>
        <v>0.379129799496712</v>
      </c>
      <c r="T42" s="62" t="n">
        <f aca="false">R42+S42</f>
        <v>0.7125052895688</v>
      </c>
    </row>
    <row r="43" customFormat="false" ht="17.25" hidden="false" customHeight="false" outlineLevel="0" collapsed="false">
      <c r="A43" s="104" t="n">
        <v>2023</v>
      </c>
      <c r="B43" s="62" t="n">
        <f aca="false">('연도별 상수'!N43*(L43-N43)+'연도별 상수'!O43*M43+'연도별 상수'!P43*(F43-G43-H43-I43)+'연도별 상수'!Q43*G43+'연도별 상수'!R43*H43+'연도별 상수'!S43*I43)/(D43+L43+M43-N43+P43)</f>
        <v>0.336390885125131</v>
      </c>
      <c r="C43" s="62" t="n">
        <v>56231</v>
      </c>
      <c r="D43" s="62" t="n">
        <v>49236</v>
      </c>
      <c r="E43" s="62" t="n">
        <v>6622</v>
      </c>
      <c r="F43" s="62" t="n">
        <v>12969</v>
      </c>
      <c r="G43" s="62" t="n">
        <v>2221</v>
      </c>
      <c r="H43" s="62" t="n">
        <v>222</v>
      </c>
      <c r="I43" s="62" t="n">
        <v>924</v>
      </c>
      <c r="J43" s="62" t="n">
        <v>1040</v>
      </c>
      <c r="K43" s="62" t="n">
        <v>397</v>
      </c>
      <c r="L43" s="62" t="n">
        <v>5140</v>
      </c>
      <c r="M43" s="62" t="n">
        <v>696</v>
      </c>
      <c r="N43" s="62" t="n">
        <v>175</v>
      </c>
      <c r="O43" s="62" t="n">
        <v>1015</v>
      </c>
      <c r="P43" s="62" t="n">
        <v>485</v>
      </c>
      <c r="Q43" s="62" t="n">
        <f aca="false">F43/D43</f>
        <v>0.263404825737265</v>
      </c>
      <c r="R43" s="62" t="n">
        <f aca="false">(F43+L43+M43)/(D43+L43+M43+P43)</f>
        <v>0.338481199488813</v>
      </c>
      <c r="S43" s="62" t="n">
        <f aca="false">(1*(F43-G43-H43-I43)+2*G43+3*H43+4*I43)/D43</f>
        <v>0.373832155333496</v>
      </c>
      <c r="T43" s="62" t="n">
        <f aca="false">R43+S43</f>
        <v>0.712313354822309</v>
      </c>
    </row>
    <row r="44" customFormat="false" ht="17.25" hidden="false" customHeight="false" outlineLevel="0" collapsed="false">
      <c r="A44" s="104" t="n">
        <v>2024</v>
      </c>
      <c r="B44" s="62" t="n">
        <f aca="false">('연도별 상수'!N44*(L44-N44)+'연도별 상수'!O44*M44+'연도별 상수'!P44*(F44-G44-H44-I44)+'연도별 상수'!Q44*G44+'연도별 상수'!R44*H44+'연도별 상수'!S44*I44)/(D44+L44+M44-N44+P44)</f>
        <v>0.350108597764475</v>
      </c>
      <c r="C44" s="62" t="n">
        <v>57265</v>
      </c>
      <c r="D44" s="62" t="n">
        <v>50205</v>
      </c>
      <c r="E44" s="62" t="n">
        <v>7740</v>
      </c>
      <c r="F44" s="62" t="n">
        <v>13929</v>
      </c>
      <c r="G44" s="62" t="n">
        <v>2381</v>
      </c>
      <c r="H44" s="62" t="n">
        <v>229</v>
      </c>
      <c r="I44" s="62" t="n">
        <v>1438</v>
      </c>
      <c r="J44" s="62" t="n">
        <v>1152</v>
      </c>
      <c r="K44" s="62" t="n">
        <v>397</v>
      </c>
      <c r="L44" s="62" t="n">
        <v>5265</v>
      </c>
      <c r="M44" s="62" t="n">
        <v>783</v>
      </c>
      <c r="N44" s="62" t="n">
        <v>150</v>
      </c>
      <c r="O44" s="62" t="n">
        <v>1013</v>
      </c>
      <c r="P44" s="62" t="n">
        <v>528</v>
      </c>
      <c r="Q44" s="62" t="n">
        <f aca="false">F44/D44</f>
        <v>0.277442485808186</v>
      </c>
      <c r="R44" s="62" t="n">
        <f aca="false">(F44+L44+M44)/(D44+L44+M44+P44)</f>
        <v>0.351825434564379</v>
      </c>
      <c r="S44" s="62" t="n">
        <f aca="false">(1*(F44-G44-H44-I44)+2*G44+3*H44+4*I44)/D44</f>
        <v>0.419918334827209</v>
      </c>
      <c r="T44" s="62" t="n">
        <f aca="false">R44+S44</f>
        <v>0.771743769391587</v>
      </c>
    </row>
    <row r="45" customFormat="false" ht="17.25" hidden="false" customHeight="false" outlineLevel="0" collapsed="false">
      <c r="A45" s="104" t="n">
        <v>2025</v>
      </c>
      <c r="B45" s="62" t="n">
        <f aca="false">('연도별 상수'!N45*(L45-N45)+'연도별 상수'!O45*M45+'연도별 상수'!P45*(F45-G45-H45-I45)+'연도별 상수'!Q45*G45+'연도별 상수'!R45*H45+'연도별 상수'!S45*I45)/(D45+L45+M45-N45+P45)</f>
        <v>0.336255297569457</v>
      </c>
      <c r="C45" s="62" t="n">
        <v>55996</v>
      </c>
      <c r="D45" s="62" t="n">
        <v>49021</v>
      </c>
      <c r="E45" s="62" t="n">
        <v>6813</v>
      </c>
      <c r="F45" s="62" t="n">
        <v>12824</v>
      </c>
      <c r="G45" s="62" t="n">
        <v>2243</v>
      </c>
      <c r="H45" s="62" t="n">
        <v>208</v>
      </c>
      <c r="I45" s="62" t="n">
        <v>1191</v>
      </c>
      <c r="J45" s="62" t="n">
        <v>1078</v>
      </c>
      <c r="K45" s="62" t="n">
        <v>362</v>
      </c>
      <c r="L45" s="62" t="n">
        <v>5123</v>
      </c>
      <c r="M45" s="62" t="n">
        <v>806</v>
      </c>
      <c r="N45" s="62" t="n">
        <v>187</v>
      </c>
      <c r="O45" s="62" t="n">
        <v>1003</v>
      </c>
      <c r="P45" s="62" t="n">
        <v>451</v>
      </c>
      <c r="Q45" s="62" t="n">
        <f aca="false">F45/D45</f>
        <v>0.261602170498358</v>
      </c>
      <c r="R45" s="62" t="n">
        <f aca="false">(F45+L45+M45)/(D45+L45+M45+P45)</f>
        <v>0.338495695023556</v>
      </c>
      <c r="S45" s="62" t="n">
        <f aca="false">(1*(F45-G45-H45-I45)+2*G45+3*H45+4*I45)/D45</f>
        <v>0.388731360029375</v>
      </c>
      <c r="T45" s="62" t="n">
        <f aca="false">R45+S45</f>
        <v>0.727227055052931</v>
      </c>
    </row>
    <row r="46" customFormat="false" ht="17.25" hidden="false" customHeight="false" outlineLevel="0" collapsed="false">
      <c r="A46" s="104" t="n">
        <v>2026</v>
      </c>
      <c r="B46" s="62" t="n">
        <f aca="false">('연도별 상수'!N46*(L46-N46)+'연도별 상수'!O46*M46+'연도별 상수'!P46*(F46-G46-H46-I46)+'연도별 상수'!Q46*G46+'연도별 상수'!R46*H46+'연도별 상수'!S46*I46)/(D46+L46+M46-N46+P46)</f>
        <v>0.346351673309434</v>
      </c>
      <c r="C46" s="62" t="n">
        <v>45514</v>
      </c>
      <c r="D46" s="62" t="n">
        <v>39688</v>
      </c>
      <c r="E46" s="62" t="n">
        <v>5900</v>
      </c>
      <c r="F46" s="62" t="n">
        <v>10689</v>
      </c>
      <c r="G46" s="62" t="n">
        <v>1831</v>
      </c>
      <c r="H46" s="62" t="n">
        <v>156</v>
      </c>
      <c r="I46" s="62" t="n">
        <v>1090</v>
      </c>
      <c r="J46" s="62" t="n">
        <v>744</v>
      </c>
      <c r="K46" s="62" t="n">
        <v>234</v>
      </c>
      <c r="L46" s="62" t="n">
        <v>4303</v>
      </c>
      <c r="M46" s="62" t="n">
        <v>681</v>
      </c>
      <c r="N46" s="62" t="n">
        <v>118</v>
      </c>
      <c r="O46" s="62" t="n">
        <v>851</v>
      </c>
      <c r="P46" s="62" t="n">
        <v>357</v>
      </c>
      <c r="Q46" s="62" t="n">
        <f aca="false">F46/D46</f>
        <v>0.269325740778069</v>
      </c>
      <c r="R46" s="62" t="n">
        <f aca="false">(F46+L46+M46)/(D46+L46+M46+P46)</f>
        <v>0.348064580603611</v>
      </c>
      <c r="S46" s="62" t="n">
        <f aca="false">(1*(F46-G46-H46-I46)+2*G46+3*H46+4*I46)/D46</f>
        <v>0.405714573674662</v>
      </c>
      <c r="T46" s="62" t="n">
        <f aca="false">R46+S46</f>
        <v>0.753779154278273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5.296875" defaultRowHeight="17.25" customHeight="false" zeroHeight="false" outlineLevelRow="0" outlineLevelCol="0"/>
  <cols>
    <col collapsed="false" customWidth="true" hidden="false" outlineLevel="0" max="1" min="1" style="105" width="5.6"/>
    <col collapsed="false" customWidth="true" hidden="false" outlineLevel="0" max="3" min="2" style="8" width="5"/>
    <col collapsed="false" customWidth="true" hidden="false" outlineLevel="0" max="4" min="4" style="106" width="8.7"/>
    <col collapsed="false" customWidth="false" hidden="false" outlineLevel="0" max="6" min="5" style="8" width="5.3"/>
    <col collapsed="false" customWidth="true" hidden="false" outlineLevel="0" max="7" min="7" style="8" width="5.5"/>
    <col collapsed="false" customWidth="true" hidden="false" outlineLevel="0" max="8" min="8" style="8" width="7.5"/>
    <col collapsed="false" customWidth="true" hidden="false" outlineLevel="0" max="14" min="9" style="8" width="5"/>
    <col collapsed="false" customWidth="true" hidden="false" outlineLevel="0" max="15" min="15" style="8" width="5.5"/>
    <col collapsed="false" customWidth="true" hidden="false" outlineLevel="0" max="18" min="16" style="8" width="4.29"/>
    <col collapsed="false" customWidth="true" hidden="false" outlineLevel="0" max="23" min="19" style="8" width="6.29"/>
    <col collapsed="false" customWidth="false" hidden="false" outlineLevel="0" max="16384" min="24" style="8" width="5.3"/>
  </cols>
  <sheetData>
    <row r="1" s="109" customFormat="true" ht="17.25" hidden="false" customHeight="false" outlineLevel="0" collapsed="false">
      <c r="A1" s="83" t="s">
        <v>296</v>
      </c>
      <c r="B1" s="1" t="s">
        <v>9</v>
      </c>
      <c r="C1" s="1" t="s">
        <v>191</v>
      </c>
      <c r="D1" s="107" t="s">
        <v>140</v>
      </c>
      <c r="E1" s="1" t="s">
        <v>196</v>
      </c>
      <c r="F1" s="1" t="s">
        <v>197</v>
      </c>
      <c r="G1" s="1" t="s">
        <v>198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20</v>
      </c>
      <c r="M1" s="1" t="s">
        <v>21</v>
      </c>
      <c r="N1" s="1" t="s">
        <v>22</v>
      </c>
      <c r="O1" s="1" t="s">
        <v>287</v>
      </c>
      <c r="P1" s="1" t="s">
        <v>199</v>
      </c>
      <c r="Q1" s="1" t="s">
        <v>201</v>
      </c>
      <c r="R1" s="1" t="s">
        <v>297</v>
      </c>
      <c r="S1" s="1" t="s">
        <v>205</v>
      </c>
      <c r="T1" s="1" t="s">
        <v>298</v>
      </c>
      <c r="U1" s="1" t="s">
        <v>299</v>
      </c>
      <c r="V1" s="108" t="s">
        <v>300</v>
      </c>
      <c r="W1" s="1" t="s">
        <v>301</v>
      </c>
      <c r="X1" s="1" t="s">
        <v>206</v>
      </c>
      <c r="Y1" s="1" t="s">
        <v>207</v>
      </c>
    </row>
    <row r="2" customFormat="false" ht="17.25" hidden="false" customHeight="false" outlineLevel="0" collapsed="false">
      <c r="A2" s="104" t="n">
        <v>1982</v>
      </c>
      <c r="B2" s="110" t="n">
        <v>1014</v>
      </c>
      <c r="C2" s="110" t="n">
        <v>478</v>
      </c>
      <c r="D2" s="111" t="n">
        <f aca="false">4251+1/3</f>
        <v>4251.33333333333</v>
      </c>
      <c r="E2" s="110" t="n">
        <v>1832</v>
      </c>
      <c r="F2" s="110" t="n">
        <f aca="false">'리그 타자'!E2</f>
        <v>2272</v>
      </c>
      <c r="G2" s="110" t="n">
        <f aca="false">'리그 타자'!C2</f>
        <v>18208</v>
      </c>
      <c r="H2" s="110" t="n">
        <f aca="false">'리그 타자'!F2</f>
        <v>4247</v>
      </c>
      <c r="I2" s="110" t="n">
        <f aca="false">'리그 타자'!G2</f>
        <v>726</v>
      </c>
      <c r="J2" s="110" t="n">
        <f aca="false">'리그 타자'!H2</f>
        <v>95</v>
      </c>
      <c r="K2" s="110" t="n">
        <f aca="false">'리그 타자'!I2</f>
        <v>362</v>
      </c>
      <c r="L2" s="110" t="n">
        <f aca="false">'리그 타자'!L2</f>
        <v>1604</v>
      </c>
      <c r="M2" s="110" t="n">
        <f aca="false">'리그 타자'!M2</f>
        <v>228</v>
      </c>
      <c r="N2" s="110" t="n">
        <f aca="false">'리그 타자'!N2</f>
        <v>69</v>
      </c>
      <c r="O2" s="110" t="n">
        <v>1903</v>
      </c>
      <c r="P2" s="110" t="n">
        <f aca="false">E2/D2*9</f>
        <v>3.87831268621609</v>
      </c>
      <c r="Q2" s="110" t="n">
        <f aca="false">(('연도별 상수'!Y2*K2)+('연도별 상수'!Z2*(L2+M2)+('연도별 상수'!AA2*O2)))/D2+'연도별 상수'!V2</f>
        <v>3.93024933354242</v>
      </c>
      <c r="R2" s="110" t="n">
        <f aca="false">F2/D2*9</f>
        <v>4.80978516543829</v>
      </c>
    </row>
    <row r="3" customFormat="false" ht="17.25" hidden="false" customHeight="false" outlineLevel="0" collapsed="false">
      <c r="A3" s="104" t="n">
        <v>1983</v>
      </c>
      <c r="B3" s="110" t="n">
        <v>1191</v>
      </c>
      <c r="C3" s="110" t="n">
        <v>600</v>
      </c>
      <c r="D3" s="111" t="n">
        <f aca="false">5390+2/3</f>
        <v>5390.66666666667</v>
      </c>
      <c r="E3" s="110" t="n">
        <v>1964</v>
      </c>
      <c r="F3" s="110" t="n">
        <f aca="false">'리그 타자'!E3</f>
        <v>2411</v>
      </c>
      <c r="G3" s="110" t="n">
        <f aca="false">'리그 타자'!C3</f>
        <v>22546</v>
      </c>
      <c r="H3" s="110" t="n">
        <f aca="false">'리그 타자'!F3</f>
        <v>5103</v>
      </c>
      <c r="I3" s="110" t="n">
        <f aca="false">'리그 타자'!G3</f>
        <v>805</v>
      </c>
      <c r="J3" s="110" t="n">
        <f aca="false">'리그 타자'!H3</f>
        <v>108</v>
      </c>
      <c r="K3" s="110" t="n">
        <f aca="false">'리그 타자'!I3</f>
        <v>403</v>
      </c>
      <c r="L3" s="110" t="n">
        <f aca="false">'리그 타자'!L3</f>
        <v>1757</v>
      </c>
      <c r="M3" s="110" t="n">
        <f aca="false">'리그 타자'!M3</f>
        <v>292</v>
      </c>
      <c r="N3" s="110" t="n">
        <f aca="false">'리그 타자'!N3</f>
        <v>77</v>
      </c>
      <c r="O3" s="110" t="n">
        <v>2358</v>
      </c>
      <c r="P3" s="110" t="n">
        <f aca="false">E3/D3*9</f>
        <v>3.27900074202325</v>
      </c>
      <c r="Q3" s="110" t="n">
        <f aca="false">(('연도별 상수'!Y3*K3)+('연도별 상수'!Z3*(L3+M3)+('연도별 상수'!AA3*O3)))/D3+'연도별 상수'!V3</f>
        <v>3.32470937422706</v>
      </c>
      <c r="R3" s="110" t="n">
        <f aca="false">F3/D3*9</f>
        <v>4.02529062577294</v>
      </c>
    </row>
    <row r="4" customFormat="false" ht="17.25" hidden="false" customHeight="false" outlineLevel="0" collapsed="false">
      <c r="A4" s="104" t="n">
        <v>1984</v>
      </c>
      <c r="B4" s="110" t="n">
        <v>1278</v>
      </c>
      <c r="C4" s="110" t="n">
        <v>600</v>
      </c>
      <c r="D4" s="111" t="n">
        <f aca="false">5345+1/3</f>
        <v>5345.33333333333</v>
      </c>
      <c r="E4" s="110" t="n">
        <v>1943</v>
      </c>
      <c r="F4" s="110" t="n">
        <f aca="false">'리그 타자'!E4</f>
        <v>2300</v>
      </c>
      <c r="G4" s="110" t="n">
        <f aca="false">'리그 타자'!C4</f>
        <v>22399</v>
      </c>
      <c r="H4" s="110" t="n">
        <f aca="false">'리그 타자'!F4</f>
        <v>4995</v>
      </c>
      <c r="I4" s="110" t="n">
        <f aca="false">'리그 타자'!G4</f>
        <v>824</v>
      </c>
      <c r="J4" s="110" t="n">
        <f aca="false">'리그 타자'!H4</f>
        <v>115</v>
      </c>
      <c r="K4" s="110" t="n">
        <f aca="false">'리그 타자'!I4</f>
        <v>383</v>
      </c>
      <c r="L4" s="110" t="n">
        <f aca="false">'리그 타자'!L4</f>
        <v>1937</v>
      </c>
      <c r="M4" s="110" t="n">
        <f aca="false">'리그 타자'!M4</f>
        <v>261</v>
      </c>
      <c r="N4" s="110" t="n">
        <f aca="false">'리그 타자'!N4</f>
        <v>85</v>
      </c>
      <c r="O4" s="110" t="n">
        <v>2651</v>
      </c>
      <c r="P4" s="110" t="n">
        <f aca="false">E4/D4*9</f>
        <v>3.2714517335994</v>
      </c>
      <c r="Q4" s="110" t="n">
        <f aca="false">(('연도별 상수'!Y4*K4)+('연도별 상수'!Z4*(L4+M4)+('연도별 상수'!AA4*O4)))/D4+'연도별 상수'!V4</f>
        <v>3.32233724120728</v>
      </c>
      <c r="R4" s="110" t="n">
        <f aca="false">F4/D4*9</f>
        <v>3.87253679221751</v>
      </c>
    </row>
    <row r="5" customFormat="false" ht="17.25" hidden="false" customHeight="false" outlineLevel="0" collapsed="false">
      <c r="A5" s="104" t="n">
        <v>1985</v>
      </c>
      <c r="B5" s="110" t="n">
        <v>1455</v>
      </c>
      <c r="C5" s="110" t="n">
        <v>660</v>
      </c>
      <c r="D5" s="111" t="n">
        <f aca="false">5935+2/3</f>
        <v>5935.66666666667</v>
      </c>
      <c r="E5" s="110" t="n">
        <v>2297</v>
      </c>
      <c r="F5" s="110" t="n">
        <f aca="false">'리그 타자'!E5</f>
        <v>2695</v>
      </c>
      <c r="G5" s="110" t="n">
        <f aca="false">'리그 타자'!C5</f>
        <v>24995</v>
      </c>
      <c r="H5" s="110" t="n">
        <f aca="false">'리그 타자'!F5</f>
        <v>5700</v>
      </c>
      <c r="I5" s="110" t="n">
        <f aca="false">'리그 타자'!G5</f>
        <v>943</v>
      </c>
      <c r="J5" s="110" t="n">
        <f aca="false">'리그 타자'!H5</f>
        <v>109</v>
      </c>
      <c r="K5" s="110" t="n">
        <f aca="false">'리그 타자'!I5</f>
        <v>450</v>
      </c>
      <c r="L5" s="110" t="n">
        <f aca="false">'리그 타자'!L5</f>
        <v>2158</v>
      </c>
      <c r="M5" s="110" t="n">
        <f aca="false">'리그 타자'!M5</f>
        <v>273</v>
      </c>
      <c r="N5" s="110" t="n">
        <f aca="false">'리그 타자'!N5</f>
        <v>73</v>
      </c>
      <c r="O5" s="110" t="n">
        <v>2639</v>
      </c>
      <c r="P5" s="110" t="n">
        <f aca="false">E5/D5*9</f>
        <v>3.4828438254619</v>
      </c>
      <c r="Q5" s="110" t="n">
        <f aca="false">(('연도별 상수'!Y5*K5)+('연도별 상수'!Z5*(L5+M5)+('연도별 상수'!AA5*O5)))/D5+'연도별 상수'!V5</f>
        <v>3.52219913517156</v>
      </c>
      <c r="R5" s="110" t="n">
        <f aca="false">F5/D5*9</f>
        <v>4.08631437075307</v>
      </c>
    </row>
    <row r="6" customFormat="false" ht="17.25" hidden="false" customHeight="false" outlineLevel="0" collapsed="false">
      <c r="A6" s="104" t="n">
        <v>1986</v>
      </c>
      <c r="B6" s="110" t="n">
        <v>1681</v>
      </c>
      <c r="C6" s="110" t="n">
        <v>756</v>
      </c>
      <c r="D6" s="111" t="n">
        <f aca="false">6180+2/3</f>
        <v>6180.66666666667</v>
      </c>
      <c r="E6" s="110" t="n">
        <v>2330</v>
      </c>
      <c r="F6" s="110" t="n">
        <f aca="false">'리그 타자'!E6</f>
        <v>2776</v>
      </c>
      <c r="G6" s="110" t="n">
        <f aca="false">'리그 타자'!C6</f>
        <v>28364</v>
      </c>
      <c r="H6" s="110" t="n">
        <f aca="false">'리그 타자'!F6</f>
        <v>6234</v>
      </c>
      <c r="I6" s="110" t="n">
        <f aca="false">'리그 타자'!G6</f>
        <v>977</v>
      </c>
      <c r="J6" s="110" t="n">
        <f aca="false">'리그 타자'!H6</f>
        <v>162</v>
      </c>
      <c r="K6" s="110" t="n">
        <f aca="false">'리그 타자'!I6</f>
        <v>397</v>
      </c>
      <c r="L6" s="110" t="n">
        <f aca="false">'리그 타자'!L6</f>
        <v>2415</v>
      </c>
      <c r="M6" s="110" t="n">
        <f aca="false">'리그 타자'!M6</f>
        <v>277</v>
      </c>
      <c r="N6" s="110" t="n">
        <f aca="false">'리그 타자'!N6</f>
        <v>87</v>
      </c>
      <c r="O6" s="110" t="n">
        <v>3065</v>
      </c>
      <c r="P6" s="110" t="n">
        <f aca="false">E6/D6*9</f>
        <v>3.39283788156617</v>
      </c>
      <c r="Q6" s="110" t="n">
        <f aca="false">(('연도별 상수'!Y6*K6)+('연도별 상수'!Z6*(L6+M6)+('연도별 상수'!AA6*O6)))/D6+'연도별 상수'!V6</f>
        <v>3.43788156617409</v>
      </c>
      <c r="R6" s="110" t="n">
        <f aca="false">F6/D6*9</f>
        <v>4.04228238593464</v>
      </c>
    </row>
    <row r="7" customFormat="false" ht="17.25" hidden="false" customHeight="false" outlineLevel="0" collapsed="false">
      <c r="A7" s="104" t="n">
        <v>1987</v>
      </c>
      <c r="B7" s="110" t="n">
        <v>1541</v>
      </c>
      <c r="C7" s="110" t="n">
        <v>756</v>
      </c>
      <c r="D7" s="111" t="n">
        <f aca="false">6760+1/3</f>
        <v>6760.33333333333</v>
      </c>
      <c r="E7" s="110" t="n">
        <v>2664</v>
      </c>
      <c r="F7" s="110" t="n">
        <f aca="false">'리그 타자'!E7</f>
        <v>3022</v>
      </c>
      <c r="G7" s="110" t="n">
        <f aca="false">'리그 타자'!C7</f>
        <v>28567</v>
      </c>
      <c r="H7" s="110" t="n">
        <f aca="false">'리그 타자'!F7</f>
        <v>6666</v>
      </c>
      <c r="I7" s="110" t="n">
        <f aca="false">'리그 타자'!G7</f>
        <v>1013</v>
      </c>
      <c r="J7" s="110" t="n">
        <f aca="false">'리그 타자'!H7</f>
        <v>176</v>
      </c>
      <c r="K7" s="110" t="n">
        <f aca="false">'리그 타자'!I7</f>
        <v>384</v>
      </c>
      <c r="L7" s="110" t="n">
        <f aca="false">'리그 타자'!L7</f>
        <v>2469</v>
      </c>
      <c r="M7" s="110" t="n">
        <f aca="false">'리그 타자'!M7</f>
        <v>266</v>
      </c>
      <c r="N7" s="110" t="n">
        <f aca="false">'리그 타자'!N7</f>
        <v>95</v>
      </c>
      <c r="O7" s="110" t="n">
        <v>2805</v>
      </c>
      <c r="P7" s="110" t="n">
        <f aca="false">E7/D7*9</f>
        <v>3.54657068191904</v>
      </c>
      <c r="Q7" s="110" t="n">
        <f aca="false">(('연도별 상수'!Y7*K7)+('연도별 상수'!Z7*(L7+M7)+('연도별 상수'!AA7*O7)))/D7+'연도별 상수'!V7</f>
        <v>3.59153887875351</v>
      </c>
      <c r="R7" s="110" t="n">
        <f aca="false">F7/D7*9</f>
        <v>4.02317439968443</v>
      </c>
    </row>
    <row r="8" customFormat="false" ht="17.25" hidden="false" customHeight="false" outlineLevel="0" collapsed="false">
      <c r="A8" s="104" t="n">
        <v>1988</v>
      </c>
      <c r="B8" s="110" t="n">
        <v>1684</v>
      </c>
      <c r="C8" s="110" t="n">
        <v>756</v>
      </c>
      <c r="D8" s="111" t="n">
        <f aca="false">6752+2/3</f>
        <v>6752.66666666667</v>
      </c>
      <c r="E8" s="110" t="n">
        <v>2859</v>
      </c>
      <c r="F8" s="110" t="n">
        <f aca="false">'리그 타자'!E8</f>
        <v>3222</v>
      </c>
      <c r="G8" s="110" t="n">
        <f aca="false">'리그 타자'!C8</f>
        <v>28655</v>
      </c>
      <c r="H8" s="110" t="n">
        <f aca="false">'리그 타자'!F8</f>
        <v>6769</v>
      </c>
      <c r="I8" s="110" t="n">
        <f aca="false">'리그 타자'!G8</f>
        <v>1044</v>
      </c>
      <c r="J8" s="110" t="n">
        <f aca="false">'리그 타자'!H8</f>
        <v>148</v>
      </c>
      <c r="K8" s="110" t="n">
        <f aca="false">'리그 타자'!I8</f>
        <v>482</v>
      </c>
      <c r="L8" s="110" t="n">
        <f aca="false">'리그 타자'!L8</f>
        <v>2386</v>
      </c>
      <c r="M8" s="110" t="n">
        <f aca="false">'리그 타자'!M8</f>
        <v>267</v>
      </c>
      <c r="N8" s="110" t="n">
        <f aca="false">'리그 타자'!N8</f>
        <v>93</v>
      </c>
      <c r="O8" s="110" t="n">
        <v>2835</v>
      </c>
      <c r="P8" s="110" t="n">
        <f aca="false">E8/D8*9</f>
        <v>3.81049461940962</v>
      </c>
      <c r="Q8" s="110" t="n">
        <f aca="false">(('연도별 상수'!Y8*K8)+('연도별 상수'!Z8*(L8+M8)+('연도별 상수'!AA8*O8)))/D8+'연도별 상수'!V8</f>
        <v>3.85456609734426</v>
      </c>
      <c r="R8" s="110" t="n">
        <f aca="false">F8/D8*9</f>
        <v>4.29430348504295</v>
      </c>
    </row>
    <row r="9" customFormat="false" ht="17.25" hidden="false" customHeight="false" outlineLevel="0" collapsed="false">
      <c r="A9" s="104" t="n">
        <v>1989</v>
      </c>
      <c r="B9" s="110" t="n">
        <v>2053</v>
      </c>
      <c r="C9" s="110" t="n">
        <v>840</v>
      </c>
      <c r="D9" s="111" t="n">
        <f aca="false">7532+2/3</f>
        <v>7532.66666666667</v>
      </c>
      <c r="E9" s="110" t="n">
        <v>3123</v>
      </c>
      <c r="F9" s="110" t="n">
        <f aca="false">'리그 타자'!E9</f>
        <v>3530</v>
      </c>
      <c r="G9" s="110" t="n">
        <f aca="false">'리그 타자'!C9</f>
        <v>32030</v>
      </c>
      <c r="H9" s="110" t="n">
        <f aca="false">'리그 타자'!F9</f>
        <v>7136</v>
      </c>
      <c r="I9" s="110" t="n">
        <f aca="false">'리그 타자'!G9</f>
        <v>1169</v>
      </c>
      <c r="J9" s="110" t="n">
        <f aca="false">'리그 타자'!H9</f>
        <v>168</v>
      </c>
      <c r="K9" s="110" t="n">
        <f aca="false">'리그 타자'!I9</f>
        <v>460</v>
      </c>
      <c r="L9" s="110" t="n">
        <f aca="false">'리그 타자'!L9</f>
        <v>3161</v>
      </c>
      <c r="M9" s="110" t="n">
        <f aca="false">'리그 타자'!M9</f>
        <v>292</v>
      </c>
      <c r="N9" s="110" t="n">
        <f aca="false">'리그 타자'!N9</f>
        <v>138</v>
      </c>
      <c r="O9" s="110" t="n">
        <v>3793</v>
      </c>
      <c r="P9" s="110" t="n">
        <f aca="false">E9/D9*9</f>
        <v>3.73134790689442</v>
      </c>
      <c r="Q9" s="110" t="n">
        <f aca="false">(('연도별 상수'!Y9*K9)+('연도별 상수'!Z9*(L9+M9)+('연도별 상수'!AA9*O9)))/D9+'연도별 상수'!V9</f>
        <v>3.78997256394371</v>
      </c>
      <c r="R9" s="110" t="n">
        <f aca="false">F9/D9*9</f>
        <v>4.21762987875033</v>
      </c>
    </row>
    <row r="10" customFormat="false" ht="17.25" hidden="false" customHeight="false" outlineLevel="0" collapsed="false">
      <c r="A10" s="104" t="n">
        <v>1990</v>
      </c>
      <c r="B10" s="110" t="n">
        <v>2172</v>
      </c>
      <c r="C10" s="110" t="n">
        <v>841</v>
      </c>
      <c r="D10" s="111" t="n">
        <f aca="false">7501+1/3</f>
        <v>7501.33333333333</v>
      </c>
      <c r="E10" s="110" t="n">
        <v>3229</v>
      </c>
      <c r="F10" s="110" t="n">
        <f aca="false">'리그 타자'!E10</f>
        <v>3679</v>
      </c>
      <c r="G10" s="110" t="n">
        <f aca="false">'리그 타자'!C10</f>
        <v>31961</v>
      </c>
      <c r="H10" s="110" t="n">
        <f aca="false">'리그 타자'!F10</f>
        <v>7084</v>
      </c>
      <c r="I10" s="110" t="n">
        <f aca="false">'리그 타자'!G10</f>
        <v>1170</v>
      </c>
      <c r="J10" s="110" t="n">
        <f aca="false">'리그 타자'!H10</f>
        <v>178</v>
      </c>
      <c r="K10" s="110" t="n">
        <f aca="false">'리그 타자'!I10</f>
        <v>541</v>
      </c>
      <c r="L10" s="110" t="n">
        <f aca="false">'리그 타자'!L10</f>
        <v>3196</v>
      </c>
      <c r="M10" s="110" t="n">
        <f aca="false">'리그 타자'!M10</f>
        <v>347</v>
      </c>
      <c r="N10" s="110" t="n">
        <f aca="false">'리그 타자'!N10</f>
        <v>128</v>
      </c>
      <c r="O10" s="110" t="n">
        <v>3769</v>
      </c>
      <c r="P10" s="110" t="n">
        <f aca="false">E10/D10*9</f>
        <v>3.87411126910771</v>
      </c>
      <c r="Q10" s="110" t="n">
        <f aca="false">(('연도별 상수'!Y10*K10)+('연도별 상수'!Z10*(L10+M10)+('연도별 상수'!AA10*O10)))/D10+'연도별 상수'!V10</f>
        <v>3.92871489512975</v>
      </c>
      <c r="R10" s="110" t="n">
        <f aca="false">F10/D10*9</f>
        <v>4.41401528617135</v>
      </c>
    </row>
    <row r="11" customFormat="false" ht="17.25" hidden="false" customHeight="false" outlineLevel="0" collapsed="false">
      <c r="A11" s="104" t="n">
        <v>1991</v>
      </c>
      <c r="B11" s="110" t="n">
        <v>2454</v>
      </c>
      <c r="C11" s="110" t="n">
        <v>1012</v>
      </c>
      <c r="D11" s="111" t="n">
        <f aca="false">9010+1/3</f>
        <v>9010.33333333333</v>
      </c>
      <c r="E11" s="110" t="n">
        <v>3982</v>
      </c>
      <c r="F11" s="110" t="n">
        <f aca="false">'리그 타자'!E11</f>
        <v>4437</v>
      </c>
      <c r="G11" s="110" t="n">
        <f aca="false">'리그 타자'!C11</f>
        <v>38292</v>
      </c>
      <c r="H11" s="110" t="n">
        <f aca="false">'리그 타자'!F11</f>
        <v>8514</v>
      </c>
      <c r="I11" s="110" t="n">
        <f aca="false">'리그 타자'!G11</f>
        <v>1443</v>
      </c>
      <c r="J11" s="110" t="n">
        <f aca="false">'리그 타자'!H11</f>
        <v>278</v>
      </c>
      <c r="K11" s="110" t="n">
        <f aca="false">'리그 타자'!I11</f>
        <v>711</v>
      </c>
      <c r="L11" s="110" t="n">
        <f aca="false">'리그 타자'!L11</f>
        <v>3684</v>
      </c>
      <c r="M11" s="110" t="n">
        <f aca="false">'리그 타자'!M11</f>
        <v>449</v>
      </c>
      <c r="N11" s="110" t="n">
        <f aca="false">'리그 타자'!N11</f>
        <v>171</v>
      </c>
      <c r="O11" s="110" t="n">
        <v>4822</v>
      </c>
      <c r="P11" s="110" t="n">
        <f aca="false">E11/D11*9</f>
        <v>3.97743331730236</v>
      </c>
      <c r="Q11" s="110" t="n">
        <f aca="false">(('연도별 상수'!Y11*K11)+('연도별 상수'!Z11*(L11+M11)+('연도별 상수'!AA11*O11)))/D11+'연도별 상수'!V11</f>
        <v>4.03816358995228</v>
      </c>
      <c r="R11" s="110" t="n">
        <f aca="false">F11/D11*9</f>
        <v>4.43191150900818</v>
      </c>
    </row>
    <row r="12" customFormat="false" ht="17.25" hidden="false" customHeight="false" outlineLevel="0" collapsed="false">
      <c r="A12" s="104" t="n">
        <v>1992</v>
      </c>
      <c r="B12" s="110" t="n">
        <v>2459</v>
      </c>
      <c r="C12" s="110" t="n">
        <v>1008</v>
      </c>
      <c r="D12" s="111" t="n">
        <f aca="false">8925</f>
        <v>8925</v>
      </c>
      <c r="E12" s="110" t="n">
        <v>4280</v>
      </c>
      <c r="F12" s="110" t="n">
        <f aca="false">'리그 타자'!E12</f>
        <v>4801</v>
      </c>
      <c r="G12" s="110" t="n">
        <f aca="false">'리그 타자'!C12</f>
        <v>38797</v>
      </c>
      <c r="H12" s="110" t="n">
        <f aca="false">'리그 타자'!F12</f>
        <v>8872</v>
      </c>
      <c r="I12" s="110" t="n">
        <f aca="false">'리그 타자'!G12</f>
        <v>1479</v>
      </c>
      <c r="J12" s="110" t="n">
        <f aca="false">'리그 타자'!H12</f>
        <v>239</v>
      </c>
      <c r="K12" s="110" t="n">
        <f aca="false">'리그 타자'!I12</f>
        <v>871</v>
      </c>
      <c r="L12" s="110" t="n">
        <f aca="false">'리그 타자'!L12</f>
        <v>3871</v>
      </c>
      <c r="M12" s="110" t="n">
        <f aca="false">'리그 타자'!M12</f>
        <v>446</v>
      </c>
      <c r="N12" s="110" t="n">
        <f aca="false">'리그 타자'!N12</f>
        <v>153</v>
      </c>
      <c r="O12" s="110" t="n">
        <v>5049</v>
      </c>
      <c r="P12" s="110" t="n">
        <f aca="false">E12/D12*9</f>
        <v>4.31596638655462</v>
      </c>
      <c r="Q12" s="110" t="n">
        <f aca="false">(('연도별 상수'!Y12*K12)+('연도별 상수'!Z12*(L12+M12)+('연도별 상수'!AA12*O12)))/D12+'연도별 상수'!V12</f>
        <v>4.37082352941177</v>
      </c>
      <c r="R12" s="110" t="n">
        <f aca="false">F12/D12*9</f>
        <v>4.84134453781513</v>
      </c>
    </row>
    <row r="13" customFormat="false" ht="17.25" hidden="false" customHeight="false" outlineLevel="0" collapsed="false">
      <c r="A13" s="104" t="n">
        <v>1993</v>
      </c>
      <c r="B13" s="110" t="n">
        <v>2317</v>
      </c>
      <c r="C13" s="110" t="n">
        <v>1008</v>
      </c>
      <c r="D13" s="111" t="n">
        <v>9010</v>
      </c>
      <c r="E13" s="110" t="n">
        <v>3276</v>
      </c>
      <c r="F13" s="110" t="n">
        <f aca="false">'리그 타자'!E13</f>
        <v>3721</v>
      </c>
      <c r="G13" s="110" t="n">
        <f aca="false">'리그 타자'!C13</f>
        <v>37717</v>
      </c>
      <c r="H13" s="110" t="n">
        <f aca="false">'리그 타자'!F13</f>
        <v>8156</v>
      </c>
      <c r="I13" s="110" t="n">
        <f aca="false">'리그 타자'!G13</f>
        <v>1339</v>
      </c>
      <c r="J13" s="110" t="n">
        <f aca="false">'리그 타자'!H13</f>
        <v>180</v>
      </c>
      <c r="K13" s="110" t="n">
        <f aca="false">'리그 타자'!I13</f>
        <v>552</v>
      </c>
      <c r="L13" s="110" t="n">
        <f aca="false">'리그 타자'!L13</f>
        <v>3263</v>
      </c>
      <c r="M13" s="110" t="n">
        <f aca="false">'리그 타자'!M13</f>
        <v>419</v>
      </c>
      <c r="N13" s="110" t="n">
        <f aca="false">'리그 타자'!N13</f>
        <v>108</v>
      </c>
      <c r="O13" s="110" t="n">
        <v>5294</v>
      </c>
      <c r="P13" s="110" t="n">
        <f aca="false">E13/D13*9</f>
        <v>3.27236403995561</v>
      </c>
      <c r="Q13" s="110" t="n">
        <f aca="false">(('연도별 상수'!Y13*K13)+('연도별 상수'!Z13*(L13+M13)+('연도별 상수'!AA13*O13)))/D13+'연도별 상수'!V13</f>
        <v>3.31072142064373</v>
      </c>
      <c r="R13" s="110" t="n">
        <f aca="false">F13/D13*9</f>
        <v>3.71687014428413</v>
      </c>
    </row>
    <row r="14" customFormat="false" ht="17.25" hidden="false" customHeight="false" outlineLevel="0" collapsed="false">
      <c r="A14" s="104" t="n">
        <v>1994</v>
      </c>
      <c r="B14" s="110" t="n">
        <v>2492</v>
      </c>
      <c r="C14" s="110" t="n">
        <v>1008</v>
      </c>
      <c r="D14" s="111" t="n">
        <f aca="false">8936+2/3</f>
        <v>8936.66666666667</v>
      </c>
      <c r="E14" s="110" t="n">
        <v>3709</v>
      </c>
      <c r="F14" s="110" t="n">
        <f aca="false">'리그 타자'!E14</f>
        <v>4186</v>
      </c>
      <c r="G14" s="110" t="n">
        <f aca="false">'리그 타자'!C14</f>
        <v>37828</v>
      </c>
      <c r="H14" s="110" t="n">
        <f aca="false">'리그 타자'!F14</f>
        <v>8540</v>
      </c>
      <c r="I14" s="110" t="n">
        <f aca="false">'리그 타자'!G14</f>
        <v>1397</v>
      </c>
      <c r="J14" s="110" t="n">
        <f aca="false">'리그 타자'!H14</f>
        <v>179</v>
      </c>
      <c r="K14" s="110" t="n">
        <f aca="false">'리그 타자'!I14</f>
        <v>666</v>
      </c>
      <c r="L14" s="110" t="n">
        <f aca="false">'리그 타자'!L14</f>
        <v>3167</v>
      </c>
      <c r="M14" s="110" t="n">
        <f aca="false">'리그 타자'!M14</f>
        <v>445</v>
      </c>
      <c r="N14" s="110" t="n">
        <f aca="false">'리그 타자'!N14</f>
        <v>148</v>
      </c>
      <c r="O14" s="110" t="n">
        <v>5259</v>
      </c>
      <c r="P14" s="110" t="n">
        <f aca="false">E14/D14*9</f>
        <v>3.73528534129056</v>
      </c>
      <c r="Q14" s="110" t="n">
        <f aca="false">(('연도별 상수'!Y14*K14)+('연도별 상수'!Z14*(L14+M14)+('연도별 상수'!AA14*O14)))/D14+'연도별 상수'!V14</f>
        <v>3.7882804923536</v>
      </c>
      <c r="R14" s="110" t="n">
        <f aca="false">F14/D14*9</f>
        <v>4.21566579634465</v>
      </c>
    </row>
    <row r="15" customFormat="false" ht="17.25" hidden="false" customHeight="false" outlineLevel="0" collapsed="false">
      <c r="A15" s="104" t="n">
        <v>1995</v>
      </c>
      <c r="B15" s="110" t="n">
        <v>2572</v>
      </c>
      <c r="C15" s="110" t="n">
        <v>1008</v>
      </c>
      <c r="D15" s="111" t="n">
        <f aca="false">8990+2/3</f>
        <v>8990.66666666667</v>
      </c>
      <c r="E15" s="110" t="n">
        <v>3702</v>
      </c>
      <c r="F15" s="110" t="n">
        <f aca="false">'리그 타자'!E15</f>
        <v>4188</v>
      </c>
      <c r="G15" s="110" t="n">
        <f aca="false">'리그 타자'!C15</f>
        <v>37945</v>
      </c>
      <c r="H15" s="110" t="n">
        <f aca="false">'리그 타자'!F15</f>
        <v>8381</v>
      </c>
      <c r="I15" s="110" t="n">
        <f aca="false">'리그 타자'!G15</f>
        <v>1425</v>
      </c>
      <c r="J15" s="110" t="n">
        <f aca="false">'리그 타자'!H15</f>
        <v>221</v>
      </c>
      <c r="K15" s="110" t="n">
        <f aca="false">'리그 타자'!I15</f>
        <v>680</v>
      </c>
      <c r="L15" s="110" t="n">
        <f aca="false">'리그 타자'!L15</f>
        <v>3123</v>
      </c>
      <c r="M15" s="110" t="n">
        <f aca="false">'리그 타자'!M15</f>
        <v>514</v>
      </c>
      <c r="N15" s="110" t="n">
        <f aca="false">'리그 타자'!N15</f>
        <v>161</v>
      </c>
      <c r="O15" s="110" t="n">
        <v>5599</v>
      </c>
      <c r="P15" s="110" t="n">
        <f aca="false">E15/D15*9</f>
        <v>3.70584309654457</v>
      </c>
      <c r="Q15" s="110" t="n">
        <f aca="false">(('연도별 상수'!Y15*K15)+('연도별 상수'!Z15*(L15+M15)+('연도별 상수'!AA15*O15)))/D15+'연도별 상수'!V15</f>
        <v>3.76314696722527</v>
      </c>
      <c r="R15" s="110" t="n">
        <f aca="false">F15/D15*9</f>
        <v>4.19234761975382</v>
      </c>
    </row>
    <row r="16" customFormat="false" ht="17.25" hidden="false" customHeight="false" outlineLevel="0" collapsed="false">
      <c r="A16" s="104" t="n">
        <v>1996</v>
      </c>
      <c r="B16" s="110" t="n">
        <v>3051</v>
      </c>
      <c r="C16" s="110" t="n">
        <v>1008</v>
      </c>
      <c r="D16" s="111" t="n">
        <f aca="false">9018+2/3</f>
        <v>9018.66666666667</v>
      </c>
      <c r="E16" s="110" t="n">
        <v>3693</v>
      </c>
      <c r="F16" s="110" t="n">
        <f aca="false">'리그 타자'!E16</f>
        <v>4161</v>
      </c>
      <c r="G16" s="110" t="n">
        <f aca="false">'리그 타자'!C16</f>
        <v>38138</v>
      </c>
      <c r="H16" s="110" t="n">
        <f aca="false">'리그 타자'!F16</f>
        <v>8342</v>
      </c>
      <c r="I16" s="110" t="n">
        <f aca="false">'리그 타자'!G16</f>
        <v>1506</v>
      </c>
      <c r="J16" s="110" t="n">
        <f aca="false">'리그 타자'!H16</f>
        <v>197</v>
      </c>
      <c r="K16" s="110" t="n">
        <f aca="false">'리그 타자'!I16</f>
        <v>686</v>
      </c>
      <c r="L16" s="110" t="n">
        <f aca="false">'리그 타자'!L16</f>
        <v>3307</v>
      </c>
      <c r="M16" s="110" t="n">
        <f aca="false">'리그 타자'!M16</f>
        <v>573</v>
      </c>
      <c r="N16" s="110" t="n">
        <f aca="false">'리그 타자'!N16</f>
        <v>220</v>
      </c>
      <c r="O16" s="110" t="n">
        <v>5904</v>
      </c>
      <c r="P16" s="110" t="n">
        <f aca="false">E16/D16*9</f>
        <v>3.68535629804849</v>
      </c>
      <c r="Q16" s="110" t="n">
        <f aca="false">(('연도별 상수'!Y16*K16)+('연도별 상수'!Z16*(L16+M16)+('연도별 상수'!AA16*O16)))/D16+'연도별 상수'!V16</f>
        <v>3.76341661738616</v>
      </c>
      <c r="R16" s="110" t="n">
        <f aca="false">F16/D16*9</f>
        <v>4.15238764044944</v>
      </c>
    </row>
    <row r="17" customFormat="false" ht="17.25" hidden="false" customHeight="false" outlineLevel="0" collapsed="false">
      <c r="A17" s="104" t="n">
        <v>1997</v>
      </c>
      <c r="B17" s="110" t="n">
        <v>3315</v>
      </c>
      <c r="C17" s="110" t="n">
        <v>1008</v>
      </c>
      <c r="D17" s="111" t="n">
        <f aca="false">8948+2/3</f>
        <v>8948.66666666667</v>
      </c>
      <c r="E17" s="110" t="n">
        <v>3999</v>
      </c>
      <c r="F17" s="110" t="n">
        <f aca="false">'리그 타자'!E17</f>
        <v>4453</v>
      </c>
      <c r="G17" s="110" t="n">
        <f aca="false">'리그 타자'!C17</f>
        <v>38142</v>
      </c>
      <c r="H17" s="110" t="n">
        <f aca="false">'리그 타자'!F17</f>
        <v>8532</v>
      </c>
      <c r="I17" s="110" t="n">
        <f aca="false">'리그 타자'!G17</f>
        <v>1577</v>
      </c>
      <c r="J17" s="110" t="n">
        <f aca="false">'리그 타자'!H17</f>
        <v>170</v>
      </c>
      <c r="K17" s="110" t="n">
        <f aca="false">'리그 타자'!I17</f>
        <v>834</v>
      </c>
      <c r="L17" s="110" t="n">
        <f aca="false">'리그 타자'!L17</f>
        <v>3380</v>
      </c>
      <c r="M17" s="110" t="n">
        <f aca="false">'리그 타자'!M17</f>
        <v>566</v>
      </c>
      <c r="N17" s="110" t="n">
        <f aca="false">'리그 타자'!N17</f>
        <v>240</v>
      </c>
      <c r="O17" s="110" t="n">
        <v>5840</v>
      </c>
      <c r="P17" s="110" t="n">
        <f aca="false">E17/D17*9</f>
        <v>4.02193995381062</v>
      </c>
      <c r="Q17" s="110" t="n">
        <f aca="false">(('연도별 상수'!Y17*K17)+('연도별 상수'!Z17*(L17+M17)+('연도별 상수'!AA17*O17)))/D17+'연도별 상수'!V17</f>
        <v>4.10776279520227</v>
      </c>
      <c r="R17" s="110" t="n">
        <f aca="false">F17/D17*9</f>
        <v>4.47854428965209</v>
      </c>
    </row>
    <row r="18" customFormat="false" ht="17.25" hidden="false" customHeight="false" outlineLevel="0" collapsed="false">
      <c r="A18" s="104" t="n">
        <v>1998</v>
      </c>
      <c r="B18" s="110" t="n">
        <v>3330</v>
      </c>
      <c r="C18" s="110" t="n">
        <v>1008</v>
      </c>
      <c r="D18" s="111" t="n">
        <f aca="false">8943+1/3</f>
        <v>8943.33333333333</v>
      </c>
      <c r="E18" s="110" t="n">
        <v>3967</v>
      </c>
      <c r="F18" s="110" t="n">
        <f aca="false">'리그 타자'!E18</f>
        <v>4446</v>
      </c>
      <c r="G18" s="110" t="n">
        <f aca="false">'리그 타자'!C18</f>
        <v>38180</v>
      </c>
      <c r="H18" s="110" t="n">
        <f aca="false">'리그 타자'!F18</f>
        <v>8745</v>
      </c>
      <c r="I18" s="110" t="n">
        <f aca="false">'리그 타자'!G18</f>
        <v>1597</v>
      </c>
      <c r="J18" s="110" t="n">
        <f aca="false">'리그 타자'!H18</f>
        <v>172</v>
      </c>
      <c r="K18" s="110" t="n">
        <f aca="false">'리그 타자'!I18</f>
        <v>891</v>
      </c>
      <c r="L18" s="110" t="n">
        <f aca="false">'리그 타자'!L18</f>
        <v>3163</v>
      </c>
      <c r="M18" s="110" t="n">
        <f aca="false">'리그 타자'!M18</f>
        <v>508</v>
      </c>
      <c r="N18" s="110" t="n">
        <f aca="false">'리그 타자'!N18</f>
        <v>202</v>
      </c>
      <c r="O18" s="110" t="n">
        <v>6094</v>
      </c>
      <c r="P18" s="110" t="n">
        <f aca="false">E18/D18*9</f>
        <v>3.99213566902721</v>
      </c>
      <c r="Q18" s="110" t="n">
        <f aca="false">(('연도별 상수'!Y18*K18)+('연도별 상수'!Z18*(L18+M18)+('연도별 상수'!AA18*O18)))/D18+'연도별 상수'!V18</f>
        <v>4.06441297055535</v>
      </c>
      <c r="R18" s="110" t="n">
        <f aca="false">F18/D18*9</f>
        <v>4.47417070443533</v>
      </c>
    </row>
    <row r="19" customFormat="false" ht="17.25" hidden="false" customHeight="false" outlineLevel="0" collapsed="false">
      <c r="A19" s="104" t="n">
        <v>1999</v>
      </c>
      <c r="B19" s="110" t="n">
        <v>3813</v>
      </c>
      <c r="C19" s="110" t="n">
        <v>1056</v>
      </c>
      <c r="D19" s="111" t="n">
        <f aca="false">9406+1/3</f>
        <v>9406.33333333333</v>
      </c>
      <c r="E19" s="110" t="n">
        <v>5200</v>
      </c>
      <c r="F19" s="110" t="n">
        <f aca="false">'리그 타자'!E19</f>
        <v>5684</v>
      </c>
      <c r="G19" s="110" t="n">
        <f aca="false">'리그 타자'!C19</f>
        <v>41598</v>
      </c>
      <c r="H19" s="110" t="n">
        <f aca="false">'리그 타자'!F19</f>
        <v>9995</v>
      </c>
      <c r="I19" s="110" t="n">
        <f aca="false">'리그 타자'!G19</f>
        <v>1722</v>
      </c>
      <c r="J19" s="110" t="n">
        <f aca="false">'리그 타자'!H19</f>
        <v>206</v>
      </c>
      <c r="K19" s="110" t="n">
        <f aca="false">'리그 타자'!I19</f>
        <v>1274</v>
      </c>
      <c r="L19" s="110" t="n">
        <f aca="false">'리그 타자'!L19</f>
        <v>3796</v>
      </c>
      <c r="M19" s="110" t="n">
        <f aca="false">'리그 타자'!M19</f>
        <v>592</v>
      </c>
      <c r="N19" s="110" t="n">
        <f aca="false">'리그 타자'!N19</f>
        <v>134</v>
      </c>
      <c r="O19" s="110" t="n">
        <v>6650</v>
      </c>
      <c r="P19" s="110" t="n">
        <f aca="false">E19/D19*9</f>
        <v>4.97537120379886</v>
      </c>
      <c r="Q19" s="110" t="n">
        <f aca="false">(('연도별 상수'!Y19*K19)+('연도별 상수'!Z19*(L19+M19)+('연도별 상수'!AA19*O19)))/D19+'연도별 상수'!V19</f>
        <v>5.02095751089691</v>
      </c>
      <c r="R19" s="110" t="n">
        <f aca="false">F19/D19*9</f>
        <v>5.43846344661398</v>
      </c>
    </row>
    <row r="20" customFormat="false" ht="17.25" hidden="false" customHeight="false" outlineLevel="0" collapsed="false">
      <c r="A20" s="104" t="n">
        <v>2000</v>
      </c>
      <c r="B20" s="110" t="n">
        <v>3658</v>
      </c>
      <c r="C20" s="110" t="n">
        <v>1064</v>
      </c>
      <c r="D20" s="111" t="n">
        <v>9475</v>
      </c>
      <c r="E20" s="110" t="n">
        <v>4885</v>
      </c>
      <c r="F20" s="110" t="n">
        <f aca="false">'리그 타자'!E20</f>
        <v>5375</v>
      </c>
      <c r="G20" s="110" t="n">
        <f aca="false">'리그 타자'!C20</f>
        <v>41605</v>
      </c>
      <c r="H20" s="110" t="n">
        <f aca="false">'리그 타자'!F20</f>
        <v>9792</v>
      </c>
      <c r="I20" s="110" t="n">
        <f aca="false">'리그 타자'!G20</f>
        <v>1804</v>
      </c>
      <c r="J20" s="110" t="n">
        <f aca="false">'리그 타자'!H20</f>
        <v>159</v>
      </c>
      <c r="K20" s="110" t="n">
        <f aca="false">'리그 타자'!I20</f>
        <v>1132</v>
      </c>
      <c r="L20" s="110" t="n">
        <f aca="false">'리그 타자'!L20</f>
        <v>3925</v>
      </c>
      <c r="M20" s="110" t="n">
        <f aca="false">'리그 타자'!M20</f>
        <v>536</v>
      </c>
      <c r="N20" s="110" t="n">
        <f aca="false">'리그 타자'!N20</f>
        <v>133</v>
      </c>
      <c r="O20" s="110" t="n">
        <v>6913</v>
      </c>
      <c r="P20" s="110" t="n">
        <f aca="false">E20/D20*9</f>
        <v>4.6401055408971</v>
      </c>
      <c r="Q20" s="110" t="n">
        <f aca="false">(('연도별 상수'!Y20*K20)+('연도별 상수'!Z20*(L20+M20)+('연도별 상수'!AA20*O20)))/D20+'연도별 상수'!V20</f>
        <v>4.68502374670185</v>
      </c>
      <c r="R20" s="110" t="n">
        <f aca="false">F20/D20*9</f>
        <v>5.10554089709763</v>
      </c>
    </row>
    <row r="21" customFormat="false" ht="17.25" hidden="false" customHeight="false" outlineLevel="0" collapsed="false">
      <c r="A21" s="104" t="n">
        <v>2001</v>
      </c>
      <c r="B21" s="110" t="n">
        <v>3836</v>
      </c>
      <c r="C21" s="110" t="n">
        <v>1081</v>
      </c>
      <c r="D21" s="111" t="n">
        <f aca="false">9561</f>
        <v>9561</v>
      </c>
      <c r="E21" s="110" t="n">
        <v>5024</v>
      </c>
      <c r="F21" s="110" t="n">
        <f aca="false">'리그 타자'!E21</f>
        <v>5571</v>
      </c>
      <c r="G21" s="110" t="n">
        <f aca="false">'리그 타자'!C21</f>
        <v>42503</v>
      </c>
      <c r="H21" s="110" t="n">
        <f aca="false">'리그 타자'!F21</f>
        <v>10017</v>
      </c>
      <c r="I21" s="110" t="n">
        <f aca="false">'리그 타자'!G21</f>
        <v>1765</v>
      </c>
      <c r="J21" s="110" t="n">
        <f aca="false">'리그 타자'!H21</f>
        <v>161</v>
      </c>
      <c r="K21" s="110" t="n">
        <f aca="false">'리그 타자'!I21</f>
        <v>1080</v>
      </c>
      <c r="L21" s="110" t="n">
        <f aca="false">'리그 타자'!L21</f>
        <v>4397</v>
      </c>
      <c r="M21" s="110" t="n">
        <f aca="false">'리그 타자'!M21</f>
        <v>523</v>
      </c>
      <c r="N21" s="110" t="n">
        <f aca="false">'리그 타자'!N21</f>
        <v>204</v>
      </c>
      <c r="O21" s="110" t="n">
        <v>6494</v>
      </c>
      <c r="P21" s="110" t="n">
        <f aca="false">E21/D21*9</f>
        <v>4.72921242547851</v>
      </c>
      <c r="Q21" s="110" t="n">
        <f aca="false">(('연도별 상수'!Y21*K21)+('연도별 상수'!Z21*(L21+M21)+('연도별 상수'!AA21*O21)))/D21+'연도별 상수'!V21</f>
        <v>4.79748980232193</v>
      </c>
      <c r="R21" s="110" t="n">
        <f aca="false">F21/D21*9</f>
        <v>5.24411672419203</v>
      </c>
    </row>
    <row r="22" customFormat="false" ht="17.25" hidden="false" customHeight="false" outlineLevel="0" collapsed="false">
      <c r="A22" s="104" t="n">
        <v>2002</v>
      </c>
      <c r="B22" s="110" t="n">
        <v>4038</v>
      </c>
      <c r="C22" s="110" t="n">
        <v>1064</v>
      </c>
      <c r="D22" s="111" t="n">
        <f aca="false">9484+1/3</f>
        <v>9484.33333333333</v>
      </c>
      <c r="E22" s="110" t="n">
        <v>4472</v>
      </c>
      <c r="F22" s="110" t="n">
        <f aca="false">'리그 타자'!E22</f>
        <v>4932</v>
      </c>
      <c r="G22" s="110" t="n">
        <f aca="false">'리그 타자'!C22</f>
        <v>40986</v>
      </c>
      <c r="H22" s="110" t="n">
        <f aca="false">'리그 타자'!F22</f>
        <v>9517</v>
      </c>
      <c r="I22" s="110" t="n">
        <f aca="false">'리그 타자'!G22</f>
        <v>1679</v>
      </c>
      <c r="J22" s="110" t="n">
        <f aca="false">'리그 타자'!H22</f>
        <v>154</v>
      </c>
      <c r="K22" s="110" t="n">
        <f aca="false">'리그 타자'!I22</f>
        <v>1127</v>
      </c>
      <c r="L22" s="110" t="n">
        <f aca="false">'리그 타자'!L22</f>
        <v>3388</v>
      </c>
      <c r="M22" s="110" t="n">
        <f aca="false">'리그 타자'!M22</f>
        <v>658</v>
      </c>
      <c r="N22" s="110" t="n">
        <f aca="false">'리그 타자'!N22</f>
        <v>181</v>
      </c>
      <c r="O22" s="110" t="n">
        <v>7265</v>
      </c>
      <c r="P22" s="110" t="n">
        <f aca="false">E22/D22*9</f>
        <v>4.24362984571047</v>
      </c>
      <c r="Q22" s="110" t="n">
        <f aca="false">(('연도별 상수'!Y22*K22)+('연도별 상수'!Z22*(L22+M22)+('연도별 상수'!AA22*O22)))/D22+'연도별 상수'!V22</f>
        <v>4.30469897726075</v>
      </c>
      <c r="R22" s="110" t="n">
        <f aca="false">F22/D22*9</f>
        <v>4.6801391768882</v>
      </c>
    </row>
    <row r="23" customFormat="false" ht="17.25" hidden="false" customHeight="false" outlineLevel="0" collapsed="false">
      <c r="A23" s="104" t="n">
        <v>2003</v>
      </c>
      <c r="B23" s="110" t="n">
        <v>4323</v>
      </c>
      <c r="C23" s="110" t="n">
        <v>1064</v>
      </c>
      <c r="D23" s="111" t="n">
        <v>9434</v>
      </c>
      <c r="E23" s="110" t="n">
        <v>4489</v>
      </c>
      <c r="F23" s="110" t="n">
        <f aca="false">'리그 타자'!E23</f>
        <v>4933</v>
      </c>
      <c r="G23" s="110" t="n">
        <f aca="false">'리그 타자'!C23</f>
        <v>41152</v>
      </c>
      <c r="H23" s="110" t="n">
        <f aca="false">'리그 타자'!F23</f>
        <v>9607</v>
      </c>
      <c r="I23" s="110" t="n">
        <f aca="false">'리그 타자'!G23</f>
        <v>1715</v>
      </c>
      <c r="J23" s="110" t="n">
        <f aca="false">'리그 타자'!H23</f>
        <v>149</v>
      </c>
      <c r="K23" s="110" t="n">
        <f aca="false">'리그 타자'!I23</f>
        <v>1063</v>
      </c>
      <c r="L23" s="110" t="n">
        <f aca="false">'리그 타자'!L23</f>
        <v>3729</v>
      </c>
      <c r="M23" s="110" t="n">
        <f aca="false">'리그 타자'!M23</f>
        <v>605</v>
      </c>
      <c r="N23" s="110" t="n">
        <f aca="false">'리그 타자'!N23</f>
        <v>131</v>
      </c>
      <c r="O23" s="110" t="n">
        <v>6094</v>
      </c>
      <c r="P23" s="110" t="n">
        <f aca="false">E23/D23*9</f>
        <v>4.28248887004452</v>
      </c>
      <c r="Q23" s="110" t="n">
        <f aca="false">(('연도별 상수'!Y23*K23)+('연도별 상수'!Z23*(L23+M23)+('연도별 상수'!AA23*O23)))/D23+'연도별 상수'!V23</f>
        <v>4.32692389230443</v>
      </c>
      <c r="R23" s="110" t="n">
        <f aca="false">F23/D23*9</f>
        <v>4.7060631757473</v>
      </c>
    </row>
    <row r="24" customFormat="false" ht="17.25" hidden="false" customHeight="false" outlineLevel="0" collapsed="false">
      <c r="A24" s="104" t="n">
        <v>2004</v>
      </c>
      <c r="B24" s="110" t="n">
        <v>4338</v>
      </c>
      <c r="C24" s="110" t="n">
        <v>1064</v>
      </c>
      <c r="D24" s="111" t="n">
        <f aca="false">9465+2/3</f>
        <v>9465.66666666667</v>
      </c>
      <c r="E24" s="110" t="n">
        <v>4531</v>
      </c>
      <c r="F24" s="110" t="n">
        <f aca="false">'리그 타자'!E24</f>
        <v>4990</v>
      </c>
      <c r="G24" s="110" t="n">
        <f aca="false">'리그 타자'!C24</f>
        <v>41351</v>
      </c>
      <c r="H24" s="110" t="n">
        <f aca="false">'리그 타자'!F24</f>
        <v>9541</v>
      </c>
      <c r="I24" s="110" t="n">
        <f aca="false">'리그 타자'!G24</f>
        <v>1653</v>
      </c>
      <c r="J24" s="110" t="n">
        <f aca="false">'리그 타자'!H24</f>
        <v>121</v>
      </c>
      <c r="K24" s="110" t="n">
        <f aca="false">'리그 타자'!I24</f>
        <v>966</v>
      </c>
      <c r="L24" s="110" t="n">
        <f aca="false">'리그 타자'!L24</f>
        <v>3883</v>
      </c>
      <c r="M24" s="110" t="n">
        <f aca="false">'리그 타자'!M24</f>
        <v>681</v>
      </c>
      <c r="N24" s="110" t="n">
        <f aca="false">'리그 타자'!N24</f>
        <v>156</v>
      </c>
      <c r="O24" s="110" t="n">
        <v>6534</v>
      </c>
      <c r="P24" s="110" t="n">
        <f aca="false">E24/D24*9</f>
        <v>4.30809592562595</v>
      </c>
      <c r="Q24" s="110" t="n">
        <f aca="false">(('연도별 상수'!Y24*K24)+('연도별 상수'!Z24*(L24+M24)+('연도별 상수'!AA24*O24)))/D24+'연도별 상수'!V24</f>
        <v>4.36083389090397</v>
      </c>
      <c r="R24" s="110" t="n">
        <f aca="false">F24/D24*9</f>
        <v>4.74451526569708</v>
      </c>
    </row>
    <row r="25" customFormat="false" ht="17.25" hidden="false" customHeight="false" outlineLevel="0" collapsed="false">
      <c r="A25" s="104" t="n">
        <v>2005</v>
      </c>
      <c r="B25" s="110" t="n">
        <v>4253</v>
      </c>
      <c r="C25" s="110" t="n">
        <v>1008</v>
      </c>
      <c r="D25" s="111" t="n">
        <f aca="false">8945+2/3</f>
        <v>8945.66666666667</v>
      </c>
      <c r="E25" s="110" t="n">
        <v>4198</v>
      </c>
      <c r="F25" s="110" t="n">
        <f aca="false">'리그 타자'!E25</f>
        <v>4626</v>
      </c>
      <c r="G25" s="110" t="n">
        <f aca="false">'리그 타자'!C25</f>
        <v>38976</v>
      </c>
      <c r="H25" s="110" t="n">
        <f aca="false">'리그 타자'!F25</f>
        <v>8912</v>
      </c>
      <c r="I25" s="110" t="n">
        <f aca="false">'리그 타자'!G25</f>
        <v>1488</v>
      </c>
      <c r="J25" s="110" t="n">
        <f aca="false">'리그 타자'!H25</f>
        <v>117</v>
      </c>
      <c r="K25" s="110" t="n">
        <f aca="false">'리그 타자'!I25</f>
        <v>876</v>
      </c>
      <c r="L25" s="110" t="n">
        <f aca="false">'리그 타자'!L25</f>
        <v>3458</v>
      </c>
      <c r="M25" s="110" t="n">
        <f aca="false">'리그 타자'!M25</f>
        <v>711</v>
      </c>
      <c r="N25" s="110" t="n">
        <f aca="false">'리그 타자'!N25</f>
        <v>133</v>
      </c>
      <c r="O25" s="110" t="n">
        <v>6385</v>
      </c>
      <c r="P25" s="110" t="n">
        <f aca="false">E25/D25*9</f>
        <v>4.22349741029176</v>
      </c>
      <c r="Q25" s="110" t="n">
        <f aca="false">(('연도별 상수'!Y25*K25)+('연도별 상수'!Z25*(L25+M25)+('연도별 상수'!AA25*O25)))/D25+'연도별 상수'!V25</f>
        <v>4.27107351790439</v>
      </c>
      <c r="R25" s="110" t="n">
        <f aca="false">F25/D25*9</f>
        <v>4.6540969556955</v>
      </c>
    </row>
    <row r="26" customFormat="false" ht="17.25" hidden="false" customHeight="false" outlineLevel="0" collapsed="false">
      <c r="A26" s="104" t="n">
        <v>2006</v>
      </c>
      <c r="B26" s="110" t="n">
        <v>3985</v>
      </c>
      <c r="C26" s="110" t="n">
        <v>1008</v>
      </c>
      <c r="D26" s="111" t="n">
        <f aca="false">8940+2/3</f>
        <v>8940.66666666667</v>
      </c>
      <c r="E26" s="110" t="n">
        <v>3571</v>
      </c>
      <c r="F26" s="110" t="n">
        <f aca="false">'리그 타자'!E26</f>
        <v>3981</v>
      </c>
      <c r="G26" s="110" t="n">
        <f aca="false">'리그 타자'!C26</f>
        <v>38091</v>
      </c>
      <c r="H26" s="110" t="n">
        <f aca="false">'리그 타자'!F26</f>
        <v>8469</v>
      </c>
      <c r="I26" s="110" t="n">
        <f aca="false">'리그 타자'!G26</f>
        <v>1423</v>
      </c>
      <c r="J26" s="110" t="n">
        <f aca="false">'리그 타자'!H26</f>
        <v>109</v>
      </c>
      <c r="K26" s="110" t="n">
        <f aca="false">'리그 타자'!I26</f>
        <v>660</v>
      </c>
      <c r="L26" s="110" t="n">
        <f aca="false">'리그 타자'!L26</f>
        <v>3293</v>
      </c>
      <c r="M26" s="110" t="n">
        <f aca="false">'리그 타자'!M26</f>
        <v>533</v>
      </c>
      <c r="N26" s="110" t="n">
        <f aca="false">'리그 타자'!N26</f>
        <v>133</v>
      </c>
      <c r="O26" s="110" t="n">
        <v>5899</v>
      </c>
      <c r="P26" s="110" t="n">
        <f aca="false">E26/D26*9</f>
        <v>3.59469838192529</v>
      </c>
      <c r="Q26" s="110" t="n">
        <f aca="false">(('연도별 상수'!Y26*K26)+('연도별 상수'!Z26*(L26+M26)+('연도별 상수'!AA26*O26)))/D26+'연도별 상수'!V26</f>
        <v>3.64230109611513</v>
      </c>
      <c r="R26" s="110" t="n">
        <f aca="false">F26/D26*9</f>
        <v>4.0074192826784</v>
      </c>
    </row>
    <row r="27" customFormat="false" ht="17.25" hidden="false" customHeight="false" outlineLevel="0" collapsed="false">
      <c r="A27" s="104" t="n">
        <v>2007</v>
      </c>
      <c r="B27" s="110" t="n">
        <v>4242</v>
      </c>
      <c r="C27" s="110" t="n">
        <v>1008</v>
      </c>
      <c r="D27" s="111" t="n">
        <f aca="false">9014+1/3</f>
        <v>9014.33333333333</v>
      </c>
      <c r="E27" s="110" t="n">
        <v>3927</v>
      </c>
      <c r="F27" s="110" t="n">
        <f aca="false">'리그 타자'!E27</f>
        <v>4306</v>
      </c>
      <c r="G27" s="110" t="n">
        <f aca="false">'리그 타자'!C27</f>
        <v>38995</v>
      </c>
      <c r="H27" s="110" t="n">
        <f aca="false">'리그 타자'!F27</f>
        <v>8879</v>
      </c>
      <c r="I27" s="110" t="n">
        <f aca="false">'리그 타자'!G27</f>
        <v>1532</v>
      </c>
      <c r="J27" s="110" t="n">
        <f aca="false">'리그 타자'!H27</f>
        <v>134</v>
      </c>
      <c r="K27" s="110" t="n">
        <f aca="false">'리그 타자'!I27</f>
        <v>703</v>
      </c>
      <c r="L27" s="110" t="n">
        <f aca="false">'리그 타자'!L27</f>
        <v>3615</v>
      </c>
      <c r="M27" s="110" t="n">
        <f aca="false">'리그 타자'!M27</f>
        <v>519</v>
      </c>
      <c r="N27" s="110" t="n">
        <f aca="false">'리그 타자'!N27</f>
        <v>191</v>
      </c>
      <c r="O27" s="110" t="n">
        <v>5631</v>
      </c>
      <c r="P27" s="110" t="n">
        <f aca="false">E27/D27*9</f>
        <v>3.92075583330252</v>
      </c>
      <c r="Q27" s="110" t="n">
        <f aca="false">(('연도별 상수'!Y27*K27)+('연도별 상수'!Z27*(L27+M27)+('연도별 상수'!AA27*O27)))/D27+'연도별 상수'!V27</f>
        <v>3.98855896165366</v>
      </c>
      <c r="R27" s="110" t="n">
        <f aca="false">F27/D27*9</f>
        <v>4.29915320045853</v>
      </c>
    </row>
    <row r="28" customFormat="false" ht="17.25" hidden="false" customHeight="false" outlineLevel="0" collapsed="false">
      <c r="A28" s="104" t="n">
        <v>2008</v>
      </c>
      <c r="B28" s="110" t="n">
        <v>4121</v>
      </c>
      <c r="C28" s="110" t="n">
        <v>1008</v>
      </c>
      <c r="D28" s="111" t="n">
        <f aca="false">9015+1/3</f>
        <v>9015.33333333333</v>
      </c>
      <c r="E28" s="110" t="n">
        <v>4133</v>
      </c>
      <c r="F28" s="110" t="n">
        <f aca="false">'리그 타자'!E28</f>
        <v>4522</v>
      </c>
      <c r="G28" s="110" t="n">
        <f aca="false">'리그 타자'!C28</f>
        <v>39018</v>
      </c>
      <c r="H28" s="110" t="n">
        <f aca="false">'리그 타자'!F28</f>
        <v>9098</v>
      </c>
      <c r="I28" s="110" t="n">
        <f aca="false">'리그 타자'!G28</f>
        <v>1512</v>
      </c>
      <c r="J28" s="110" t="n">
        <f aca="false">'리그 타자'!H28</f>
        <v>188</v>
      </c>
      <c r="K28" s="110" t="n">
        <f aca="false">'리그 타자'!I28</f>
        <v>646</v>
      </c>
      <c r="L28" s="110" t="n">
        <f aca="false">'리그 타자'!L28</f>
        <v>3589</v>
      </c>
      <c r="M28" s="110" t="n">
        <f aca="false">'리그 타자'!M28</f>
        <v>482</v>
      </c>
      <c r="N28" s="110" t="n">
        <f aca="false">'리그 타자'!N28</f>
        <v>123</v>
      </c>
      <c r="O28" s="110" t="n">
        <v>5771</v>
      </c>
      <c r="P28" s="110" t="n">
        <f aca="false">E28/D28*9</f>
        <v>4.1259705686608</v>
      </c>
      <c r="Q28" s="110" t="n">
        <f aca="false">(('연도별 상수'!Y28*K28)+('연도별 상수'!Z28*(L28+M28)+('연도별 상수'!AA28*O28)))/D28+'연도별 상수'!V28</f>
        <v>4.16962952007691</v>
      </c>
      <c r="R28" s="110" t="n">
        <f aca="false">F28/D28*9</f>
        <v>4.51430895511351</v>
      </c>
    </row>
    <row r="29" customFormat="false" ht="17.25" hidden="false" customHeight="false" outlineLevel="0" collapsed="false">
      <c r="A29" s="104" t="n">
        <v>2009</v>
      </c>
      <c r="B29" s="110" t="n">
        <v>4389</v>
      </c>
      <c r="C29" s="110" t="n">
        <v>1064</v>
      </c>
      <c r="D29" s="111" t="n">
        <f aca="false">9447+2/3</f>
        <v>9447.66666666667</v>
      </c>
      <c r="E29" s="110" t="n">
        <v>5048</v>
      </c>
      <c r="F29" s="110" t="n">
        <f aca="false">'리그 타자'!E29</f>
        <v>5492</v>
      </c>
      <c r="G29" s="110" t="n">
        <f aca="false">'리그 타자'!C29</f>
        <v>41864</v>
      </c>
      <c r="H29" s="110" t="n">
        <f aca="false">'리그 타자'!F29</f>
        <v>9938</v>
      </c>
      <c r="I29" s="110" t="n">
        <f aca="false">'리그 타자'!G29</f>
        <v>1753</v>
      </c>
      <c r="J29" s="110" t="n">
        <f aca="false">'리그 타자'!H29</f>
        <v>158</v>
      </c>
      <c r="K29" s="110" t="n">
        <f aca="false">'리그 타자'!I29</f>
        <v>1155</v>
      </c>
      <c r="L29" s="110" t="n">
        <f aca="false">'리그 타자'!L29</f>
        <v>4290</v>
      </c>
      <c r="M29" s="110" t="n">
        <f aca="false">'리그 타자'!M29</f>
        <v>564</v>
      </c>
      <c r="N29" s="110" t="n">
        <f aca="false">'리그 타자'!N29</f>
        <v>164</v>
      </c>
      <c r="O29" s="110" t="n">
        <v>6939</v>
      </c>
      <c r="P29" s="110" t="n">
        <f aca="false">E29/D29*9</f>
        <v>4.80880640722577</v>
      </c>
      <c r="Q29" s="110" t="n">
        <f aca="false">(('연도별 상수'!Y29*K29)+('연도별 상수'!Z29*(L29+M29)+('연도별 상수'!AA29*O29)))/D29+'연도별 상수'!V29</f>
        <v>4.86435451434217</v>
      </c>
      <c r="R29" s="110" t="n">
        <f aca="false">F29/D29*9</f>
        <v>5.2317679850404</v>
      </c>
    </row>
    <row r="30" customFormat="false" ht="17.25" hidden="false" customHeight="false" outlineLevel="0" collapsed="false">
      <c r="A30" s="104" t="n">
        <v>2010</v>
      </c>
      <c r="B30" s="110" t="n">
        <v>4560</v>
      </c>
      <c r="C30" s="110" t="n">
        <v>1064</v>
      </c>
      <c r="D30" s="111" t="n">
        <f aca="false">9492+1/3</f>
        <v>9492.33333333333</v>
      </c>
      <c r="E30" s="110" t="n">
        <v>4847</v>
      </c>
      <c r="F30" s="110" t="n">
        <f aca="false">'리그 타자'!E30</f>
        <v>5301</v>
      </c>
      <c r="G30" s="110" t="n">
        <f aca="false">'리그 타자'!C30</f>
        <v>41597</v>
      </c>
      <c r="H30" s="110" t="n">
        <f aca="false">'리그 타자'!F30</f>
        <v>9681</v>
      </c>
      <c r="I30" s="110" t="n">
        <f aca="false">'리그 타자'!G30</f>
        <v>1650</v>
      </c>
      <c r="J30" s="110" t="n">
        <f aca="false">'리그 타자'!H30</f>
        <v>138</v>
      </c>
      <c r="K30" s="110" t="n">
        <f aca="false">'리그 타자'!I30</f>
        <v>990</v>
      </c>
      <c r="L30" s="110" t="n">
        <f aca="false">'리그 타자'!L30</f>
        <v>4045</v>
      </c>
      <c r="M30" s="110" t="n">
        <f aca="false">'리그 타자'!M30</f>
        <v>616</v>
      </c>
      <c r="N30" s="110" t="n">
        <f aca="false">'리그 타자'!N30</f>
        <v>161</v>
      </c>
      <c r="O30" s="110" t="n">
        <v>7025</v>
      </c>
      <c r="P30" s="110" t="n">
        <f aca="false">E30/D30*9</f>
        <v>4.59560346946659</v>
      </c>
      <c r="Q30" s="110" t="n">
        <f aca="false">(('연도별 상수'!Y30*K30)+('연도별 상수'!Z30*(L30+M30)+('연도별 상수'!AA30*O30)))/D30+'연도별 상수'!V30</f>
        <v>4.64987884959792</v>
      </c>
      <c r="R30" s="110" t="n">
        <f aca="false">F30/D30*9</f>
        <v>5.0260561154616</v>
      </c>
    </row>
    <row r="31" customFormat="false" ht="17.25" hidden="false" customHeight="false" outlineLevel="0" collapsed="false">
      <c r="A31" s="104" t="n">
        <v>2011</v>
      </c>
      <c r="B31" s="110" t="n">
        <v>4425</v>
      </c>
      <c r="C31" s="110" t="n">
        <v>1064</v>
      </c>
      <c r="D31" s="111" t="n">
        <v>9468</v>
      </c>
      <c r="E31" s="110" t="n">
        <v>4374</v>
      </c>
      <c r="F31" s="110" t="n">
        <f aca="false">'리그 타자'!E31</f>
        <v>4822</v>
      </c>
      <c r="G31" s="110" t="n">
        <f aca="false">'리그 타자'!C31</f>
        <v>41068</v>
      </c>
      <c r="H31" s="110" t="n">
        <f aca="false">'리그 타자'!F31</f>
        <v>9409</v>
      </c>
      <c r="I31" s="110" t="n">
        <f aca="false">'리그 타자'!G31</f>
        <v>1562</v>
      </c>
      <c r="J31" s="110" t="n">
        <f aca="false">'리그 타자'!H31</f>
        <v>162</v>
      </c>
      <c r="K31" s="110" t="n">
        <f aca="false">'리그 타자'!I31</f>
        <v>770</v>
      </c>
      <c r="L31" s="110" t="n">
        <f aca="false">'리그 타자'!L31</f>
        <v>3936</v>
      </c>
      <c r="M31" s="110" t="n">
        <f aca="false">'리그 타자'!M31</f>
        <v>514</v>
      </c>
      <c r="N31" s="110" t="n">
        <f aca="false">'리그 타자'!N31</f>
        <v>130</v>
      </c>
      <c r="O31" s="110" t="n">
        <v>7004</v>
      </c>
      <c r="P31" s="110" t="n">
        <f aca="false">E31/D31*9</f>
        <v>4.15779467680608</v>
      </c>
      <c r="Q31" s="110" t="n">
        <f aca="false">(('연도별 상수'!Y31*K31)+('연도별 상수'!Z31*(L31+M31)+('연도별 상수'!AA31*O31)))/D31+'연도별 상수'!V31</f>
        <v>4.20173215040135</v>
      </c>
      <c r="R31" s="110" t="n">
        <f aca="false">F31/D31*9</f>
        <v>4.58365019011407</v>
      </c>
    </row>
    <row r="32" customFormat="false" ht="17.25" hidden="false" customHeight="false" outlineLevel="0" collapsed="false">
      <c r="A32" s="104" t="n">
        <v>2012</v>
      </c>
      <c r="B32" s="110" t="n">
        <v>4336</v>
      </c>
      <c r="C32" s="110" t="n">
        <v>1064</v>
      </c>
      <c r="D32" s="111" t="n">
        <v>9498</v>
      </c>
      <c r="E32" s="110" t="n">
        <v>4036</v>
      </c>
      <c r="F32" s="110" t="n">
        <f aca="false">'리그 타자'!E32</f>
        <v>4380</v>
      </c>
      <c r="G32" s="110" t="n">
        <f aca="false">'리그 타자'!C32</f>
        <v>40527</v>
      </c>
      <c r="H32" s="110" t="n">
        <f aca="false">'리그 타자'!F32</f>
        <v>9072</v>
      </c>
      <c r="I32" s="110" t="n">
        <f aca="false">'리그 타자'!G32</f>
        <v>1577</v>
      </c>
      <c r="J32" s="110" t="n">
        <f aca="false">'리그 타자'!H32</f>
        <v>160</v>
      </c>
      <c r="K32" s="110" t="n">
        <f aca="false">'리그 타자'!I32</f>
        <v>615</v>
      </c>
      <c r="L32" s="110" t="n">
        <f aca="false">'리그 타자'!L32</f>
        <v>3698</v>
      </c>
      <c r="M32" s="110" t="n">
        <f aca="false">'리그 타자'!M32</f>
        <v>498</v>
      </c>
      <c r="N32" s="110" t="n">
        <f aca="false">'리그 타자'!N32</f>
        <v>140</v>
      </c>
      <c r="O32" s="110" t="n">
        <v>6672</v>
      </c>
      <c r="P32" s="110" t="n">
        <f aca="false">E32/D32*9</f>
        <v>3.82438408085913</v>
      </c>
      <c r="Q32" s="110" t="n">
        <f aca="false">(('연도별 상수'!Y32*K32)+('연도별 상수'!Z32*(L32+M32)+('연도별 상수'!AA32*O32)))/D32+'연도별 상수'!V32</f>
        <v>3.87155190566435</v>
      </c>
      <c r="R32" s="110" t="n">
        <f aca="false">F32/D32*9</f>
        <v>4.15034744156665</v>
      </c>
    </row>
    <row r="33" customFormat="false" ht="17.25" hidden="false" customHeight="false" outlineLevel="0" collapsed="false">
      <c r="A33" s="104" t="n">
        <v>2013</v>
      </c>
      <c r="B33" s="110" t="n">
        <v>4823</v>
      </c>
      <c r="C33" s="110" t="n">
        <v>1152</v>
      </c>
      <c r="D33" s="111" t="n">
        <v>10282</v>
      </c>
      <c r="E33" s="110" t="n">
        <v>4935</v>
      </c>
      <c r="F33" s="110" t="n">
        <f aca="false">'리그 타자'!E33</f>
        <v>5353</v>
      </c>
      <c r="G33" s="110" t="n">
        <f aca="false">'리그 타자'!C33</f>
        <v>44893</v>
      </c>
      <c r="H33" s="110" t="n">
        <f aca="false">'리그 타자'!F33</f>
        <v>10411</v>
      </c>
      <c r="I33" s="110" t="n">
        <f aca="false">'리그 타자'!G33</f>
        <v>1845</v>
      </c>
      <c r="J33" s="110" t="n">
        <f aca="false">'리그 타자'!H33</f>
        <v>192</v>
      </c>
      <c r="K33" s="110" t="n">
        <f aca="false">'리그 타자'!I33</f>
        <v>798</v>
      </c>
      <c r="L33" s="110" t="n">
        <f aca="false">'리그 타자'!L33</f>
        <v>4351</v>
      </c>
      <c r="M33" s="110" t="n">
        <f aca="false">'리그 타자'!M33</f>
        <v>703</v>
      </c>
      <c r="N33" s="110" t="n">
        <f aca="false">'리그 타자'!N33</f>
        <v>129</v>
      </c>
      <c r="O33" s="110" t="n">
        <v>7785</v>
      </c>
      <c r="P33" s="110" t="n">
        <f aca="false">E33/D33*9</f>
        <v>4.31968488620891</v>
      </c>
      <c r="Q33" s="110" t="n">
        <f aca="false">(('연도별 상수'!Y33*K33)+('연도별 상수'!Z33*(L33+M33)+('연도별 상수'!AA33*O33)))/D33+'연도별 상수'!V33</f>
        <v>4.35983271737016</v>
      </c>
      <c r="R33" s="110" t="n">
        <f aca="false">F33/D33*9</f>
        <v>4.68556701030928</v>
      </c>
      <c r="S33" s="110" t="n">
        <v>30576</v>
      </c>
      <c r="T33" s="110" t="n">
        <f aca="false">ROUND($S33*X33/100,0)</f>
        <v>14768</v>
      </c>
      <c r="U33" s="110" t="n">
        <f aca="false">ROUND($S33*Y33/100,0)</f>
        <v>14860</v>
      </c>
      <c r="V33" s="110" t="n">
        <f aca="false">ROUND(P33-(-16.986*O33/G33+11.434*L33/G33-1.858*T33/G33+7.653*(O33/G33)^2-6.664*T33/G33*O33/G33+7.374*T33/G33*L33/G33-7.706*(L33/G33)^2),4)</f>
        <v>6.7556</v>
      </c>
      <c r="W33" s="110" t="n">
        <v>5.1</v>
      </c>
      <c r="X33" s="110" t="n">
        <v>48.3</v>
      </c>
      <c r="Y33" s="110" t="n">
        <v>48.6</v>
      </c>
      <c r="Z33" s="110" t="n">
        <f aca="false">100-X33-Y33</f>
        <v>3.1</v>
      </c>
    </row>
    <row r="34" customFormat="false" ht="17.25" hidden="false" customHeight="false" outlineLevel="0" collapsed="false">
      <c r="A34" s="104" t="n">
        <v>2014</v>
      </c>
      <c r="B34" s="110" t="n">
        <v>4934</v>
      </c>
      <c r="C34" s="110" t="n">
        <v>1152</v>
      </c>
      <c r="D34" s="111" t="n">
        <v>10191</v>
      </c>
      <c r="E34" s="110" t="n">
        <v>5904</v>
      </c>
      <c r="F34" s="110" t="n">
        <f aca="false">'리그 타자'!E34</f>
        <v>6477</v>
      </c>
      <c r="G34" s="110" t="n">
        <f aca="false">'리그 타자'!C34</f>
        <v>45853</v>
      </c>
      <c r="H34" s="110" t="n">
        <f aca="false">'리그 타자'!F34</f>
        <v>11533</v>
      </c>
      <c r="I34" s="110" t="n">
        <f aca="false">'리그 타자'!G34</f>
        <v>2155</v>
      </c>
      <c r="J34" s="110" t="n">
        <f aca="false">'리그 타자'!H34</f>
        <v>237</v>
      </c>
      <c r="K34" s="110" t="n">
        <f aca="false">'리그 타자'!I34</f>
        <v>1162</v>
      </c>
      <c r="L34" s="110" t="n">
        <f aca="false">'리그 타자'!L34</f>
        <v>4351</v>
      </c>
      <c r="M34" s="110" t="n">
        <f aca="false">'리그 타자'!M34</f>
        <v>617</v>
      </c>
      <c r="N34" s="110" t="n">
        <f aca="false">'리그 타자'!N34</f>
        <v>104</v>
      </c>
      <c r="O34" s="110" t="n">
        <v>7657</v>
      </c>
      <c r="P34" s="110" t="n">
        <f aca="false">E34/D34*9</f>
        <v>5.21401236385046</v>
      </c>
      <c r="Q34" s="110" t="n">
        <f aca="false">(('연도별 상수'!Y34*K34)+('연도별 상수'!Z34*(L34+M34)+('연도별 상수'!AA34*O34)))/D34+'연도별 상수'!V34</f>
        <v>5.24666862918261</v>
      </c>
      <c r="R34" s="110" t="n">
        <f aca="false">F34/D34*9</f>
        <v>5.72004710038269</v>
      </c>
      <c r="S34" s="110" t="n">
        <v>31456</v>
      </c>
      <c r="T34" s="110" t="n">
        <f aca="false">ROUND($S34*X34/100,0)</f>
        <v>14816</v>
      </c>
      <c r="U34" s="110" t="n">
        <f aca="false">ROUND($S34*Y34/100,0)</f>
        <v>14942</v>
      </c>
      <c r="V34" s="110" t="n">
        <f aca="false">ROUND(P34-(-16.986*O34/G34+11.434*L34/G34-1.858*T34/G34+7.653*(O34/G34)^2-6.664*T34/G34*O34/G34+7.374*T34/G34*L34/G34-7.706*(L34/G34)^2),4)</f>
        <v>7.5553</v>
      </c>
      <c r="W34" s="110" t="n">
        <v>7.4</v>
      </c>
      <c r="X34" s="110" t="n">
        <v>47.1</v>
      </c>
      <c r="Y34" s="110" t="n">
        <v>47.5</v>
      </c>
      <c r="Z34" s="110" t="n">
        <f aca="false">100-X34-Y34</f>
        <v>5.4</v>
      </c>
    </row>
    <row r="35" customFormat="false" ht="17.25" hidden="false" customHeight="false" outlineLevel="0" collapsed="false">
      <c r="A35" s="104" t="n">
        <v>2015</v>
      </c>
      <c r="B35" s="110" t="n">
        <v>6228</v>
      </c>
      <c r="C35" s="110" t="n">
        <v>1440</v>
      </c>
      <c r="D35" s="111" t="n">
        <f aca="false">12787+2/3</f>
        <v>12787.6666666667</v>
      </c>
      <c r="E35" s="110" t="n">
        <v>6925</v>
      </c>
      <c r="F35" s="110" t="n">
        <f aca="false">'리그 타자'!E35</f>
        <v>7598</v>
      </c>
      <c r="G35" s="110" t="n">
        <f aca="false">'리그 타자'!C35</f>
        <v>56742</v>
      </c>
      <c r="H35" s="110" t="n">
        <f aca="false">'리그 타자'!F35</f>
        <v>13804</v>
      </c>
      <c r="I35" s="110" t="n">
        <f aca="false">'리그 타자'!G35</f>
        <v>2482</v>
      </c>
      <c r="J35" s="110" t="n">
        <f aca="false">'리그 타자'!H35</f>
        <v>202</v>
      </c>
      <c r="K35" s="110" t="n">
        <f aca="false">'리그 타자'!I35</f>
        <v>1511</v>
      </c>
      <c r="L35" s="110" t="n">
        <f aca="false">'리그 타자'!L35</f>
        <v>5254</v>
      </c>
      <c r="M35" s="110" t="n">
        <f aca="false">'리그 타자'!M35</f>
        <v>871</v>
      </c>
      <c r="N35" s="110" t="n">
        <f aca="false">'리그 타자'!N35</f>
        <v>211</v>
      </c>
      <c r="O35" s="110" t="n">
        <v>10553</v>
      </c>
      <c r="P35" s="110" t="n">
        <f aca="false">E35/D35*9</f>
        <v>4.87383676980424</v>
      </c>
      <c r="Q35" s="110" t="n">
        <f aca="false">(('연도별 상수'!Y35*K35)+('연도별 상수'!Z35*(L35+M35)+('연도별 상수'!AA35*O35)))/D35+'연도별 상수'!V35</f>
        <v>4.92663764564815</v>
      </c>
      <c r="R35" s="110" t="n">
        <f aca="false">F35/D35*9</f>
        <v>5.34749628548341</v>
      </c>
      <c r="S35" s="110" t="n">
        <v>37716</v>
      </c>
      <c r="T35" s="110" t="n">
        <f aca="false">ROUND($S35*X35/100,0)</f>
        <v>18141</v>
      </c>
      <c r="U35" s="110" t="n">
        <f aca="false">ROUND($S35*Y35/100,0)</f>
        <v>17123</v>
      </c>
      <c r="V35" s="110" t="n">
        <f aca="false">ROUND(P35-(-16.986*O35/G35+11.434*L35/G35-1.858*T35/G35+7.653*(O35/G35)^2-6.664*T35/G35*O35/G35+7.374*T35/G35*L35/G35-7.706*(L35/G35)^2),4)</f>
        <v>7.5475</v>
      </c>
      <c r="W35" s="110" t="n">
        <v>8.3</v>
      </c>
      <c r="X35" s="110" t="n">
        <v>48.1</v>
      </c>
      <c r="Y35" s="110" t="n">
        <v>45.4</v>
      </c>
      <c r="Z35" s="110" t="n">
        <f aca="false">100-X35-Y35</f>
        <v>6.5</v>
      </c>
    </row>
    <row r="36" customFormat="false" ht="17.25" hidden="false" customHeight="false" outlineLevel="0" collapsed="false">
      <c r="A36" s="104" t="n">
        <v>2016</v>
      </c>
      <c r="B36" s="110" t="n">
        <v>6413</v>
      </c>
      <c r="C36" s="110" t="n">
        <v>1440</v>
      </c>
      <c r="D36" s="111" t="n">
        <f aca="false">12806+1/3</f>
        <v>12806.3333333333</v>
      </c>
      <c r="E36" s="110" t="n">
        <v>7357</v>
      </c>
      <c r="F36" s="110" t="n">
        <f aca="false">'리그 타자'!E36</f>
        <v>8074</v>
      </c>
      <c r="G36" s="110" t="n">
        <f aca="false">'리그 타자'!C36</f>
        <v>57614</v>
      </c>
      <c r="H36" s="110" t="n">
        <f aca="false">'리그 타자'!F36</f>
        <v>14560</v>
      </c>
      <c r="I36" s="110" t="n">
        <f aca="false">'리그 타자'!G36</f>
        <v>2480</v>
      </c>
      <c r="J36" s="110" t="n">
        <f aca="false">'리그 타자'!H36</f>
        <v>248</v>
      </c>
      <c r="K36" s="110" t="n">
        <f aca="false">'리그 타자'!I36</f>
        <v>1483</v>
      </c>
      <c r="L36" s="110" t="n">
        <f aca="false">'리그 타자'!L36</f>
        <v>5373</v>
      </c>
      <c r="M36" s="110" t="n">
        <f aca="false">'리그 타자'!M36</f>
        <v>800</v>
      </c>
      <c r="N36" s="110" t="n">
        <f aca="false">'리그 타자'!N36</f>
        <v>140</v>
      </c>
      <c r="O36" s="110" t="n">
        <v>9743</v>
      </c>
      <c r="P36" s="110" t="n">
        <f aca="false">E36/D36*9</f>
        <v>5.17033238762071</v>
      </c>
      <c r="Q36" s="110" t="n">
        <f aca="false">(('연도별 상수'!Y36*K36)+('연도별 상수'!Z36*(L36+M36)+('연도별 상수'!AA36*O36)))/D36+'연도별 상수'!V36</f>
        <v>5.2053150784768</v>
      </c>
      <c r="R36" s="110" t="n">
        <f aca="false">F36/D36*9</f>
        <v>5.67422369140269</v>
      </c>
      <c r="S36" s="110" t="n">
        <v>39562</v>
      </c>
      <c r="T36" s="110" t="n">
        <f aca="false">ROUND($S36*X36/100,0)</f>
        <v>18871</v>
      </c>
      <c r="U36" s="110" t="n">
        <f aca="false">ROUND($S36*Y36/100,0)</f>
        <v>18396</v>
      </c>
      <c r="V36" s="110" t="n">
        <f aca="false">ROUND(P36-(-16.986*O36/G36+11.434*L36/G36-1.858*T36/G36+7.653*(O36/G36)^2-6.664*T36/G36*O36/G36+7.374*T36/G36*L36/G36-7.706*(L36/G36)^2),4)</f>
        <v>7.5771</v>
      </c>
      <c r="W36" s="110" t="n">
        <v>7.6</v>
      </c>
      <c r="X36" s="110" t="n">
        <v>47.7</v>
      </c>
      <c r="Y36" s="110" t="n">
        <v>46.5</v>
      </c>
      <c r="Z36" s="110" t="n">
        <f aca="false">100-X36-Y36</f>
        <v>5.8</v>
      </c>
    </row>
    <row r="37" customFormat="false" ht="17.25" hidden="false" customHeight="false" outlineLevel="0" collapsed="false">
      <c r="A37" s="104" t="n">
        <v>2017</v>
      </c>
      <c r="B37" s="110" t="n">
        <v>6031</v>
      </c>
      <c r="C37" s="110" t="n">
        <v>1440</v>
      </c>
      <c r="D37" s="111" t="n">
        <v>12781</v>
      </c>
      <c r="E37" s="110" t="n">
        <v>7056</v>
      </c>
      <c r="F37" s="110" t="n">
        <f aca="false">'리그 타자'!E37</f>
        <v>7682</v>
      </c>
      <c r="G37" s="110" t="n">
        <f aca="false">'리그 타자'!C37</f>
        <v>56882</v>
      </c>
      <c r="H37" s="110" t="n">
        <f aca="false">'리그 타자'!F37</f>
        <v>14397</v>
      </c>
      <c r="I37" s="110" t="n">
        <f aca="false">'리그 타자'!G37</f>
        <v>2584</v>
      </c>
      <c r="J37" s="110" t="n">
        <f aca="false">'리그 타자'!H37</f>
        <v>219</v>
      </c>
      <c r="K37" s="110" t="n">
        <f aca="false">'리그 타자'!I37</f>
        <v>1547</v>
      </c>
      <c r="L37" s="110" t="n">
        <f aca="false">'리그 타자'!L37</f>
        <v>4520</v>
      </c>
      <c r="M37" s="110" t="n">
        <f aca="false">'리그 타자'!M37</f>
        <v>953</v>
      </c>
      <c r="N37" s="110" t="n">
        <f aca="false">'리그 타자'!N37</f>
        <v>185</v>
      </c>
      <c r="O37" s="110" t="n">
        <v>10009</v>
      </c>
      <c r="P37" s="110" t="n">
        <f aca="false">E37/D37*9</f>
        <v>4.96862530318441</v>
      </c>
      <c r="Q37" s="110" t="n">
        <f aca="false">(('연도별 상수'!Y37*K37)+('연도별 상수'!Z37*(L37+M37)+('연도별 상수'!AA37*O37)))/D37+'연도별 상수'!V37</f>
        <v>5.01494405758548</v>
      </c>
      <c r="R37" s="110" t="n">
        <f aca="false">F37/D37*9</f>
        <v>5.40943588138643</v>
      </c>
      <c r="S37" s="110" t="n">
        <v>39253</v>
      </c>
      <c r="T37" s="110" t="n">
        <f aca="false">ROUND($S37*X37/100,0)</f>
        <v>18213</v>
      </c>
      <c r="U37" s="110" t="n">
        <f aca="false">ROUND($S37*Y37/100,0)</f>
        <v>18056</v>
      </c>
      <c r="V37" s="110" t="n">
        <f aca="false">ROUND(P37-(-16.986*O37/G37+11.434*L37/G37-1.858*T37/G37+7.653*(O37/G37)^2-6.664*T37/G37*O37/G37+7.374*T37/G37*L37/G37-7.706*(L37/G37)^2),4)</f>
        <v>7.6434</v>
      </c>
      <c r="W37" s="110" t="n">
        <v>8.1</v>
      </c>
      <c r="X37" s="110" t="n">
        <v>46.4</v>
      </c>
      <c r="Y37" s="110" t="n">
        <v>46</v>
      </c>
      <c r="Z37" s="110" t="n">
        <f aca="false">100-X37-Y37</f>
        <v>7.6</v>
      </c>
    </row>
    <row r="38" customFormat="false" ht="17.25" hidden="false" customHeight="false" outlineLevel="0" collapsed="false">
      <c r="A38" s="104" t="n">
        <v>2018</v>
      </c>
      <c r="B38" s="110" t="n">
        <v>6257</v>
      </c>
      <c r="C38" s="110" t="n">
        <v>1440</v>
      </c>
      <c r="D38" s="111" t="n">
        <v>12766</v>
      </c>
      <c r="E38" s="110" t="n">
        <v>7337</v>
      </c>
      <c r="F38" s="110" t="n">
        <f aca="false">'리그 타자'!E38</f>
        <v>7994</v>
      </c>
      <c r="G38" s="110" t="n">
        <f aca="false">'리그 타자'!C38</f>
        <v>56903</v>
      </c>
      <c r="H38" s="110" t="n">
        <f aca="false">'리그 타자'!F38</f>
        <v>14445</v>
      </c>
      <c r="I38" s="110" t="n">
        <f aca="false">'리그 타자'!G38</f>
        <v>2639</v>
      </c>
      <c r="J38" s="110" t="n">
        <f aca="false">'리그 타자'!H38</f>
        <v>187</v>
      </c>
      <c r="K38" s="110" t="n">
        <f aca="false">'리그 타자'!I38</f>
        <v>1756</v>
      </c>
      <c r="L38" s="110" t="n">
        <f aca="false">'리그 타자'!L38</f>
        <v>4622</v>
      </c>
      <c r="M38" s="110" t="n">
        <f aca="false">'리그 타자'!M38</f>
        <v>860</v>
      </c>
      <c r="N38" s="110" t="n">
        <f aca="false">'리그 타자'!N38</f>
        <v>170</v>
      </c>
      <c r="O38" s="110" t="n">
        <v>10688</v>
      </c>
      <c r="P38" s="110" t="n">
        <f aca="false">E38/D38*9</f>
        <v>5.17256775810747</v>
      </c>
      <c r="Q38" s="110" t="n">
        <f aca="false">(('연도별 상수'!Y38*K38)+('연도별 상수'!Z38*(L38+M38)+('연도별 상수'!AA38*O38)))/D38+'연도별 상수'!V38</f>
        <v>5.21518094939684</v>
      </c>
      <c r="R38" s="110" t="n">
        <f aca="false">F38/D38*9</f>
        <v>5.63575121416262</v>
      </c>
      <c r="S38" s="110" t="n">
        <v>38531</v>
      </c>
      <c r="T38" s="110" t="n">
        <f aca="false">ROUND($S38*X38/100,0)</f>
        <v>17377</v>
      </c>
      <c r="U38" s="110" t="n">
        <f aca="false">ROUND($S38*Y38/100,0)</f>
        <v>17801</v>
      </c>
      <c r="V38" s="110" t="n">
        <f aca="false">ROUND(P38-(-16.986*O38/G38+11.434*L38/G38-1.858*T38/G38+7.653*(O38/G38)^2-6.664*T38/G38*O38/G38+7.374*T38/G38*L38/G38-7.706*(L38/G38)^2),4)</f>
        <v>7.9819</v>
      </c>
      <c r="W38" s="110" t="n">
        <v>9.3</v>
      </c>
      <c r="X38" s="110" t="n">
        <v>45.1</v>
      </c>
      <c r="Y38" s="110" t="n">
        <v>46.2</v>
      </c>
      <c r="Z38" s="110" t="n">
        <f aca="false">100-X38-Y38</f>
        <v>8.7</v>
      </c>
    </row>
    <row r="39" customFormat="false" ht="17.25" hidden="false" customHeight="false" outlineLevel="0" collapsed="false">
      <c r="A39" s="104" t="n">
        <v>2019</v>
      </c>
      <c r="B39" s="110" t="n">
        <v>6215</v>
      </c>
      <c r="C39" s="110" t="n">
        <v>1440</v>
      </c>
      <c r="D39" s="111" t="n">
        <f aca="false">12778+2/3</f>
        <v>12778.6666666667</v>
      </c>
      <c r="E39" s="110" t="n">
        <v>5914</v>
      </c>
      <c r="F39" s="110" t="n">
        <f aca="false">'리그 타자'!E39</f>
        <v>6548</v>
      </c>
      <c r="G39" s="110" t="n">
        <f aca="false">'리그 타자'!C39</f>
        <v>55627</v>
      </c>
      <c r="H39" s="110" t="n">
        <f aca="false">'리그 타자'!F39</f>
        <v>13145</v>
      </c>
      <c r="I39" s="110" t="n">
        <f aca="false">'리그 타자'!G39</f>
        <v>2288</v>
      </c>
      <c r="J39" s="110" t="n">
        <f aca="false">'리그 타자'!H39</f>
        <v>227</v>
      </c>
      <c r="K39" s="110" t="n">
        <f aca="false">'리그 타자'!I39</f>
        <v>1014</v>
      </c>
      <c r="L39" s="110" t="n">
        <f aca="false">'리그 타자'!L39</f>
        <v>4749</v>
      </c>
      <c r="M39" s="110" t="n">
        <f aca="false">'리그 타자'!M39</f>
        <v>711</v>
      </c>
      <c r="N39" s="110" t="n">
        <f aca="false">'리그 타자'!N39</f>
        <v>147</v>
      </c>
      <c r="O39" s="110" t="n">
        <v>9595</v>
      </c>
      <c r="P39" s="110" t="n">
        <f aca="false">E39/D39*9</f>
        <v>4.16522328881469</v>
      </c>
      <c r="Q39" s="110" t="n">
        <f aca="false">(('연도별 상수'!Y39*K39)+('연도별 상수'!Z39*(L39+M39)+('연도별 상수'!AA39*O39)))/D39+'연도별 상수'!V39</f>
        <v>4.20203464106845</v>
      </c>
      <c r="R39" s="110" t="n">
        <f aca="false">F39/D39*9</f>
        <v>4.61174874791319</v>
      </c>
      <c r="S39" s="110" t="n">
        <v>39124</v>
      </c>
      <c r="T39" s="110" t="n">
        <f aca="false">ROUND($S39*X39/100,0)</f>
        <v>18114</v>
      </c>
      <c r="U39" s="110" t="n">
        <f aca="false">ROUND($S39*Y39/100,0)</f>
        <v>18780</v>
      </c>
      <c r="V39" s="110" t="n">
        <f aca="false">ROUND(P39-(-16.986*O39/G39+11.434*L39/G39-1.858*T39/G39+7.653*(O39/G39)^2-6.664*T39/G39*O39/G39+7.374*T39/G39*L39/G39-7.706*(L39/G39)^2),4)</f>
        <v>6.7218</v>
      </c>
      <c r="W39" s="110" t="n">
        <v>5.2</v>
      </c>
      <c r="X39" s="110" t="n">
        <v>46.3</v>
      </c>
      <c r="Y39" s="110" t="n">
        <v>48</v>
      </c>
      <c r="Z39" s="110" t="n">
        <f aca="false">100-X39-Y39</f>
        <v>5.7</v>
      </c>
    </row>
    <row r="40" customFormat="false" ht="17.25" hidden="false" customHeight="false" outlineLevel="0" collapsed="false">
      <c r="A40" s="104" t="n">
        <v>2020</v>
      </c>
      <c r="B40" s="110" t="n">
        <v>6857</v>
      </c>
      <c r="C40" s="110" t="n">
        <v>1440</v>
      </c>
      <c r="D40" s="111" t="n">
        <f aca="false">12789+2/3</f>
        <v>12789.6666666667</v>
      </c>
      <c r="E40" s="110" t="n">
        <v>6759</v>
      </c>
      <c r="F40" s="110" t="n">
        <f aca="false">'리그 타자'!E40</f>
        <v>7436</v>
      </c>
      <c r="G40" s="110" t="n">
        <f aca="false">'리그 타자'!C40</f>
        <v>56643</v>
      </c>
      <c r="H40" s="110" t="n">
        <f aca="false">'리그 타자'!F40</f>
        <v>13547</v>
      </c>
      <c r="I40" s="110" t="n">
        <f aca="false">'리그 타자'!G40</f>
        <v>2325</v>
      </c>
      <c r="J40" s="110" t="n">
        <f aca="false">'리그 타자'!H40</f>
        <v>183</v>
      </c>
      <c r="K40" s="110" t="n">
        <f aca="false">'리그 타자'!I40</f>
        <v>1363</v>
      </c>
      <c r="L40" s="110" t="n">
        <f aca="false">'리그 타자'!L40</f>
        <v>5314</v>
      </c>
      <c r="M40" s="110" t="n">
        <f aca="false">'리그 타자'!M40</f>
        <v>716</v>
      </c>
      <c r="N40" s="110" t="n">
        <f aca="false">'리그 타자'!N40</f>
        <v>163</v>
      </c>
      <c r="O40" s="110" t="n">
        <v>9855</v>
      </c>
      <c r="P40" s="110" t="n">
        <f aca="false">E40/D40*9</f>
        <v>4.75626156532618</v>
      </c>
      <c r="Q40" s="110" t="n">
        <f aca="false">(('연도별 상수'!Y40*K40)+('연도별 상수'!Z40*(L40+M40)+('연도별 상수'!AA40*O40)))/D40+'연도별 상수'!V40</f>
        <v>4.79704448904063</v>
      </c>
      <c r="R40" s="110" t="n">
        <f aca="false">F40/D40*9</f>
        <v>5.23266178425291</v>
      </c>
      <c r="S40" s="110" t="n">
        <v>38908</v>
      </c>
      <c r="T40" s="110" t="n">
        <f aca="false">ROUND($S40*X40/100,0)</f>
        <v>17470</v>
      </c>
      <c r="U40" s="110" t="n">
        <f aca="false">ROUND($S40*Y40/100,0)</f>
        <v>20427</v>
      </c>
      <c r="V40" s="110" t="n">
        <f aca="false">ROUND(P40-(-16.986*O40/G40+11.434*L40/G40-1.858*T40/G40+7.653*(O40/G40)^2-6.664*T40/G40*O40/G40+7.374*T40/G40*L40/G40-7.706*(L40/G40)^2),4)</f>
        <v>7.1923</v>
      </c>
      <c r="W40" s="110" t="n">
        <v>6.4</v>
      </c>
      <c r="X40" s="110" t="n">
        <v>44.9</v>
      </c>
      <c r="Y40" s="110" t="n">
        <v>52.5</v>
      </c>
      <c r="Z40" s="110" t="n">
        <f aca="false">100-X40-Y40</f>
        <v>2.6</v>
      </c>
    </row>
    <row r="41" customFormat="false" ht="17.25" hidden="false" customHeight="false" outlineLevel="0" collapsed="false">
      <c r="A41" s="104" t="n">
        <v>2021</v>
      </c>
      <c r="B41" s="110" t="n">
        <v>6755</v>
      </c>
      <c r="C41" s="110" t="n">
        <v>1440</v>
      </c>
      <c r="D41" s="111" t="n">
        <v>12660</v>
      </c>
      <c r="E41" s="110" t="n">
        <v>6243</v>
      </c>
      <c r="F41" s="110" t="n">
        <f aca="false">'리그 타자'!E41</f>
        <v>6896</v>
      </c>
      <c r="G41" s="110" t="n">
        <f aca="false">'리그 타자'!C41</f>
        <v>56076</v>
      </c>
      <c r="H41" s="110" t="n">
        <f aca="false">'리그 타자'!F41</f>
        <v>12566</v>
      </c>
      <c r="I41" s="110" t="n">
        <f aca="false">'리그 타자'!G41</f>
        <v>2181</v>
      </c>
      <c r="J41" s="110" t="n">
        <f aca="false">'리그 타자'!H41</f>
        <v>163</v>
      </c>
      <c r="K41" s="110" t="n">
        <f aca="false">'리그 타자'!I41</f>
        <v>1158</v>
      </c>
      <c r="L41" s="110" t="n">
        <f aca="false">'리그 타자'!L41</f>
        <v>5891</v>
      </c>
      <c r="M41" s="110" t="n">
        <f aca="false">'리그 타자'!M41</f>
        <v>792</v>
      </c>
      <c r="N41" s="110" t="n">
        <f aca="false">'리그 타자'!N41</f>
        <v>180</v>
      </c>
      <c r="O41" s="110" t="n">
        <v>10196</v>
      </c>
      <c r="P41" s="110" t="n">
        <f aca="false">E41/D41*9</f>
        <v>4.43815165876777</v>
      </c>
      <c r="Q41" s="110" t="n">
        <f aca="false">(('연도별 상수'!Y41*K41)+('연도별 상수'!Z41*(L41+M41)+('연도별 상수'!AA41*O41)))/D41+'연도별 상수'!V41</f>
        <v>4.48364928909953</v>
      </c>
      <c r="R41" s="110" t="n">
        <f aca="false">F41/D41*9</f>
        <v>4.90236966824645</v>
      </c>
      <c r="S41" s="110" t="n">
        <v>37542</v>
      </c>
      <c r="T41" s="110" t="n">
        <f aca="false">ROUND($S41*X41/100,0)</f>
        <v>17194</v>
      </c>
      <c r="U41" s="110" t="n">
        <f aca="false">ROUND($S41*Y41/100,0)</f>
        <v>19259</v>
      </c>
      <c r="V41" s="110" t="n">
        <f aca="false">ROUND(P41-(-16.986*O41/G41+11.434*L41/G41-1.858*T41/G41+7.653*(O41/G41)^2-6.664*T41/G41*O41/G41+7.374*T41/G41*L41/G41-7.706*(L41/G41)^2),4)</f>
        <v>6.8612</v>
      </c>
      <c r="W41" s="110" t="n">
        <v>5.8</v>
      </c>
      <c r="X41" s="110" t="n">
        <v>45.8</v>
      </c>
      <c r="Y41" s="110" t="n">
        <v>51.3</v>
      </c>
      <c r="Z41" s="110" t="n">
        <f aca="false">100-X41-Y41</f>
        <v>2.90000000000001</v>
      </c>
    </row>
    <row r="42" customFormat="false" ht="17.25" hidden="false" customHeight="false" outlineLevel="0" collapsed="false">
      <c r="A42" s="104" t="n">
        <v>2022</v>
      </c>
      <c r="B42" s="110" t="n">
        <v>6719</v>
      </c>
      <c r="C42" s="110" t="n">
        <v>1440</v>
      </c>
      <c r="D42" s="111" t="n">
        <f aca="false">12854+2/3</f>
        <v>12854.6666666667</v>
      </c>
      <c r="E42" s="110" t="n">
        <v>5796</v>
      </c>
      <c r="F42" s="110" t="n">
        <f aca="false">'리그 타자'!E42</f>
        <v>6523</v>
      </c>
      <c r="G42" s="110" t="n">
        <f aca="false">'리그 타자'!C42</f>
        <v>55963</v>
      </c>
      <c r="H42" s="110" t="n">
        <f aca="false">'리그 타자'!F42</f>
        <v>12801</v>
      </c>
      <c r="I42" s="110" t="n">
        <f aca="false">'리그 타자'!G42</f>
        <v>2220</v>
      </c>
      <c r="J42" s="110" t="n">
        <f aca="false">'리그 타자'!H42</f>
        <v>203</v>
      </c>
      <c r="K42" s="110" t="n">
        <f aca="false">'리그 타자'!I42</f>
        <v>1085</v>
      </c>
      <c r="L42" s="110" t="n">
        <f aca="false">'리그 타자'!L42</f>
        <v>4930</v>
      </c>
      <c r="M42" s="110" t="n">
        <f aca="false">'리그 타자'!M42</f>
        <v>721</v>
      </c>
      <c r="N42" s="110" t="n">
        <f aca="false">'리그 타자'!N42</f>
        <v>208</v>
      </c>
      <c r="O42" s="110" t="n">
        <v>10469</v>
      </c>
      <c r="P42" s="110" t="n">
        <f aca="false">E42/D42*9</f>
        <v>4.05798153718494</v>
      </c>
      <c r="Q42" s="110" t="n">
        <f aca="false">(('연도별 상수'!Y42*K42)+('연도별 상수'!Z42*(L42+M42)+('연도별 상수'!AA42*O42)))/D42+'연도별 상수'!V42</f>
        <v>4.10976039829893</v>
      </c>
      <c r="R42" s="110" t="n">
        <f aca="false">F42/D42*9</f>
        <v>4.56697956643502</v>
      </c>
      <c r="S42" s="110" t="n">
        <v>38146</v>
      </c>
      <c r="T42" s="110" t="n">
        <f aca="false">ROUND($S42*X42/100,0)</f>
        <v>17929</v>
      </c>
      <c r="U42" s="110" t="n">
        <f aca="false">ROUND($S42*Y42/100,0)</f>
        <v>19111</v>
      </c>
      <c r="V42" s="110" t="n">
        <f aca="false">ROUND(P42-(-16.986*O42/G42+11.434*L42/G42-1.858*T42/G42+7.653*(O42/G42)^2-6.664*T42/G42*O42/G42+7.374*T42/G42*L42/G42-7.706*(L42/G42)^2),4)</f>
        <v>6.8068</v>
      </c>
      <c r="W42" s="110" t="n">
        <v>5.4</v>
      </c>
      <c r="X42" s="110" t="n">
        <v>47</v>
      </c>
      <c r="Y42" s="110" t="n">
        <v>50.1</v>
      </c>
      <c r="Z42" s="110" t="n">
        <f aca="false">100-X42-Y42</f>
        <v>2.9</v>
      </c>
    </row>
    <row r="43" customFormat="false" ht="17.25" hidden="false" customHeight="false" outlineLevel="0" collapsed="false">
      <c r="A43" s="104" t="n">
        <v>2023</v>
      </c>
      <c r="B43" s="110" t="n">
        <v>6845</v>
      </c>
      <c r="C43" s="110" t="n">
        <v>1440</v>
      </c>
      <c r="D43" s="111" t="n">
        <f aca="false">12834+1/3</f>
        <v>12834.3333333333</v>
      </c>
      <c r="E43" s="110" t="n">
        <v>5905</v>
      </c>
      <c r="F43" s="110" t="n">
        <f aca="false">'리그 타자'!E43</f>
        <v>6622</v>
      </c>
      <c r="G43" s="110" t="n">
        <f aca="false">'리그 타자'!C43</f>
        <v>56231</v>
      </c>
      <c r="H43" s="110" t="n">
        <f aca="false">'리그 타자'!F43</f>
        <v>12969</v>
      </c>
      <c r="I43" s="110" t="n">
        <f aca="false">'리그 타자'!G43</f>
        <v>2221</v>
      </c>
      <c r="J43" s="110" t="n">
        <f aca="false">'리그 타자'!H43</f>
        <v>222</v>
      </c>
      <c r="K43" s="110" t="n">
        <f aca="false">'리그 타자'!I43</f>
        <v>924</v>
      </c>
      <c r="L43" s="110" t="n">
        <f aca="false">'리그 타자'!L43</f>
        <v>5140</v>
      </c>
      <c r="M43" s="110" t="n">
        <f aca="false">'리그 타자'!M43</f>
        <v>696</v>
      </c>
      <c r="N43" s="110" t="n">
        <f aca="false">'리그 타자'!N43</f>
        <v>175</v>
      </c>
      <c r="O43" s="110" t="n">
        <v>9970</v>
      </c>
      <c r="P43" s="110" t="n">
        <f aca="false">E43/D43*9</f>
        <v>4.14084616783108</v>
      </c>
      <c r="Q43" s="110" t="n">
        <f aca="false">(('연도별 상수'!Y43*K43)+('연도별 상수'!Z43*(L43+M43)+('연도별 상수'!AA43*O43)))/D43+'연도별 상수'!V43</f>
        <v>4.18447913149625</v>
      </c>
      <c r="R43" s="110" t="n">
        <f aca="false">F43/D43*9</f>
        <v>4.6436381580656</v>
      </c>
      <c r="S43" s="110" t="n">
        <v>38830</v>
      </c>
      <c r="T43" s="110" t="n">
        <f aca="false">ROUND($S43*X43/100,0)</f>
        <v>17706</v>
      </c>
      <c r="U43" s="110" t="n">
        <f aca="false">ROUND($S43*Y43/100,0)</f>
        <v>20036</v>
      </c>
      <c r="V43" s="110" t="n">
        <f aca="false">ROUND(P43-(-16.986*O43/G43+11.434*L43/G43-1.858*T43/G43+7.653*(O43/G43)^2-6.664*T43/G43*O43/G43+7.374*T43/G43*L43/G43-7.706*(L43/G43)^2),4)</f>
        <v>6.676</v>
      </c>
      <c r="W43" s="110" t="n">
        <v>4.4</v>
      </c>
      <c r="X43" s="110" t="n">
        <v>45.6</v>
      </c>
      <c r="Y43" s="110" t="n">
        <v>51.6</v>
      </c>
      <c r="Z43" s="110" t="n">
        <f aca="false">100-X43-Y43</f>
        <v>2.8</v>
      </c>
    </row>
    <row r="44" customFormat="false" ht="17.25" hidden="false" customHeight="false" outlineLevel="0" collapsed="false">
      <c r="A44" s="104" t="n">
        <v>2024</v>
      </c>
      <c r="B44" s="110" t="n">
        <v>7065</v>
      </c>
      <c r="C44" s="110" t="n">
        <v>1440</v>
      </c>
      <c r="D44" s="111" t="n">
        <f aca="false">12789</f>
        <v>12789</v>
      </c>
      <c r="E44" s="110" t="n">
        <v>6972</v>
      </c>
      <c r="F44" s="110" t="n">
        <f aca="false">'리그 타자'!E44</f>
        <v>7740</v>
      </c>
      <c r="G44" s="110" t="n">
        <f aca="false">'리그 타자'!C44</f>
        <v>57265</v>
      </c>
      <c r="H44" s="110" t="n">
        <f aca="false">'리그 타자'!F44</f>
        <v>13929</v>
      </c>
      <c r="I44" s="110" t="n">
        <f aca="false">'리그 타자'!G44</f>
        <v>2381</v>
      </c>
      <c r="J44" s="110" t="n">
        <f aca="false">'리그 타자'!H44</f>
        <v>229</v>
      </c>
      <c r="K44" s="110" t="n">
        <f aca="false">'리그 타자'!I44</f>
        <v>1438</v>
      </c>
      <c r="L44" s="110" t="n">
        <f aca="false">'리그 타자'!L44</f>
        <v>5265</v>
      </c>
      <c r="M44" s="110" t="n">
        <f aca="false">'리그 타자'!M44</f>
        <v>783</v>
      </c>
      <c r="N44" s="110" t="n">
        <f aca="false">'리그 타자'!N44</f>
        <v>150</v>
      </c>
      <c r="O44" s="110" t="n">
        <v>10826</v>
      </c>
      <c r="P44" s="110" t="n">
        <f aca="false">E44/D44*9</f>
        <v>4.9064039408867</v>
      </c>
      <c r="Q44" s="110" t="n">
        <f aca="false">(('연도별 상수'!Y44*K44)+('연도별 상수'!Z44*(L44+M44)+('연도별 상수'!AA44*O44)))/D44+'연도별 상수'!V44</f>
        <v>4.94393619516772</v>
      </c>
      <c r="R44" s="110" t="n">
        <f aca="false">F44/D44*9</f>
        <v>5.44686840253343</v>
      </c>
      <c r="S44" s="110" t="n">
        <v>38474</v>
      </c>
      <c r="T44" s="110" t="n">
        <f aca="false">ROUND($S44*X44/100,0)</f>
        <v>17352</v>
      </c>
      <c r="U44" s="110" t="n">
        <f aca="false">ROUND($S44*Y44/100,0)</f>
        <v>19776</v>
      </c>
      <c r="V44" s="110" t="n">
        <f aca="false">ROUND(P44-(-16.986*O44/G44+11.434*L44/G44-1.858*T44/G44+7.653*(O44/G44)^2-6.664*T44/G44*O44/G44+7.374*T44/G44*L44/G44-7.706*(L44/G44)^2),4)</f>
        <v>7.5973</v>
      </c>
      <c r="W44" s="110" t="n">
        <v>6.9</v>
      </c>
      <c r="X44" s="110" t="n">
        <v>45.1</v>
      </c>
      <c r="Y44" s="110" t="n">
        <v>51.4</v>
      </c>
      <c r="Z44" s="110" t="n">
        <f aca="false">100-X44-Y44</f>
        <v>3.5</v>
      </c>
    </row>
    <row r="45" customFormat="false" ht="17.25" hidden="false" customHeight="false" outlineLevel="0" collapsed="false">
      <c r="A45" s="104" t="n">
        <v>2025</v>
      </c>
      <c r="B45" s="110" t="n">
        <f aca="false">C45+5586</f>
        <v>7026</v>
      </c>
      <c r="C45" s="110" t="n">
        <v>1440</v>
      </c>
      <c r="D45" s="111" t="n">
        <f aca="false">12773+2/3</f>
        <v>12773.6666666667</v>
      </c>
      <c r="E45" s="110" t="n">
        <v>6115</v>
      </c>
      <c r="F45" s="110" t="n">
        <f aca="false">'리그 타자'!E45</f>
        <v>6813</v>
      </c>
      <c r="G45" s="110" t="n">
        <f aca="false">'리그 타자'!C45</f>
        <v>55996</v>
      </c>
      <c r="H45" s="110" t="n">
        <f aca="false">'리그 타자'!F45</f>
        <v>12824</v>
      </c>
      <c r="I45" s="110" t="n">
        <f aca="false">'리그 타자'!G45</f>
        <v>2243</v>
      </c>
      <c r="J45" s="110" t="n">
        <f aca="false">'리그 타자'!H45</f>
        <v>208</v>
      </c>
      <c r="K45" s="110" t="n">
        <f aca="false">'리그 타자'!I45</f>
        <v>1191</v>
      </c>
      <c r="L45" s="110" t="n">
        <f aca="false">'리그 타자'!L45</f>
        <v>5123</v>
      </c>
      <c r="M45" s="110" t="n">
        <f aca="false">'리그 타자'!M45</f>
        <v>806</v>
      </c>
      <c r="N45" s="110" t="n">
        <f aca="false">'리그 타자'!N45</f>
        <v>187</v>
      </c>
      <c r="O45" s="110" t="n">
        <v>11024</v>
      </c>
      <c r="P45" s="110" t="n">
        <f aca="false">E45/D45*9</f>
        <v>4.30847316093004</v>
      </c>
      <c r="Q45" s="110" t="n">
        <f aca="false">(('연도별 상수'!Y45*K45)+('연도별 상수'!Z45*(L45+M45)+('연도별 상수'!AA45*O45)))/D45+'연도별 상수'!V45</f>
        <v>4.35531953759036</v>
      </c>
      <c r="R45" s="110" t="n">
        <f aca="false">F45/D45*9</f>
        <v>4.80026617259466</v>
      </c>
      <c r="S45" s="110" t="n">
        <v>37260</v>
      </c>
      <c r="T45" s="110" t="n">
        <f aca="false">ROUND($S45*X45/100,0)</f>
        <v>17587</v>
      </c>
      <c r="U45" s="110" t="n">
        <f aca="false">ROUND($S45*Y45/100,0)</f>
        <v>13935</v>
      </c>
      <c r="V45" s="110" t="n">
        <f aca="false">ROUND(P45-(-16.986*O45/G45+11.434*L45/G45-1.858*T45/G45+7.653*(O45/G45)^2-6.664*T45/G45*O45/G45+7.374*T45/G45*L45/G45-7.706*(L45/G45)^2),4)</f>
        <v>7.158</v>
      </c>
      <c r="W45" s="110" t="n">
        <v>8.2</v>
      </c>
      <c r="X45" s="110" t="n">
        <v>47.2</v>
      </c>
      <c r="Y45" s="110" t="n">
        <v>37.4</v>
      </c>
      <c r="Z45" s="110" t="n">
        <f aca="false">100-X45-Y45</f>
        <v>15.4</v>
      </c>
    </row>
    <row r="46" customFormat="false" ht="17.25" hidden="false" customHeight="false" outlineLevel="0" collapsed="false">
      <c r="A46" s="104" t="n">
        <v>2026</v>
      </c>
      <c r="B46" s="110" t="n">
        <f aca="false">C46+3027</f>
        <v>4179</v>
      </c>
      <c r="C46" s="110" t="n">
        <v>1152</v>
      </c>
      <c r="D46" s="111" t="n">
        <v>10210</v>
      </c>
      <c r="E46" s="110" t="n">
        <v>5323</v>
      </c>
      <c r="F46" s="110" t="n">
        <v>5900</v>
      </c>
      <c r="G46" s="110" t="n">
        <v>45514</v>
      </c>
      <c r="H46" s="110" t="n">
        <v>10689</v>
      </c>
      <c r="I46" s="110" t="n">
        <v>1831</v>
      </c>
      <c r="J46" s="110" t="n">
        <v>156</v>
      </c>
      <c r="K46" s="110" t="n">
        <v>1090</v>
      </c>
      <c r="L46" s="110" t="n">
        <v>4303</v>
      </c>
      <c r="M46" s="110" t="n">
        <v>681</v>
      </c>
      <c r="N46" s="110" t="n">
        <v>118</v>
      </c>
      <c r="O46" s="110" t="n">
        <v>8789</v>
      </c>
      <c r="P46" s="110" t="n">
        <f aca="false">E46/D46*9</f>
        <v>4.69216454456415</v>
      </c>
      <c r="Q46" s="110" t="n">
        <f aca="false">(('연도별 상수'!Y46*K46)+('연도별 상수'!Z46*(L46+M46)+('연도별 상수'!AA46*O46)))/D46+'연도별 상수'!V46</f>
        <v>4.72914789422135</v>
      </c>
      <c r="R46" s="110" t="n">
        <f aca="false">F46/D46*9</f>
        <v>5.20078354554358</v>
      </c>
      <c r="S46" s="110" t="n">
        <v>30166</v>
      </c>
      <c r="T46" s="110" t="n">
        <f aca="false">ROUND($S46*X46/100,0)</f>
        <v>14118</v>
      </c>
      <c r="U46" s="110" t="n">
        <f aca="false">ROUND($S46*Y46/100,0)</f>
        <v>11946</v>
      </c>
      <c r="V46" s="110" t="n">
        <f aca="false">ROUND(P46-(-16.986*O46/G46+11.434*L46/G46-1.858*T46/G46+7.653*(O46/G46)^2-6.664*T46/G46*O46/G46+7.374*T46/G46*L46/G46-7.706*(L46/G46)^2),4)</f>
        <v>7.434</v>
      </c>
      <c r="W46" s="110" t="n">
        <f aca="false">K46/U46*100</f>
        <v>9.12439310229365</v>
      </c>
      <c r="X46" s="110" t="n">
        <v>46.8</v>
      </c>
      <c r="Y46" s="110" t="n">
        <v>39.6</v>
      </c>
      <c r="Z46" s="110" t="n">
        <f aca="false">100-X46-Y46</f>
        <v>13.6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2024-09-28T11:36:42Z</dcterms:created>
  <dc:creator>msh05</dc:creator>
  <dc:description/>
  <dc:language>en-US</dc:language>
  <cp:lastModifiedBy>msh05</cp:lastModifiedBy>
  <dcterms:modified xsi:type="dcterms:W3CDTF">2026-09-01T10:30:09Z</dcterms:modified>
  <cp:revision>529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